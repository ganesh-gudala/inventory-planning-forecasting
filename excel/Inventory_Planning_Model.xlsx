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iskt\Documents\AnalyticsProjects\_github_ready\inventory-planning-forecasting\excel\"/>
    </mc:Choice>
  </mc:AlternateContent>
  <xr:revisionPtr revIDLastSave="0" documentId="13_ncr:1_{A9F2863A-3C0D-4464-9817-52AD716F7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" sheetId="1" r:id="rId1"/>
    <sheet name="Inputs" sheetId="2" r:id="rId2"/>
    <sheet name="Summary" sheetId="3" r:id="rId3"/>
    <sheet name="Charts" sheetId="4" r:id="rId4"/>
    <sheet name="ABC_XYZ" sheetId="5" r:id="rId5"/>
    <sheet name="Forecast" sheetId="6" r:id="rId6"/>
    <sheet name="Backtest" sheetId="7" r:id="rId7"/>
    <sheet name="Policy" sheetId="8" r:id="rId8"/>
    <sheet name="Demand" sheetId="9" r:id="rId9"/>
    <sheet name="SKU_Data" sheetId="10" r:id="rId10"/>
    <sheet name="Model_Params" sheetId="11" r:id="rId11"/>
    <sheet name="Forecast_Future" sheetId="12" r:id="rId12"/>
  </sheets>
  <definedNames>
    <definedName name="_xlnm._FilterDatabase" localSheetId="7" hidden="1">Policy!$A$4:$AB$154</definedName>
    <definedName name="A_Limit">Inputs!$C$19</definedName>
    <definedName name="B_Limit">Inputs!$C$20</definedName>
    <definedName name="BestClass">Backtest!$H$5:$H$13</definedName>
    <definedName name="BestFlat">Backtest!$W$5:$W$13</definedName>
    <definedName name="BestMethod">Backtest!$V$5:$V$13</definedName>
    <definedName name="BtAbsErr">Backtest!$D$5:$D$604</definedName>
    <definedName name="BtActual">Backtest!$C$5:$C$604</definedName>
    <definedName name="BtClass">Backtest!$F$5:$F$604</definedName>
    <definedName name="BtCode">Backtest!$A$5:$A$604</definedName>
    <definedName name="BtErr">Backtest!$E$5:$E$604</definedName>
    <definedName name="BtMethod">Backtest!$B$5:$B$604</definedName>
    <definedName name="ClassList">Inputs!$B$29:$B$31</definedName>
    <definedName name="ClassSL">Inputs!$C$29:$C$31</definedName>
    <definedName name="ClsABC">ABC_XYZ!$F$5:$F$154</definedName>
    <definedName name="ClsClass">ABC_XYZ!$K$5:$K$154</definedName>
    <definedName name="ClsCode">ABC_XYZ!$A$5:$A$154</definedName>
    <definedName name="ClsSeasonal">ABC_XYZ!$M$5:$M$154</definedName>
    <definedName name="ClsValue">ABC_XYZ!$C$5:$C$154</definedName>
    <definedName name="ClsXYZ">ABC_XYZ!$J$5:$J$154</definedName>
    <definedName name="CostRatio">Inputs!$C$15</definedName>
    <definedName name="CurrentCover">Inputs!$C$16</definedName>
    <definedName name="DemandAll">Demand!$C$5:$DA$154</definedName>
    <definedName name="DemandCodes">Demand!$A$5:$A$154</definedName>
    <definedName name="DemandLast52">Demand!$BB$5:$DA$154</definedName>
    <definedName name="DemandPeak2010">Demand!$AP$5:$BB$154</definedName>
    <definedName name="DemandTrain">Demand!$C$5:$CO$154</definedName>
    <definedName name="FutCode">Forecast_Future!$A$5:$A$7204</definedName>
    <definedName name="FutHorizon">Forecast_Future!$C$5:$C$7204</definedName>
    <definedName name="FutMethod">Forecast_Future!$B$5:$B$7204</definedName>
    <definedName name="FutUnits">Forecast_Future!$E$5:$E$7204</definedName>
    <definedName name="HoldingRate">Inputs!$C$13</definedName>
    <definedName name="LeadTime">Inputs!$C$12</definedName>
    <definedName name="OrderCost">Inputs!$C$14</definedName>
    <definedName name="ParamCodes">Model_Params!$A$5:$A$154</definedName>
    <definedName name="PolClass">Policy!$C$5:$C$154</definedName>
    <definedName name="PolCode">Policy!$A$5:$A$154</definedName>
    <definedName name="PolCost">Policy!$G$5:$G$154</definedName>
    <definedName name="PolCur">Policy!$T$5:$T$154</definedName>
    <definedName name="PolFreed">Policy!$V$5:$V$154</definedName>
    <definedName name="PolHold">Policy!$Z$5:$Z$154</definedName>
    <definedName name="PolMethod">Policy!$D$5:$D$154</definedName>
    <definedName name="PolOrdCost">Policy!$AA$5:$AA$154</definedName>
    <definedName name="PolOrder">Policy!$Y$5:$Y$154</definedName>
    <definedName name="PolRank">Policy!$AC$5:$AC$154</definedName>
    <definedName name="PolRec">Policy!$U$5:$U$154</definedName>
    <definedName name="PolRisk">Policy!$X$5:$X$154</definedName>
    <definedName name="PolSD">Policy!$F$5:$F$154</definedName>
    <definedName name="PolShort">Policy!$AB$5:$AB$154</definedName>
    <definedName name="PolSS">Policy!$K$5:$K$154</definedName>
    <definedName name="PolStatus">Policy!$W$5:$W$154</definedName>
    <definedName name="SeasonalLimit">Inputs!$C$25</definedName>
    <definedName name="ServiceLevel">Inputs!$C$5</definedName>
    <definedName name="SKUList">SKU_Data!$A$5:$A$154</definedName>
    <definedName name="SL_A">Inputs!$C$8</definedName>
    <definedName name="SL_B">Inputs!$C$9</definedName>
    <definedName name="SL_C">Inputs!$C$10</definedName>
    <definedName name="WeeksPerYear">Inputs!$C$17</definedName>
    <definedName name="X_Limit">Inputs!$C$22</definedName>
    <definedName name="Y_Limit">Inputs!$C$23</definedName>
    <definedName name="Z">Inputs!$C$6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7" l="1"/>
  <c r="P15" i="7"/>
  <c r="O15" i="7"/>
  <c r="N15" i="7"/>
  <c r="M15" i="7"/>
  <c r="U15" i="7" s="1"/>
  <c r="L15" i="7"/>
  <c r="T15" i="7" s="1"/>
  <c r="K15" i="7"/>
  <c r="J15" i="7"/>
  <c r="D129" i="6"/>
  <c r="D128" i="6"/>
  <c r="D127" i="6"/>
  <c r="D126" i="6"/>
  <c r="D125" i="6"/>
  <c r="D124" i="6"/>
  <c r="D123" i="6"/>
  <c r="D122" i="6"/>
  <c r="D121" i="6"/>
  <c r="D120" i="6"/>
  <c r="D119" i="6"/>
  <c r="D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N105" i="6"/>
  <c r="M105" i="6"/>
  <c r="H105" i="6"/>
  <c r="G105" i="6"/>
  <c r="F105" i="6"/>
  <c r="B105" i="6"/>
  <c r="N104" i="6"/>
  <c r="M104" i="6"/>
  <c r="H104" i="6"/>
  <c r="G104" i="6"/>
  <c r="F104" i="6"/>
  <c r="B104" i="6"/>
  <c r="N103" i="6"/>
  <c r="M103" i="6"/>
  <c r="H103" i="6"/>
  <c r="G103" i="6"/>
  <c r="F103" i="6"/>
  <c r="B103" i="6"/>
  <c r="N102" i="6"/>
  <c r="M102" i="6"/>
  <c r="H102" i="6"/>
  <c r="G102" i="6"/>
  <c r="F102" i="6"/>
  <c r="B102" i="6"/>
  <c r="N101" i="6"/>
  <c r="M101" i="6"/>
  <c r="H101" i="6"/>
  <c r="G101" i="6"/>
  <c r="F101" i="6"/>
  <c r="B101" i="6"/>
  <c r="N100" i="6"/>
  <c r="M100" i="6"/>
  <c r="H100" i="6"/>
  <c r="G100" i="6"/>
  <c r="F100" i="6"/>
  <c r="B100" i="6"/>
  <c r="N99" i="6"/>
  <c r="M99" i="6"/>
  <c r="H99" i="6"/>
  <c r="G99" i="6"/>
  <c r="F99" i="6"/>
  <c r="B99" i="6"/>
  <c r="N98" i="6"/>
  <c r="M98" i="6"/>
  <c r="H98" i="6"/>
  <c r="G98" i="6"/>
  <c r="F98" i="6"/>
  <c r="B98" i="6"/>
  <c r="N97" i="6"/>
  <c r="M97" i="6"/>
  <c r="H97" i="6"/>
  <c r="G97" i="6"/>
  <c r="F97" i="6"/>
  <c r="B97" i="6"/>
  <c r="N96" i="6"/>
  <c r="M96" i="6"/>
  <c r="H96" i="6"/>
  <c r="G96" i="6"/>
  <c r="F96" i="6"/>
  <c r="B96" i="6"/>
  <c r="N95" i="6"/>
  <c r="M95" i="6"/>
  <c r="H95" i="6"/>
  <c r="G95" i="6"/>
  <c r="F95" i="6"/>
  <c r="B95" i="6"/>
  <c r="N94" i="6"/>
  <c r="M94" i="6"/>
  <c r="H94" i="6"/>
  <c r="G94" i="6"/>
  <c r="F94" i="6"/>
  <c r="B94" i="6"/>
  <c r="N93" i="6"/>
  <c r="M93" i="6"/>
  <c r="H93" i="6"/>
  <c r="G93" i="6"/>
  <c r="F93" i="6"/>
  <c r="B93" i="6"/>
  <c r="N92" i="6"/>
  <c r="M92" i="6"/>
  <c r="H92" i="6"/>
  <c r="G92" i="6"/>
  <c r="F92" i="6"/>
  <c r="B92" i="6"/>
  <c r="N91" i="6"/>
  <c r="M91" i="6"/>
  <c r="H91" i="6"/>
  <c r="G91" i="6"/>
  <c r="F91" i="6"/>
  <c r="B91" i="6"/>
  <c r="N90" i="6"/>
  <c r="M90" i="6"/>
  <c r="H90" i="6"/>
  <c r="G90" i="6"/>
  <c r="F90" i="6"/>
  <c r="B90" i="6"/>
  <c r="N89" i="6"/>
  <c r="M89" i="6"/>
  <c r="H89" i="6"/>
  <c r="G89" i="6"/>
  <c r="F89" i="6"/>
  <c r="B89" i="6"/>
  <c r="N88" i="6"/>
  <c r="M88" i="6"/>
  <c r="H88" i="6"/>
  <c r="G88" i="6"/>
  <c r="F88" i="6"/>
  <c r="B88" i="6"/>
  <c r="N87" i="6"/>
  <c r="M87" i="6"/>
  <c r="H87" i="6"/>
  <c r="G87" i="6"/>
  <c r="F87" i="6"/>
  <c r="B87" i="6"/>
  <c r="N86" i="6"/>
  <c r="M86" i="6"/>
  <c r="H86" i="6"/>
  <c r="G86" i="6"/>
  <c r="F86" i="6"/>
  <c r="B86" i="6"/>
  <c r="N85" i="6"/>
  <c r="M85" i="6"/>
  <c r="H85" i="6"/>
  <c r="G85" i="6"/>
  <c r="F85" i="6"/>
  <c r="B85" i="6"/>
  <c r="N84" i="6"/>
  <c r="M84" i="6"/>
  <c r="H84" i="6"/>
  <c r="G84" i="6"/>
  <c r="F84" i="6"/>
  <c r="B84" i="6"/>
  <c r="N83" i="6"/>
  <c r="M83" i="6"/>
  <c r="H83" i="6"/>
  <c r="G83" i="6"/>
  <c r="F83" i="6"/>
  <c r="B83" i="6"/>
  <c r="N82" i="6"/>
  <c r="M82" i="6"/>
  <c r="H82" i="6"/>
  <c r="G82" i="6"/>
  <c r="F82" i="6"/>
  <c r="B82" i="6"/>
  <c r="N81" i="6"/>
  <c r="M81" i="6"/>
  <c r="H81" i="6"/>
  <c r="G81" i="6"/>
  <c r="F81" i="6"/>
  <c r="B81" i="6"/>
  <c r="N80" i="6"/>
  <c r="M80" i="6"/>
  <c r="H80" i="6"/>
  <c r="G80" i="6"/>
  <c r="F80" i="6"/>
  <c r="B80" i="6"/>
  <c r="N79" i="6"/>
  <c r="M79" i="6"/>
  <c r="H79" i="6"/>
  <c r="G79" i="6"/>
  <c r="F79" i="6"/>
  <c r="B79" i="6"/>
  <c r="N78" i="6"/>
  <c r="M78" i="6"/>
  <c r="H78" i="6"/>
  <c r="G78" i="6"/>
  <c r="F78" i="6"/>
  <c r="B78" i="6"/>
  <c r="N77" i="6"/>
  <c r="M77" i="6"/>
  <c r="H77" i="6"/>
  <c r="G77" i="6"/>
  <c r="F77" i="6"/>
  <c r="B77" i="6"/>
  <c r="N76" i="6"/>
  <c r="M76" i="6"/>
  <c r="H76" i="6"/>
  <c r="G76" i="6"/>
  <c r="F76" i="6"/>
  <c r="B76" i="6"/>
  <c r="N75" i="6"/>
  <c r="M75" i="6"/>
  <c r="H75" i="6"/>
  <c r="G75" i="6"/>
  <c r="F75" i="6"/>
  <c r="B75" i="6"/>
  <c r="N74" i="6"/>
  <c r="M74" i="6"/>
  <c r="H74" i="6"/>
  <c r="G74" i="6"/>
  <c r="F74" i="6"/>
  <c r="B74" i="6"/>
  <c r="N73" i="6"/>
  <c r="M73" i="6"/>
  <c r="H73" i="6"/>
  <c r="G73" i="6"/>
  <c r="F73" i="6"/>
  <c r="B73" i="6"/>
  <c r="N72" i="6"/>
  <c r="M72" i="6"/>
  <c r="H72" i="6"/>
  <c r="G72" i="6"/>
  <c r="F72" i="6"/>
  <c r="B72" i="6"/>
  <c r="N71" i="6"/>
  <c r="M71" i="6"/>
  <c r="H71" i="6"/>
  <c r="G71" i="6"/>
  <c r="F71" i="6"/>
  <c r="B71" i="6"/>
  <c r="N70" i="6"/>
  <c r="M70" i="6"/>
  <c r="H70" i="6"/>
  <c r="G70" i="6"/>
  <c r="F70" i="6"/>
  <c r="B70" i="6"/>
  <c r="N69" i="6"/>
  <c r="M69" i="6"/>
  <c r="H69" i="6"/>
  <c r="G69" i="6"/>
  <c r="F69" i="6"/>
  <c r="B69" i="6"/>
  <c r="N68" i="6"/>
  <c r="M68" i="6"/>
  <c r="H68" i="6"/>
  <c r="G68" i="6"/>
  <c r="F68" i="6"/>
  <c r="B68" i="6"/>
  <c r="N67" i="6"/>
  <c r="M67" i="6"/>
  <c r="H67" i="6"/>
  <c r="G67" i="6"/>
  <c r="F67" i="6"/>
  <c r="B67" i="6"/>
  <c r="N66" i="6"/>
  <c r="M66" i="6"/>
  <c r="H66" i="6"/>
  <c r="G66" i="6"/>
  <c r="F66" i="6"/>
  <c r="B66" i="6"/>
  <c r="N65" i="6"/>
  <c r="M65" i="6"/>
  <c r="H65" i="6"/>
  <c r="G65" i="6"/>
  <c r="F65" i="6"/>
  <c r="B65" i="6"/>
  <c r="N64" i="6"/>
  <c r="M64" i="6"/>
  <c r="H64" i="6"/>
  <c r="G64" i="6"/>
  <c r="F64" i="6"/>
  <c r="B64" i="6"/>
  <c r="N63" i="6"/>
  <c r="M63" i="6"/>
  <c r="H63" i="6"/>
  <c r="G63" i="6"/>
  <c r="F63" i="6"/>
  <c r="B63" i="6"/>
  <c r="N62" i="6"/>
  <c r="M62" i="6"/>
  <c r="H62" i="6"/>
  <c r="G62" i="6"/>
  <c r="F62" i="6"/>
  <c r="B62" i="6"/>
  <c r="N61" i="6"/>
  <c r="M61" i="6"/>
  <c r="H61" i="6"/>
  <c r="G61" i="6"/>
  <c r="F61" i="6"/>
  <c r="B61" i="6"/>
  <c r="N60" i="6"/>
  <c r="M60" i="6"/>
  <c r="H60" i="6"/>
  <c r="G60" i="6"/>
  <c r="F60" i="6"/>
  <c r="B60" i="6"/>
  <c r="N59" i="6"/>
  <c r="M59" i="6"/>
  <c r="H59" i="6"/>
  <c r="G59" i="6"/>
  <c r="F59" i="6"/>
  <c r="B59" i="6"/>
  <c r="N58" i="6"/>
  <c r="M58" i="6"/>
  <c r="H58" i="6"/>
  <c r="G58" i="6"/>
  <c r="F58" i="6"/>
  <c r="B58" i="6"/>
  <c r="N57" i="6"/>
  <c r="M57" i="6"/>
  <c r="H57" i="6"/>
  <c r="G57" i="6"/>
  <c r="F57" i="6"/>
  <c r="B57" i="6"/>
  <c r="N56" i="6"/>
  <c r="M56" i="6"/>
  <c r="H56" i="6"/>
  <c r="G56" i="6"/>
  <c r="F56" i="6"/>
  <c r="B56" i="6"/>
  <c r="N55" i="6"/>
  <c r="M55" i="6"/>
  <c r="H55" i="6"/>
  <c r="G55" i="6"/>
  <c r="F55" i="6"/>
  <c r="B55" i="6"/>
  <c r="N54" i="6"/>
  <c r="M54" i="6"/>
  <c r="H54" i="6"/>
  <c r="G54" i="6"/>
  <c r="F54" i="6"/>
  <c r="B54" i="6"/>
  <c r="N53" i="6"/>
  <c r="M53" i="6"/>
  <c r="H53" i="6"/>
  <c r="G53" i="6"/>
  <c r="F53" i="6"/>
  <c r="B53" i="6"/>
  <c r="N52" i="6"/>
  <c r="M52" i="6"/>
  <c r="H52" i="6"/>
  <c r="G52" i="6"/>
  <c r="F52" i="6"/>
  <c r="B52" i="6"/>
  <c r="N51" i="6"/>
  <c r="M51" i="6"/>
  <c r="H51" i="6"/>
  <c r="G51" i="6"/>
  <c r="F51" i="6"/>
  <c r="B51" i="6"/>
  <c r="N50" i="6"/>
  <c r="M50" i="6"/>
  <c r="H50" i="6"/>
  <c r="G50" i="6"/>
  <c r="F50" i="6"/>
  <c r="B50" i="6"/>
  <c r="N49" i="6"/>
  <c r="M49" i="6"/>
  <c r="H49" i="6"/>
  <c r="G49" i="6"/>
  <c r="F49" i="6"/>
  <c r="B49" i="6"/>
  <c r="N48" i="6"/>
  <c r="M48" i="6"/>
  <c r="H48" i="6"/>
  <c r="G48" i="6"/>
  <c r="F48" i="6"/>
  <c r="B48" i="6"/>
  <c r="N47" i="6"/>
  <c r="M47" i="6"/>
  <c r="H47" i="6"/>
  <c r="G47" i="6"/>
  <c r="F47" i="6"/>
  <c r="B47" i="6"/>
  <c r="N46" i="6"/>
  <c r="M46" i="6"/>
  <c r="H46" i="6"/>
  <c r="G46" i="6"/>
  <c r="F46" i="6"/>
  <c r="B46" i="6"/>
  <c r="N45" i="6"/>
  <c r="M45" i="6"/>
  <c r="H45" i="6"/>
  <c r="G45" i="6"/>
  <c r="F45" i="6"/>
  <c r="B45" i="6"/>
  <c r="N44" i="6"/>
  <c r="M44" i="6"/>
  <c r="H44" i="6"/>
  <c r="G44" i="6"/>
  <c r="F44" i="6"/>
  <c r="B44" i="6"/>
  <c r="N43" i="6"/>
  <c r="M43" i="6"/>
  <c r="H43" i="6"/>
  <c r="G43" i="6"/>
  <c r="F43" i="6"/>
  <c r="B43" i="6"/>
  <c r="N42" i="6"/>
  <c r="M42" i="6"/>
  <c r="H42" i="6"/>
  <c r="G42" i="6"/>
  <c r="F42" i="6"/>
  <c r="B42" i="6"/>
  <c r="N41" i="6"/>
  <c r="M41" i="6"/>
  <c r="H41" i="6"/>
  <c r="G41" i="6"/>
  <c r="F41" i="6"/>
  <c r="B41" i="6"/>
  <c r="N40" i="6"/>
  <c r="M40" i="6"/>
  <c r="H40" i="6"/>
  <c r="G40" i="6"/>
  <c r="F40" i="6"/>
  <c r="B40" i="6"/>
  <c r="N39" i="6"/>
  <c r="M39" i="6"/>
  <c r="H39" i="6"/>
  <c r="G39" i="6"/>
  <c r="F39" i="6"/>
  <c r="B39" i="6"/>
  <c r="N38" i="6"/>
  <c r="M38" i="6"/>
  <c r="H38" i="6"/>
  <c r="G38" i="6"/>
  <c r="F38" i="6"/>
  <c r="B38" i="6"/>
  <c r="N37" i="6"/>
  <c r="M37" i="6"/>
  <c r="H37" i="6"/>
  <c r="G37" i="6"/>
  <c r="F37" i="6"/>
  <c r="B37" i="6"/>
  <c r="N36" i="6"/>
  <c r="M36" i="6"/>
  <c r="H36" i="6"/>
  <c r="G36" i="6"/>
  <c r="F36" i="6"/>
  <c r="B36" i="6"/>
  <c r="N35" i="6"/>
  <c r="M35" i="6"/>
  <c r="H35" i="6"/>
  <c r="G35" i="6"/>
  <c r="F35" i="6"/>
  <c r="B35" i="6"/>
  <c r="N34" i="6"/>
  <c r="M34" i="6"/>
  <c r="H34" i="6"/>
  <c r="G34" i="6"/>
  <c r="F34" i="6"/>
  <c r="B34" i="6"/>
  <c r="N33" i="6"/>
  <c r="M33" i="6"/>
  <c r="H33" i="6"/>
  <c r="G33" i="6"/>
  <c r="F33" i="6"/>
  <c r="B33" i="6"/>
  <c r="N32" i="6"/>
  <c r="M32" i="6"/>
  <c r="H32" i="6"/>
  <c r="G32" i="6"/>
  <c r="F32" i="6"/>
  <c r="B32" i="6"/>
  <c r="N31" i="6"/>
  <c r="M31" i="6"/>
  <c r="H31" i="6"/>
  <c r="G31" i="6"/>
  <c r="F31" i="6"/>
  <c r="B31" i="6"/>
  <c r="N30" i="6"/>
  <c r="M30" i="6"/>
  <c r="H30" i="6"/>
  <c r="G30" i="6"/>
  <c r="F30" i="6"/>
  <c r="B30" i="6"/>
  <c r="N29" i="6"/>
  <c r="M29" i="6"/>
  <c r="H29" i="6"/>
  <c r="G29" i="6"/>
  <c r="F29" i="6"/>
  <c r="B29" i="6"/>
  <c r="N28" i="6"/>
  <c r="M28" i="6"/>
  <c r="H28" i="6"/>
  <c r="G28" i="6"/>
  <c r="F28" i="6"/>
  <c r="B28" i="6"/>
  <c r="N27" i="6"/>
  <c r="M27" i="6"/>
  <c r="H27" i="6"/>
  <c r="G27" i="6"/>
  <c r="F27" i="6"/>
  <c r="B27" i="6"/>
  <c r="N26" i="6"/>
  <c r="M26" i="6"/>
  <c r="H26" i="6"/>
  <c r="G26" i="6"/>
  <c r="F26" i="6"/>
  <c r="B26" i="6"/>
  <c r="N25" i="6"/>
  <c r="M25" i="6"/>
  <c r="H25" i="6"/>
  <c r="G25" i="6"/>
  <c r="F25" i="6"/>
  <c r="B25" i="6"/>
  <c r="N24" i="6"/>
  <c r="M24" i="6"/>
  <c r="H24" i="6"/>
  <c r="G24" i="6"/>
  <c r="F24" i="6"/>
  <c r="B24" i="6"/>
  <c r="N23" i="6"/>
  <c r="M23" i="6"/>
  <c r="H23" i="6"/>
  <c r="G23" i="6"/>
  <c r="F23" i="6"/>
  <c r="B23" i="6"/>
  <c r="N22" i="6"/>
  <c r="M22" i="6"/>
  <c r="H22" i="6"/>
  <c r="G22" i="6"/>
  <c r="F22" i="6"/>
  <c r="B22" i="6"/>
  <c r="N21" i="6"/>
  <c r="M21" i="6"/>
  <c r="H21" i="6"/>
  <c r="G21" i="6"/>
  <c r="F21" i="6"/>
  <c r="B21" i="6"/>
  <c r="N20" i="6"/>
  <c r="M20" i="6"/>
  <c r="H20" i="6"/>
  <c r="G20" i="6"/>
  <c r="F20" i="6"/>
  <c r="B20" i="6"/>
  <c r="N19" i="6"/>
  <c r="M19" i="6"/>
  <c r="H19" i="6"/>
  <c r="G19" i="6"/>
  <c r="F19" i="6"/>
  <c r="B19" i="6"/>
  <c r="N18" i="6"/>
  <c r="M18" i="6"/>
  <c r="H18" i="6"/>
  <c r="G18" i="6"/>
  <c r="F18" i="6"/>
  <c r="B18" i="6"/>
  <c r="N17" i="6"/>
  <c r="M17" i="6"/>
  <c r="H17" i="6"/>
  <c r="G17" i="6"/>
  <c r="F17" i="6"/>
  <c r="B17" i="6"/>
  <c r="N16" i="6"/>
  <c r="M16" i="6"/>
  <c r="H16" i="6"/>
  <c r="G16" i="6"/>
  <c r="F16" i="6"/>
  <c r="B16" i="6"/>
  <c r="N15" i="6"/>
  <c r="M15" i="6"/>
  <c r="H15" i="6"/>
  <c r="G15" i="6"/>
  <c r="F15" i="6"/>
  <c r="B15" i="6"/>
  <c r="D4" i="6"/>
  <c r="A154" i="5"/>
  <c r="A153" i="5"/>
  <c r="A152" i="5"/>
  <c r="A151" i="5"/>
  <c r="A150" i="5"/>
  <c r="A149" i="5"/>
  <c r="A148" i="5"/>
  <c r="A147" i="5"/>
  <c r="A146" i="5"/>
  <c r="G146" i="5" s="1"/>
  <c r="E146" i="8" s="1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L110" i="5" s="1"/>
  <c r="M110" i="5" s="1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J18" i="3"/>
  <c r="J17" i="3"/>
  <c r="J16" i="3"/>
  <c r="J15" i="3"/>
  <c r="J14" i="3"/>
  <c r="J13" i="3"/>
  <c r="J12" i="3"/>
  <c r="J11" i="3"/>
  <c r="J10" i="3"/>
  <c r="B6" i="3"/>
  <c r="C31" i="2"/>
  <c r="D31" i="2" s="1"/>
  <c r="C30" i="2"/>
  <c r="D30" i="2" s="1"/>
  <c r="C29" i="2"/>
  <c r="D29" i="2" s="1"/>
  <c r="C6" i="2"/>
  <c r="R15" i="7" l="1"/>
  <c r="S15" i="7"/>
  <c r="B118" i="6"/>
  <c r="N117" i="6"/>
  <c r="U117" i="6" s="1"/>
  <c r="D95" i="6"/>
  <c r="D94" i="6"/>
  <c r="D93" i="6"/>
  <c r="D37" i="6"/>
  <c r="D91" i="6"/>
  <c r="D84" i="6"/>
  <c r="D82" i="6"/>
  <c r="D78" i="6"/>
  <c r="I8" i="6"/>
  <c r="D86" i="6"/>
  <c r="D75" i="6"/>
  <c r="D34" i="6"/>
  <c r="D36" i="6"/>
  <c r="D66" i="6"/>
  <c r="D65" i="6"/>
  <c r="D21" i="6"/>
  <c r="D38" i="6"/>
  <c r="D39" i="6"/>
  <c r="D42" i="6"/>
  <c r="D43" i="6"/>
  <c r="D44" i="6"/>
  <c r="D46" i="6"/>
  <c r="D47" i="6"/>
  <c r="D48" i="6"/>
  <c r="D49" i="6"/>
  <c r="D53" i="6"/>
  <c r="D117" i="6"/>
  <c r="D55" i="6"/>
  <c r="D57" i="6"/>
  <c r="D68" i="6"/>
  <c r="D74" i="6"/>
  <c r="D77" i="6"/>
  <c r="D81" i="6"/>
  <c r="D83" i="6"/>
  <c r="D85" i="6"/>
  <c r="D87" i="6"/>
  <c r="D69" i="6"/>
  <c r="D113" i="6"/>
  <c r="D73" i="6"/>
  <c r="D67" i="6"/>
  <c r="D64" i="6"/>
  <c r="D61" i="6"/>
  <c r="D59" i="6"/>
  <c r="D112" i="6"/>
  <c r="D107" i="6"/>
  <c r="D106" i="6"/>
  <c r="D103" i="6"/>
  <c r="D102" i="6"/>
  <c r="D99" i="6"/>
  <c r="D96" i="6"/>
  <c r="D90" i="6"/>
  <c r="D80" i="6"/>
  <c r="D79" i="6"/>
  <c r="D76" i="6"/>
  <c r="D72" i="6"/>
  <c r="D71" i="6"/>
  <c r="D70" i="6"/>
  <c r="D63" i="6"/>
  <c r="D62" i="6"/>
  <c r="I66" i="6" s="1"/>
  <c r="D60" i="6"/>
  <c r="I64" i="6" s="1"/>
  <c r="D58" i="6"/>
  <c r="I62" i="6" s="1"/>
  <c r="D56" i="6"/>
  <c r="I60" i="6" s="1"/>
  <c r="D54" i="6"/>
  <c r="I58" i="6" s="1"/>
  <c r="D50" i="6"/>
  <c r="D45" i="6"/>
  <c r="G5" i="6"/>
  <c r="G7" i="6" s="1"/>
  <c r="H8" i="6"/>
  <c r="D16" i="6"/>
  <c r="D17" i="6"/>
  <c r="D19" i="6"/>
  <c r="D22" i="6"/>
  <c r="D24" i="6"/>
  <c r="D25" i="6"/>
  <c r="D26" i="6"/>
  <c r="D30" i="6"/>
  <c r="D32" i="6"/>
  <c r="D35" i="6"/>
  <c r="D40" i="6"/>
  <c r="D41" i="6"/>
  <c r="I45" i="6" s="1"/>
  <c r="D51" i="6"/>
  <c r="D52" i="6"/>
  <c r="I56" i="6" s="1"/>
  <c r="D88" i="6"/>
  <c r="D89" i="6"/>
  <c r="D92" i="6"/>
  <c r="D104" i="6"/>
  <c r="D105" i="6"/>
  <c r="D31" i="6"/>
  <c r="D110" i="6"/>
  <c r="D33" i="6"/>
  <c r="I37" i="6" s="1"/>
  <c r="D111" i="6"/>
  <c r="D109" i="6"/>
  <c r="D108" i="6"/>
  <c r="D101" i="6"/>
  <c r="D27" i="6"/>
  <c r="D100" i="6"/>
  <c r="D98" i="6"/>
  <c r="D114" i="6"/>
  <c r="D115" i="6"/>
  <c r="D116" i="6"/>
  <c r="D97" i="6"/>
  <c r="D29" i="6"/>
  <c r="D28" i="6"/>
  <c r="D23" i="6"/>
  <c r="D20" i="6"/>
  <c r="D18" i="6"/>
  <c r="D15" i="6"/>
  <c r="G8" i="6"/>
  <c r="C5" i="6"/>
  <c r="B154" i="5"/>
  <c r="B154" i="8" s="1"/>
  <c r="A154" i="8"/>
  <c r="N154" i="5"/>
  <c r="G154" i="8" s="1"/>
  <c r="L154" i="5"/>
  <c r="M154" i="5" s="1"/>
  <c r="H154" i="5"/>
  <c r="G154" i="5"/>
  <c r="E154" i="8" s="1"/>
  <c r="C154" i="5"/>
  <c r="N153" i="5"/>
  <c r="G153" i="8" s="1"/>
  <c r="G153" i="5"/>
  <c r="E153" i="8" s="1"/>
  <c r="A153" i="8"/>
  <c r="L153" i="5"/>
  <c r="M153" i="5" s="1"/>
  <c r="H153" i="5"/>
  <c r="C153" i="5"/>
  <c r="B153" i="5"/>
  <c r="B153" i="8" s="1"/>
  <c r="C152" i="5"/>
  <c r="B152" i="5"/>
  <c r="B152" i="8" s="1"/>
  <c r="H152" i="5"/>
  <c r="L152" i="5"/>
  <c r="M152" i="5" s="1"/>
  <c r="N152" i="5"/>
  <c r="G152" i="8" s="1"/>
  <c r="A152" i="8"/>
  <c r="G152" i="5"/>
  <c r="E152" i="8" s="1"/>
  <c r="C151" i="5"/>
  <c r="G151" i="5"/>
  <c r="E151" i="8" s="1"/>
  <c r="B151" i="5"/>
  <c r="B151" i="8" s="1"/>
  <c r="N151" i="5"/>
  <c r="G151" i="8" s="1"/>
  <c r="A151" i="8"/>
  <c r="H151" i="5"/>
  <c r="L151" i="5"/>
  <c r="M151" i="5" s="1"/>
  <c r="G150" i="5"/>
  <c r="E150" i="8" s="1"/>
  <c r="C150" i="5"/>
  <c r="A150" i="8"/>
  <c r="L150" i="5"/>
  <c r="M150" i="5" s="1"/>
  <c r="B150" i="5"/>
  <c r="B150" i="8" s="1"/>
  <c r="H150" i="5"/>
  <c r="N150" i="5"/>
  <c r="G150" i="8" s="1"/>
  <c r="A149" i="8"/>
  <c r="L149" i="5"/>
  <c r="M149" i="5" s="1"/>
  <c r="H149" i="5"/>
  <c r="N149" i="5"/>
  <c r="G149" i="8" s="1"/>
  <c r="G149" i="5"/>
  <c r="E149" i="8" s="1"/>
  <c r="C149" i="5"/>
  <c r="B149" i="5"/>
  <c r="B149" i="8" s="1"/>
  <c r="H148" i="5"/>
  <c r="C148" i="5"/>
  <c r="B148" i="5"/>
  <c r="B148" i="8" s="1"/>
  <c r="G148" i="5"/>
  <c r="E148" i="8" s="1"/>
  <c r="L148" i="5"/>
  <c r="M148" i="5" s="1"/>
  <c r="N148" i="5"/>
  <c r="G148" i="8" s="1"/>
  <c r="A148" i="8"/>
  <c r="C147" i="5"/>
  <c r="A147" i="8"/>
  <c r="H147" i="5"/>
  <c r="B147" i="5"/>
  <c r="B147" i="8" s="1"/>
  <c r="N147" i="5"/>
  <c r="G147" i="8" s="1"/>
  <c r="L147" i="5"/>
  <c r="M147" i="5" s="1"/>
  <c r="G147" i="5"/>
  <c r="E147" i="8" s="1"/>
  <c r="M146" i="8"/>
  <c r="R146" i="8"/>
  <c r="C146" i="5"/>
  <c r="A146" i="8"/>
  <c r="H146" i="5"/>
  <c r="N146" i="5"/>
  <c r="G146" i="8" s="1"/>
  <c r="L146" i="5"/>
  <c r="M146" i="5" s="1"/>
  <c r="B146" i="5"/>
  <c r="B146" i="8" s="1"/>
  <c r="G145" i="5"/>
  <c r="E145" i="8" s="1"/>
  <c r="H145" i="5"/>
  <c r="B145" i="5"/>
  <c r="B145" i="8" s="1"/>
  <c r="L145" i="5"/>
  <c r="M145" i="5" s="1"/>
  <c r="N145" i="5"/>
  <c r="G145" i="8" s="1"/>
  <c r="C145" i="5"/>
  <c r="A145" i="8"/>
  <c r="L144" i="5"/>
  <c r="M144" i="5" s="1"/>
  <c r="H144" i="5"/>
  <c r="B144" i="5"/>
  <c r="B144" i="8" s="1"/>
  <c r="N144" i="5"/>
  <c r="G144" i="8" s="1"/>
  <c r="C144" i="5"/>
  <c r="G144" i="5"/>
  <c r="E144" i="8" s="1"/>
  <c r="A144" i="8"/>
  <c r="B143" i="5"/>
  <c r="B143" i="8" s="1"/>
  <c r="L143" i="5"/>
  <c r="M143" i="5" s="1"/>
  <c r="N143" i="5"/>
  <c r="G143" i="8" s="1"/>
  <c r="G143" i="5"/>
  <c r="E143" i="8" s="1"/>
  <c r="C143" i="5"/>
  <c r="H143" i="5"/>
  <c r="A143" i="8"/>
  <c r="G142" i="5"/>
  <c r="E142" i="8" s="1"/>
  <c r="A142" i="8"/>
  <c r="N142" i="5"/>
  <c r="G142" i="8" s="1"/>
  <c r="L142" i="5"/>
  <c r="M142" i="5" s="1"/>
  <c r="B142" i="5"/>
  <c r="B142" i="8" s="1"/>
  <c r="C142" i="5"/>
  <c r="H142" i="5"/>
  <c r="L141" i="5"/>
  <c r="M141" i="5" s="1"/>
  <c r="B141" i="5"/>
  <c r="B141" i="8" s="1"/>
  <c r="C141" i="5"/>
  <c r="G141" i="5"/>
  <c r="E141" i="8" s="1"/>
  <c r="H141" i="5"/>
  <c r="N141" i="5"/>
  <c r="G141" i="8" s="1"/>
  <c r="A141" i="8"/>
  <c r="L140" i="5"/>
  <c r="M140" i="5" s="1"/>
  <c r="N140" i="5"/>
  <c r="G140" i="8" s="1"/>
  <c r="H140" i="5"/>
  <c r="C140" i="5"/>
  <c r="G140" i="5"/>
  <c r="E140" i="8" s="1"/>
  <c r="B140" i="5"/>
  <c r="B140" i="8" s="1"/>
  <c r="A140" i="8"/>
  <c r="B139" i="5"/>
  <c r="B139" i="8" s="1"/>
  <c r="H139" i="5"/>
  <c r="L139" i="5"/>
  <c r="M139" i="5" s="1"/>
  <c r="N139" i="5"/>
  <c r="G139" i="8" s="1"/>
  <c r="C139" i="5"/>
  <c r="A139" i="8"/>
  <c r="G139" i="5"/>
  <c r="E139" i="8" s="1"/>
  <c r="G138" i="5"/>
  <c r="E138" i="8" s="1"/>
  <c r="H138" i="5"/>
  <c r="B138" i="5"/>
  <c r="B138" i="8" s="1"/>
  <c r="L138" i="5"/>
  <c r="M138" i="5" s="1"/>
  <c r="C138" i="5"/>
  <c r="A138" i="8"/>
  <c r="N138" i="5"/>
  <c r="G138" i="8" s="1"/>
  <c r="N137" i="5"/>
  <c r="G137" i="8" s="1"/>
  <c r="C137" i="5"/>
  <c r="H137" i="5"/>
  <c r="B137" i="5"/>
  <c r="B137" i="8" s="1"/>
  <c r="G137" i="5"/>
  <c r="E137" i="8" s="1"/>
  <c r="L137" i="5"/>
  <c r="M137" i="5" s="1"/>
  <c r="A137" i="8"/>
  <c r="C136" i="5"/>
  <c r="B136" i="5"/>
  <c r="B136" i="8" s="1"/>
  <c r="L136" i="5"/>
  <c r="M136" i="5" s="1"/>
  <c r="G136" i="5"/>
  <c r="E136" i="8" s="1"/>
  <c r="H136" i="5"/>
  <c r="N136" i="5"/>
  <c r="G136" i="8" s="1"/>
  <c r="A136" i="8"/>
  <c r="L135" i="5"/>
  <c r="M135" i="5" s="1"/>
  <c r="H135" i="5"/>
  <c r="C135" i="5"/>
  <c r="G135" i="5"/>
  <c r="E135" i="8" s="1"/>
  <c r="N135" i="5"/>
  <c r="G135" i="8" s="1"/>
  <c r="A135" i="8"/>
  <c r="B135" i="5"/>
  <c r="B135" i="8" s="1"/>
  <c r="N134" i="5"/>
  <c r="G134" i="8" s="1"/>
  <c r="H134" i="5"/>
  <c r="C134" i="5"/>
  <c r="L134" i="5"/>
  <c r="M134" i="5" s="1"/>
  <c r="A134" i="8"/>
  <c r="B134" i="5"/>
  <c r="B134" i="8" s="1"/>
  <c r="G134" i="5"/>
  <c r="E134" i="8" s="1"/>
  <c r="L133" i="5"/>
  <c r="M133" i="5" s="1"/>
  <c r="A133" i="8"/>
  <c r="H133" i="5"/>
  <c r="N133" i="5"/>
  <c r="G133" i="8" s="1"/>
  <c r="G133" i="5"/>
  <c r="E133" i="8" s="1"/>
  <c r="C133" i="5"/>
  <c r="B133" i="5"/>
  <c r="B133" i="8" s="1"/>
  <c r="G132" i="5"/>
  <c r="E132" i="8" s="1"/>
  <c r="C132" i="5"/>
  <c r="A132" i="8"/>
  <c r="N132" i="5"/>
  <c r="G132" i="8" s="1"/>
  <c r="L132" i="5"/>
  <c r="M132" i="5" s="1"/>
  <c r="H132" i="5"/>
  <c r="B132" i="5"/>
  <c r="B132" i="8" s="1"/>
  <c r="N131" i="5"/>
  <c r="G131" i="8" s="1"/>
  <c r="B131" i="5"/>
  <c r="B131" i="8" s="1"/>
  <c r="A131" i="8"/>
  <c r="C131" i="5"/>
  <c r="H131" i="5"/>
  <c r="L131" i="5"/>
  <c r="M131" i="5" s="1"/>
  <c r="G131" i="5"/>
  <c r="E131" i="8" s="1"/>
  <c r="B130" i="5"/>
  <c r="B130" i="8" s="1"/>
  <c r="N130" i="5"/>
  <c r="G130" i="8" s="1"/>
  <c r="A130" i="8"/>
  <c r="G130" i="5"/>
  <c r="E130" i="8" s="1"/>
  <c r="C130" i="5"/>
  <c r="L130" i="5"/>
  <c r="M130" i="5" s="1"/>
  <c r="H130" i="5"/>
  <c r="N129" i="5"/>
  <c r="G129" i="8" s="1"/>
  <c r="H129" i="5"/>
  <c r="A129" i="8"/>
  <c r="L129" i="5"/>
  <c r="M129" i="5" s="1"/>
  <c r="G129" i="5"/>
  <c r="E129" i="8" s="1"/>
  <c r="B129" i="5"/>
  <c r="B129" i="8" s="1"/>
  <c r="C129" i="5"/>
  <c r="B128" i="5"/>
  <c r="B128" i="8" s="1"/>
  <c r="H128" i="5"/>
  <c r="L128" i="5"/>
  <c r="M128" i="5" s="1"/>
  <c r="A128" i="8"/>
  <c r="N128" i="5"/>
  <c r="G128" i="8" s="1"/>
  <c r="G128" i="5"/>
  <c r="E128" i="8" s="1"/>
  <c r="C128" i="5"/>
  <c r="G127" i="5"/>
  <c r="E127" i="8" s="1"/>
  <c r="C127" i="5"/>
  <c r="N127" i="5"/>
  <c r="G127" i="8" s="1"/>
  <c r="L127" i="5"/>
  <c r="M127" i="5" s="1"/>
  <c r="H127" i="5"/>
  <c r="A127" i="8"/>
  <c r="B127" i="5"/>
  <c r="B127" i="8" s="1"/>
  <c r="C126" i="5"/>
  <c r="H126" i="5"/>
  <c r="G126" i="5"/>
  <c r="E126" i="8" s="1"/>
  <c r="N126" i="5"/>
  <c r="G126" i="8" s="1"/>
  <c r="A126" i="8"/>
  <c r="L126" i="5"/>
  <c r="M126" i="5" s="1"/>
  <c r="B126" i="5"/>
  <c r="B126" i="8" s="1"/>
  <c r="H125" i="5"/>
  <c r="G125" i="5"/>
  <c r="E125" i="8" s="1"/>
  <c r="B125" i="5"/>
  <c r="B125" i="8" s="1"/>
  <c r="L125" i="5"/>
  <c r="M125" i="5" s="1"/>
  <c r="N125" i="5"/>
  <c r="G125" i="8" s="1"/>
  <c r="C125" i="5"/>
  <c r="A125" i="8"/>
  <c r="H124" i="5"/>
  <c r="C124" i="5"/>
  <c r="N124" i="5"/>
  <c r="G124" i="8" s="1"/>
  <c r="B124" i="5"/>
  <c r="B124" i="8" s="1"/>
  <c r="G124" i="5"/>
  <c r="E124" i="8" s="1"/>
  <c r="A124" i="8"/>
  <c r="L124" i="5"/>
  <c r="M124" i="5" s="1"/>
  <c r="H123" i="5"/>
  <c r="C123" i="5"/>
  <c r="A123" i="8"/>
  <c r="B123" i="5"/>
  <c r="B123" i="8" s="1"/>
  <c r="G123" i="5"/>
  <c r="E123" i="8" s="1"/>
  <c r="N123" i="5"/>
  <c r="G123" i="8" s="1"/>
  <c r="L123" i="5"/>
  <c r="M123" i="5" s="1"/>
  <c r="C122" i="5"/>
  <c r="A122" i="8"/>
  <c r="B122" i="5"/>
  <c r="B122" i="8" s="1"/>
  <c r="H122" i="5"/>
  <c r="N122" i="5"/>
  <c r="G122" i="8" s="1"/>
  <c r="L122" i="5"/>
  <c r="M122" i="5" s="1"/>
  <c r="G122" i="5"/>
  <c r="E122" i="8" s="1"/>
  <c r="B121" i="5"/>
  <c r="B121" i="8" s="1"/>
  <c r="A121" i="8"/>
  <c r="N121" i="5"/>
  <c r="G121" i="8" s="1"/>
  <c r="H121" i="5"/>
  <c r="L121" i="5"/>
  <c r="M121" i="5" s="1"/>
  <c r="G121" i="5"/>
  <c r="E121" i="8" s="1"/>
  <c r="C121" i="5"/>
  <c r="C120" i="5"/>
  <c r="H120" i="5"/>
  <c r="L120" i="5"/>
  <c r="M120" i="5" s="1"/>
  <c r="A120" i="8"/>
  <c r="G120" i="5"/>
  <c r="E120" i="8" s="1"/>
  <c r="N120" i="5"/>
  <c r="G120" i="8" s="1"/>
  <c r="B120" i="5"/>
  <c r="B120" i="8" s="1"/>
  <c r="N119" i="5"/>
  <c r="G119" i="8" s="1"/>
  <c r="B119" i="5"/>
  <c r="B119" i="8" s="1"/>
  <c r="A119" i="8"/>
  <c r="H119" i="5"/>
  <c r="G119" i="5"/>
  <c r="E119" i="8" s="1"/>
  <c r="L119" i="5"/>
  <c r="M119" i="5" s="1"/>
  <c r="C119" i="5"/>
  <c r="B118" i="5"/>
  <c r="B118" i="8" s="1"/>
  <c r="N118" i="5"/>
  <c r="G118" i="8" s="1"/>
  <c r="G118" i="5"/>
  <c r="E118" i="8" s="1"/>
  <c r="C118" i="5"/>
  <c r="A118" i="8"/>
  <c r="L118" i="5"/>
  <c r="M118" i="5" s="1"/>
  <c r="H118" i="5"/>
  <c r="N117" i="5"/>
  <c r="G117" i="8" s="1"/>
  <c r="L117" i="5"/>
  <c r="M117" i="5" s="1"/>
  <c r="H117" i="5"/>
  <c r="B117" i="5"/>
  <c r="B117" i="8" s="1"/>
  <c r="C117" i="5"/>
  <c r="A117" i="8"/>
  <c r="G117" i="5"/>
  <c r="E117" i="8" s="1"/>
  <c r="N116" i="5"/>
  <c r="G116" i="8" s="1"/>
  <c r="H116" i="5"/>
  <c r="G116" i="5"/>
  <c r="E116" i="8" s="1"/>
  <c r="C116" i="5"/>
  <c r="A116" i="8"/>
  <c r="L116" i="5"/>
  <c r="M116" i="5" s="1"/>
  <c r="B116" i="5"/>
  <c r="B116" i="8" s="1"/>
  <c r="G115" i="5"/>
  <c r="E115" i="8" s="1"/>
  <c r="C115" i="5"/>
  <c r="B115" i="5"/>
  <c r="B115" i="8" s="1"/>
  <c r="H115" i="5"/>
  <c r="A115" i="8"/>
  <c r="N115" i="5"/>
  <c r="G115" i="8" s="1"/>
  <c r="L115" i="5"/>
  <c r="M115" i="5" s="1"/>
  <c r="C114" i="5"/>
  <c r="N114" i="5"/>
  <c r="G114" i="8" s="1"/>
  <c r="H114" i="5"/>
  <c r="A114" i="8"/>
  <c r="G114" i="5"/>
  <c r="E114" i="8" s="1"/>
  <c r="L114" i="5"/>
  <c r="M114" i="5" s="1"/>
  <c r="B114" i="5"/>
  <c r="B114" i="8" s="1"/>
  <c r="H113" i="5"/>
  <c r="A113" i="8"/>
  <c r="G113" i="5"/>
  <c r="E113" i="8" s="1"/>
  <c r="N113" i="5"/>
  <c r="G113" i="8" s="1"/>
  <c r="C113" i="5"/>
  <c r="B113" i="5"/>
  <c r="B113" i="8" s="1"/>
  <c r="L113" i="5"/>
  <c r="M113" i="5" s="1"/>
  <c r="A112" i="8"/>
  <c r="B112" i="5"/>
  <c r="B112" i="8" s="1"/>
  <c r="H112" i="5"/>
  <c r="G112" i="5"/>
  <c r="E112" i="8" s="1"/>
  <c r="C112" i="5"/>
  <c r="L112" i="5"/>
  <c r="M112" i="5" s="1"/>
  <c r="N112" i="5"/>
  <c r="G112" i="8" s="1"/>
  <c r="G111" i="5"/>
  <c r="E111" i="8" s="1"/>
  <c r="C111" i="5"/>
  <c r="B111" i="5"/>
  <c r="B111" i="8" s="1"/>
  <c r="N111" i="5"/>
  <c r="G111" i="8" s="1"/>
  <c r="A111" i="8"/>
  <c r="H111" i="5"/>
  <c r="L111" i="5"/>
  <c r="M111" i="5" s="1"/>
  <c r="N110" i="5"/>
  <c r="G110" i="8" s="1"/>
  <c r="A110" i="8"/>
  <c r="G110" i="5"/>
  <c r="E110" i="8" s="1"/>
  <c r="C110" i="5"/>
  <c r="H110" i="5"/>
  <c r="B110" i="5"/>
  <c r="B110" i="8" s="1"/>
  <c r="B109" i="5"/>
  <c r="B109" i="8" s="1"/>
  <c r="A109" i="8"/>
  <c r="G109" i="5"/>
  <c r="E109" i="8" s="1"/>
  <c r="N109" i="5"/>
  <c r="G109" i="8" s="1"/>
  <c r="H109" i="5"/>
  <c r="C109" i="5"/>
  <c r="L109" i="5"/>
  <c r="M109" i="5" s="1"/>
  <c r="L108" i="5"/>
  <c r="M108" i="5" s="1"/>
  <c r="H108" i="5"/>
  <c r="C108" i="5"/>
  <c r="B108" i="5"/>
  <c r="B108" i="8" s="1"/>
  <c r="A108" i="8"/>
  <c r="N108" i="5"/>
  <c r="G108" i="8" s="1"/>
  <c r="G108" i="5"/>
  <c r="E108" i="8" s="1"/>
  <c r="H107" i="5"/>
  <c r="C107" i="5"/>
  <c r="N107" i="5"/>
  <c r="G107" i="8" s="1"/>
  <c r="L107" i="5"/>
  <c r="M107" i="5" s="1"/>
  <c r="G107" i="5"/>
  <c r="E107" i="8" s="1"/>
  <c r="A107" i="8"/>
  <c r="B107" i="5"/>
  <c r="B107" i="8" s="1"/>
  <c r="H106" i="5"/>
  <c r="G106" i="5"/>
  <c r="E106" i="8" s="1"/>
  <c r="B106" i="5"/>
  <c r="B106" i="8" s="1"/>
  <c r="A106" i="8"/>
  <c r="L106" i="5"/>
  <c r="M106" i="5" s="1"/>
  <c r="N106" i="5"/>
  <c r="G106" i="8" s="1"/>
  <c r="C106" i="5"/>
  <c r="H105" i="5"/>
  <c r="B105" i="5"/>
  <c r="B105" i="8" s="1"/>
  <c r="N105" i="5"/>
  <c r="G105" i="8" s="1"/>
  <c r="L105" i="5"/>
  <c r="M105" i="5" s="1"/>
  <c r="C105" i="5"/>
  <c r="G105" i="5"/>
  <c r="E105" i="8" s="1"/>
  <c r="A105" i="8"/>
  <c r="C104" i="5"/>
  <c r="N104" i="5"/>
  <c r="G104" i="8" s="1"/>
  <c r="G104" i="5"/>
  <c r="E104" i="8" s="1"/>
  <c r="B104" i="5"/>
  <c r="B104" i="8" s="1"/>
  <c r="A104" i="8"/>
  <c r="H104" i="5"/>
  <c r="L104" i="5"/>
  <c r="M104" i="5" s="1"/>
  <c r="G103" i="5"/>
  <c r="E103" i="8" s="1"/>
  <c r="B103" i="5"/>
  <c r="B103" i="8" s="1"/>
  <c r="C103" i="5"/>
  <c r="A103" i="8"/>
  <c r="N103" i="5"/>
  <c r="G103" i="8" s="1"/>
  <c r="L103" i="5"/>
  <c r="M103" i="5" s="1"/>
  <c r="H103" i="5"/>
  <c r="N102" i="5"/>
  <c r="G102" i="8" s="1"/>
  <c r="L102" i="5"/>
  <c r="M102" i="5" s="1"/>
  <c r="C102" i="5"/>
  <c r="G102" i="5"/>
  <c r="E102" i="8" s="1"/>
  <c r="B102" i="5"/>
  <c r="B102" i="8" s="1"/>
  <c r="H102" i="5"/>
  <c r="A102" i="8"/>
  <c r="A101" i="8"/>
  <c r="C101" i="5"/>
  <c r="G101" i="5"/>
  <c r="E101" i="8" s="1"/>
  <c r="N101" i="5"/>
  <c r="G101" i="8" s="1"/>
  <c r="B101" i="5"/>
  <c r="B101" i="8" s="1"/>
  <c r="L101" i="5"/>
  <c r="M101" i="5" s="1"/>
  <c r="H101" i="5"/>
  <c r="G100" i="5"/>
  <c r="E100" i="8" s="1"/>
  <c r="C100" i="5"/>
  <c r="L100" i="5"/>
  <c r="M100" i="5" s="1"/>
  <c r="N100" i="5"/>
  <c r="G100" i="8" s="1"/>
  <c r="B100" i="5"/>
  <c r="B100" i="8" s="1"/>
  <c r="A100" i="8"/>
  <c r="H100" i="5"/>
  <c r="B99" i="5"/>
  <c r="B99" i="8" s="1"/>
  <c r="G99" i="5"/>
  <c r="E99" i="8" s="1"/>
  <c r="C99" i="5"/>
  <c r="L99" i="5"/>
  <c r="M99" i="5" s="1"/>
  <c r="A99" i="8"/>
  <c r="H99" i="5"/>
  <c r="N99" i="5"/>
  <c r="G99" i="8" s="1"/>
  <c r="B98" i="5"/>
  <c r="B98" i="8" s="1"/>
  <c r="A98" i="8"/>
  <c r="C98" i="5"/>
  <c r="L98" i="5"/>
  <c r="M98" i="5" s="1"/>
  <c r="H98" i="5"/>
  <c r="G98" i="5"/>
  <c r="E98" i="8" s="1"/>
  <c r="N98" i="5"/>
  <c r="G98" i="8" s="1"/>
  <c r="G97" i="5"/>
  <c r="E97" i="8" s="1"/>
  <c r="B97" i="5"/>
  <c r="B97" i="8" s="1"/>
  <c r="H97" i="5"/>
  <c r="C97" i="5"/>
  <c r="A97" i="8"/>
  <c r="N97" i="5"/>
  <c r="G97" i="8" s="1"/>
  <c r="L97" i="5"/>
  <c r="M97" i="5" s="1"/>
  <c r="C96" i="5"/>
  <c r="B96" i="5"/>
  <c r="B96" i="8" s="1"/>
  <c r="H96" i="5"/>
  <c r="A96" i="8"/>
  <c r="L96" i="5"/>
  <c r="M96" i="5" s="1"/>
  <c r="N96" i="5"/>
  <c r="G96" i="8" s="1"/>
  <c r="G96" i="5"/>
  <c r="E96" i="8" s="1"/>
  <c r="N95" i="5"/>
  <c r="G95" i="8" s="1"/>
  <c r="L95" i="5"/>
  <c r="M95" i="5" s="1"/>
  <c r="G95" i="5"/>
  <c r="E95" i="8" s="1"/>
  <c r="C95" i="5"/>
  <c r="A95" i="8"/>
  <c r="B95" i="5"/>
  <c r="B95" i="8" s="1"/>
  <c r="H95" i="5"/>
  <c r="C94" i="5"/>
  <c r="A94" i="8"/>
  <c r="L94" i="5"/>
  <c r="M94" i="5" s="1"/>
  <c r="H94" i="5"/>
  <c r="G94" i="5"/>
  <c r="E94" i="8" s="1"/>
  <c r="B94" i="5"/>
  <c r="B94" i="8" s="1"/>
  <c r="N94" i="5"/>
  <c r="G94" i="8" s="1"/>
  <c r="A93" i="8"/>
  <c r="C93" i="5"/>
  <c r="N93" i="5"/>
  <c r="G93" i="8" s="1"/>
  <c r="G93" i="5"/>
  <c r="E93" i="8" s="1"/>
  <c r="B93" i="5"/>
  <c r="B93" i="8" s="1"/>
  <c r="H93" i="5"/>
  <c r="L93" i="5"/>
  <c r="M93" i="5" s="1"/>
  <c r="A92" i="8"/>
  <c r="L92" i="5"/>
  <c r="M92" i="5" s="1"/>
  <c r="B92" i="5"/>
  <c r="B92" i="8" s="1"/>
  <c r="N92" i="5"/>
  <c r="G92" i="8" s="1"/>
  <c r="H92" i="5"/>
  <c r="G92" i="5"/>
  <c r="E92" i="8" s="1"/>
  <c r="C92" i="5"/>
  <c r="G91" i="5"/>
  <c r="E91" i="8" s="1"/>
  <c r="H91" i="5"/>
  <c r="A91" i="8"/>
  <c r="L91" i="5"/>
  <c r="M91" i="5" s="1"/>
  <c r="C91" i="5"/>
  <c r="N91" i="5"/>
  <c r="G91" i="8" s="1"/>
  <c r="B91" i="5"/>
  <c r="B91" i="8" s="1"/>
  <c r="L90" i="5"/>
  <c r="M90" i="5" s="1"/>
  <c r="A90" i="8"/>
  <c r="G90" i="5"/>
  <c r="E90" i="8" s="1"/>
  <c r="C90" i="5"/>
  <c r="H90" i="5"/>
  <c r="B90" i="5"/>
  <c r="B90" i="8" s="1"/>
  <c r="N90" i="5"/>
  <c r="G90" i="8" s="1"/>
  <c r="A89" i="8"/>
  <c r="G89" i="5"/>
  <c r="E89" i="8" s="1"/>
  <c r="B89" i="5"/>
  <c r="B89" i="8" s="1"/>
  <c r="H89" i="5"/>
  <c r="L89" i="5"/>
  <c r="M89" i="5" s="1"/>
  <c r="N89" i="5"/>
  <c r="G89" i="8" s="1"/>
  <c r="C89" i="5"/>
  <c r="A88" i="8"/>
  <c r="L88" i="5"/>
  <c r="M88" i="5" s="1"/>
  <c r="N88" i="5"/>
  <c r="G88" i="8" s="1"/>
  <c r="G88" i="5"/>
  <c r="E88" i="8" s="1"/>
  <c r="H88" i="5"/>
  <c r="B88" i="5"/>
  <c r="B88" i="8" s="1"/>
  <c r="C88" i="5"/>
  <c r="A87" i="8"/>
  <c r="N87" i="5"/>
  <c r="G87" i="8" s="1"/>
  <c r="L87" i="5"/>
  <c r="M87" i="5" s="1"/>
  <c r="H87" i="5"/>
  <c r="B87" i="5"/>
  <c r="B87" i="8" s="1"/>
  <c r="C87" i="5"/>
  <c r="G87" i="5"/>
  <c r="E87" i="8" s="1"/>
  <c r="B86" i="5"/>
  <c r="B86" i="8" s="1"/>
  <c r="G86" i="5"/>
  <c r="E86" i="8" s="1"/>
  <c r="N86" i="5"/>
  <c r="G86" i="8" s="1"/>
  <c r="L86" i="5"/>
  <c r="M86" i="5" s="1"/>
  <c r="A86" i="8"/>
  <c r="H86" i="5"/>
  <c r="C86" i="5"/>
  <c r="C85" i="5"/>
  <c r="L85" i="5"/>
  <c r="M85" i="5" s="1"/>
  <c r="H85" i="5"/>
  <c r="B85" i="5"/>
  <c r="B85" i="8" s="1"/>
  <c r="G85" i="5"/>
  <c r="E85" i="8" s="1"/>
  <c r="N85" i="5"/>
  <c r="G85" i="8" s="1"/>
  <c r="A85" i="8"/>
  <c r="A84" i="8"/>
  <c r="B84" i="5"/>
  <c r="B84" i="8" s="1"/>
  <c r="G84" i="5"/>
  <c r="E84" i="8" s="1"/>
  <c r="N84" i="5"/>
  <c r="G84" i="8" s="1"/>
  <c r="H84" i="5"/>
  <c r="L84" i="5"/>
  <c r="M84" i="5" s="1"/>
  <c r="C84" i="5"/>
  <c r="A83" i="8"/>
  <c r="G83" i="5"/>
  <c r="E83" i="8" s="1"/>
  <c r="C83" i="5"/>
  <c r="L83" i="5"/>
  <c r="M83" i="5" s="1"/>
  <c r="N83" i="5"/>
  <c r="G83" i="8" s="1"/>
  <c r="H83" i="5"/>
  <c r="B83" i="5"/>
  <c r="B83" i="8" s="1"/>
  <c r="A82" i="8"/>
  <c r="G82" i="5"/>
  <c r="E82" i="8" s="1"/>
  <c r="L82" i="5"/>
  <c r="M82" i="5" s="1"/>
  <c r="H82" i="5"/>
  <c r="N82" i="5"/>
  <c r="G82" i="8" s="1"/>
  <c r="C82" i="5"/>
  <c r="B82" i="5"/>
  <c r="B82" i="8" s="1"/>
  <c r="A81" i="8"/>
  <c r="N81" i="5"/>
  <c r="G81" i="8" s="1"/>
  <c r="B81" i="5"/>
  <c r="B81" i="8" s="1"/>
  <c r="H81" i="5"/>
  <c r="C81" i="5"/>
  <c r="G81" i="5"/>
  <c r="E81" i="8" s="1"/>
  <c r="L81" i="5"/>
  <c r="M81" i="5" s="1"/>
  <c r="G80" i="5"/>
  <c r="E80" i="8" s="1"/>
  <c r="C80" i="5"/>
  <c r="H80" i="5"/>
  <c r="N80" i="5"/>
  <c r="G80" i="8" s="1"/>
  <c r="A80" i="8"/>
  <c r="L80" i="5"/>
  <c r="M80" i="5" s="1"/>
  <c r="B80" i="5"/>
  <c r="B80" i="8" s="1"/>
  <c r="A79" i="8"/>
  <c r="G79" i="5"/>
  <c r="E79" i="8" s="1"/>
  <c r="C79" i="5"/>
  <c r="L79" i="5"/>
  <c r="M79" i="5" s="1"/>
  <c r="B79" i="5"/>
  <c r="B79" i="8" s="1"/>
  <c r="H79" i="5"/>
  <c r="N79" i="5"/>
  <c r="G79" i="8" s="1"/>
  <c r="A78" i="8"/>
  <c r="C78" i="5"/>
  <c r="G78" i="5"/>
  <c r="E78" i="8" s="1"/>
  <c r="B78" i="5"/>
  <c r="B78" i="8" s="1"/>
  <c r="H78" i="5"/>
  <c r="N78" i="5"/>
  <c r="G78" i="8" s="1"/>
  <c r="L78" i="5"/>
  <c r="M78" i="5" s="1"/>
  <c r="C77" i="5"/>
  <c r="B77" i="5"/>
  <c r="B77" i="8" s="1"/>
  <c r="N77" i="5"/>
  <c r="G77" i="8" s="1"/>
  <c r="L77" i="5"/>
  <c r="M77" i="5" s="1"/>
  <c r="H77" i="5"/>
  <c r="A77" i="8"/>
  <c r="G77" i="5"/>
  <c r="E77" i="8" s="1"/>
  <c r="C76" i="5"/>
  <c r="B76" i="5"/>
  <c r="B76" i="8" s="1"/>
  <c r="L76" i="5"/>
  <c r="M76" i="5" s="1"/>
  <c r="H76" i="5"/>
  <c r="N76" i="5"/>
  <c r="G76" i="8" s="1"/>
  <c r="G76" i="5"/>
  <c r="E76" i="8" s="1"/>
  <c r="A76" i="8"/>
  <c r="L75" i="5"/>
  <c r="M75" i="5" s="1"/>
  <c r="H75" i="5"/>
  <c r="C75" i="5"/>
  <c r="B75" i="5"/>
  <c r="B75" i="8" s="1"/>
  <c r="G75" i="5"/>
  <c r="E75" i="8" s="1"/>
  <c r="A75" i="8"/>
  <c r="N75" i="5"/>
  <c r="G75" i="8" s="1"/>
  <c r="C74" i="5"/>
  <c r="G74" i="5"/>
  <c r="E74" i="8" s="1"/>
  <c r="A74" i="8"/>
  <c r="L74" i="5"/>
  <c r="M74" i="5" s="1"/>
  <c r="H74" i="5"/>
  <c r="B74" i="5"/>
  <c r="B74" i="8" s="1"/>
  <c r="N74" i="5"/>
  <c r="G74" i="8" s="1"/>
  <c r="C73" i="5"/>
  <c r="H73" i="5"/>
  <c r="N73" i="5"/>
  <c r="G73" i="8" s="1"/>
  <c r="L73" i="5"/>
  <c r="M73" i="5" s="1"/>
  <c r="G73" i="5"/>
  <c r="E73" i="8" s="1"/>
  <c r="B73" i="5"/>
  <c r="B73" i="8" s="1"/>
  <c r="A73" i="8"/>
  <c r="B72" i="5"/>
  <c r="B72" i="8" s="1"/>
  <c r="H72" i="5"/>
  <c r="C72" i="5"/>
  <c r="N72" i="5"/>
  <c r="G72" i="8" s="1"/>
  <c r="L72" i="5"/>
  <c r="M72" i="5" s="1"/>
  <c r="A72" i="8"/>
  <c r="G72" i="5"/>
  <c r="E72" i="8" s="1"/>
  <c r="B71" i="5"/>
  <c r="B71" i="8" s="1"/>
  <c r="C71" i="5"/>
  <c r="A71" i="8"/>
  <c r="G71" i="5"/>
  <c r="E71" i="8" s="1"/>
  <c r="L71" i="5"/>
  <c r="M71" i="5" s="1"/>
  <c r="N71" i="5"/>
  <c r="G71" i="8" s="1"/>
  <c r="H71" i="5"/>
  <c r="C70" i="5"/>
  <c r="H70" i="5"/>
  <c r="A70" i="8"/>
  <c r="G70" i="5"/>
  <c r="E70" i="8" s="1"/>
  <c r="B70" i="5"/>
  <c r="B70" i="8" s="1"/>
  <c r="L70" i="5"/>
  <c r="M70" i="5" s="1"/>
  <c r="N70" i="5"/>
  <c r="G70" i="8" s="1"/>
  <c r="G69" i="5"/>
  <c r="E69" i="8" s="1"/>
  <c r="A69" i="8"/>
  <c r="B69" i="5"/>
  <c r="B69" i="8" s="1"/>
  <c r="L69" i="5"/>
  <c r="M69" i="5" s="1"/>
  <c r="N69" i="5"/>
  <c r="G69" i="8" s="1"/>
  <c r="H69" i="5"/>
  <c r="C69" i="5"/>
  <c r="G68" i="5"/>
  <c r="E68" i="8" s="1"/>
  <c r="C68" i="5"/>
  <c r="A68" i="8"/>
  <c r="N68" i="5"/>
  <c r="G68" i="8" s="1"/>
  <c r="B68" i="5"/>
  <c r="B68" i="8" s="1"/>
  <c r="L68" i="5"/>
  <c r="M68" i="5" s="1"/>
  <c r="H68" i="5"/>
  <c r="N67" i="5"/>
  <c r="G67" i="8" s="1"/>
  <c r="L67" i="5"/>
  <c r="M67" i="5" s="1"/>
  <c r="C67" i="5"/>
  <c r="B67" i="5"/>
  <c r="B67" i="8" s="1"/>
  <c r="G67" i="5"/>
  <c r="E67" i="8" s="1"/>
  <c r="A67" i="8"/>
  <c r="H67" i="5"/>
  <c r="G66" i="5"/>
  <c r="E66" i="8" s="1"/>
  <c r="H66" i="5"/>
  <c r="B66" i="5"/>
  <c r="B66" i="8" s="1"/>
  <c r="A66" i="8"/>
  <c r="C66" i="5"/>
  <c r="L66" i="5"/>
  <c r="M66" i="5" s="1"/>
  <c r="N66" i="5"/>
  <c r="G66" i="8" s="1"/>
  <c r="N65" i="5"/>
  <c r="G65" i="8" s="1"/>
  <c r="L65" i="5"/>
  <c r="M65" i="5" s="1"/>
  <c r="H65" i="5"/>
  <c r="B65" i="5"/>
  <c r="B65" i="8" s="1"/>
  <c r="G65" i="5"/>
  <c r="E65" i="8" s="1"/>
  <c r="A65" i="8"/>
  <c r="C65" i="5"/>
  <c r="L64" i="5"/>
  <c r="M64" i="5" s="1"/>
  <c r="C64" i="5"/>
  <c r="N64" i="5"/>
  <c r="G64" i="8" s="1"/>
  <c r="G64" i="5"/>
  <c r="E64" i="8" s="1"/>
  <c r="A64" i="8"/>
  <c r="B64" i="5"/>
  <c r="B64" i="8" s="1"/>
  <c r="H64" i="5"/>
  <c r="N63" i="5"/>
  <c r="G63" i="8" s="1"/>
  <c r="A63" i="8"/>
  <c r="L63" i="5"/>
  <c r="M63" i="5" s="1"/>
  <c r="G63" i="5"/>
  <c r="E63" i="8" s="1"/>
  <c r="B63" i="5"/>
  <c r="B63" i="8" s="1"/>
  <c r="C63" i="5"/>
  <c r="H63" i="5"/>
  <c r="B62" i="5"/>
  <c r="B62" i="8" s="1"/>
  <c r="A62" i="8"/>
  <c r="C62" i="5"/>
  <c r="N62" i="5"/>
  <c r="G62" i="8" s="1"/>
  <c r="L62" i="5"/>
  <c r="M62" i="5" s="1"/>
  <c r="H62" i="5"/>
  <c r="G62" i="5"/>
  <c r="E62" i="8" s="1"/>
  <c r="A61" i="8"/>
  <c r="L61" i="5"/>
  <c r="M61" i="5" s="1"/>
  <c r="N61" i="5"/>
  <c r="G61" i="8" s="1"/>
  <c r="B61" i="5"/>
  <c r="B61" i="8" s="1"/>
  <c r="G61" i="5"/>
  <c r="E61" i="8" s="1"/>
  <c r="H61" i="5"/>
  <c r="C61" i="5"/>
  <c r="N60" i="5"/>
  <c r="G60" i="8" s="1"/>
  <c r="G60" i="5"/>
  <c r="E60" i="8" s="1"/>
  <c r="B60" i="5"/>
  <c r="B60" i="8" s="1"/>
  <c r="H60" i="5"/>
  <c r="A60" i="8"/>
  <c r="C60" i="5"/>
  <c r="L60" i="5"/>
  <c r="M60" i="5" s="1"/>
  <c r="H59" i="5"/>
  <c r="L59" i="5"/>
  <c r="M59" i="5" s="1"/>
  <c r="A59" i="8"/>
  <c r="C59" i="5"/>
  <c r="B59" i="5"/>
  <c r="B59" i="8" s="1"/>
  <c r="N59" i="5"/>
  <c r="G59" i="8" s="1"/>
  <c r="G59" i="5"/>
  <c r="E59" i="8" s="1"/>
  <c r="L58" i="5"/>
  <c r="M58" i="5" s="1"/>
  <c r="G58" i="5"/>
  <c r="E58" i="8" s="1"/>
  <c r="B58" i="5"/>
  <c r="B58" i="8" s="1"/>
  <c r="N58" i="5"/>
  <c r="G58" i="8" s="1"/>
  <c r="C58" i="5"/>
  <c r="H58" i="5"/>
  <c r="A58" i="8"/>
  <c r="G57" i="5"/>
  <c r="E57" i="8" s="1"/>
  <c r="H57" i="5"/>
  <c r="B57" i="5"/>
  <c r="B57" i="8" s="1"/>
  <c r="N57" i="5"/>
  <c r="G57" i="8" s="1"/>
  <c r="C57" i="5"/>
  <c r="A57" i="8"/>
  <c r="L57" i="5"/>
  <c r="M57" i="5" s="1"/>
  <c r="B56" i="5"/>
  <c r="B56" i="8" s="1"/>
  <c r="L56" i="5"/>
  <c r="M56" i="5" s="1"/>
  <c r="N56" i="5"/>
  <c r="G56" i="8" s="1"/>
  <c r="G56" i="5"/>
  <c r="E56" i="8" s="1"/>
  <c r="A56" i="8"/>
  <c r="H56" i="5"/>
  <c r="C56" i="5"/>
  <c r="H55" i="5"/>
  <c r="A55" i="8"/>
  <c r="B55" i="5"/>
  <c r="B55" i="8" s="1"/>
  <c r="C55" i="5"/>
  <c r="L55" i="5"/>
  <c r="M55" i="5" s="1"/>
  <c r="G55" i="5"/>
  <c r="E55" i="8" s="1"/>
  <c r="N55" i="5"/>
  <c r="G55" i="8" s="1"/>
  <c r="B54" i="5"/>
  <c r="B54" i="8" s="1"/>
  <c r="G54" i="5"/>
  <c r="E54" i="8" s="1"/>
  <c r="L54" i="5"/>
  <c r="M54" i="5" s="1"/>
  <c r="N54" i="5"/>
  <c r="G54" i="8" s="1"/>
  <c r="A54" i="8"/>
  <c r="C54" i="5"/>
  <c r="H54" i="5"/>
  <c r="C53" i="5"/>
  <c r="L53" i="5"/>
  <c r="M53" i="5" s="1"/>
  <c r="N53" i="5"/>
  <c r="G53" i="8" s="1"/>
  <c r="A53" i="8"/>
  <c r="B53" i="5"/>
  <c r="B53" i="8" s="1"/>
  <c r="G53" i="5"/>
  <c r="E53" i="8" s="1"/>
  <c r="H53" i="5"/>
  <c r="C52" i="5"/>
  <c r="N52" i="5"/>
  <c r="G52" i="8" s="1"/>
  <c r="L52" i="5"/>
  <c r="M52" i="5" s="1"/>
  <c r="G52" i="5"/>
  <c r="E52" i="8" s="1"/>
  <c r="H52" i="5"/>
  <c r="A52" i="8"/>
  <c r="B52" i="5"/>
  <c r="B52" i="8" s="1"/>
  <c r="C51" i="5"/>
  <c r="G51" i="5"/>
  <c r="E51" i="8" s="1"/>
  <c r="B51" i="5"/>
  <c r="B51" i="8" s="1"/>
  <c r="H51" i="5"/>
  <c r="N51" i="5"/>
  <c r="G51" i="8" s="1"/>
  <c r="A51" i="8"/>
  <c r="L51" i="5"/>
  <c r="M51" i="5" s="1"/>
  <c r="G50" i="5"/>
  <c r="E50" i="8" s="1"/>
  <c r="H50" i="5"/>
  <c r="A50" i="8"/>
  <c r="B50" i="5"/>
  <c r="B50" i="8" s="1"/>
  <c r="C50" i="5"/>
  <c r="L50" i="5"/>
  <c r="M50" i="5" s="1"/>
  <c r="N50" i="5"/>
  <c r="G50" i="8" s="1"/>
  <c r="N49" i="5"/>
  <c r="G49" i="8" s="1"/>
  <c r="C49" i="5"/>
  <c r="G49" i="5"/>
  <c r="E49" i="8" s="1"/>
  <c r="A49" i="8"/>
  <c r="B49" i="5"/>
  <c r="B49" i="8" s="1"/>
  <c r="L49" i="5"/>
  <c r="M49" i="5" s="1"/>
  <c r="H49" i="5"/>
  <c r="B48" i="5"/>
  <c r="B48" i="8" s="1"/>
  <c r="C48" i="5"/>
  <c r="H48" i="5"/>
  <c r="G48" i="5"/>
  <c r="E48" i="8" s="1"/>
  <c r="N48" i="5"/>
  <c r="G48" i="8" s="1"/>
  <c r="A48" i="8"/>
  <c r="L48" i="5"/>
  <c r="M48" i="5" s="1"/>
  <c r="L47" i="5"/>
  <c r="M47" i="5" s="1"/>
  <c r="C47" i="5"/>
  <c r="B47" i="5"/>
  <c r="B47" i="8" s="1"/>
  <c r="H47" i="5"/>
  <c r="N47" i="5"/>
  <c r="G47" i="8" s="1"/>
  <c r="A47" i="8"/>
  <c r="G47" i="5"/>
  <c r="E47" i="8" s="1"/>
  <c r="A46" i="8"/>
  <c r="B46" i="5"/>
  <c r="B46" i="8" s="1"/>
  <c r="G46" i="5"/>
  <c r="E46" i="8" s="1"/>
  <c r="L46" i="5"/>
  <c r="M46" i="5" s="1"/>
  <c r="H46" i="5"/>
  <c r="N46" i="5"/>
  <c r="G46" i="8" s="1"/>
  <c r="C46" i="5"/>
  <c r="C45" i="5"/>
  <c r="N45" i="5"/>
  <c r="G45" i="8" s="1"/>
  <c r="G45" i="5"/>
  <c r="E45" i="8" s="1"/>
  <c r="B45" i="5"/>
  <c r="B45" i="8" s="1"/>
  <c r="L45" i="5"/>
  <c r="M45" i="5" s="1"/>
  <c r="A45" i="8"/>
  <c r="H45" i="5"/>
  <c r="L44" i="5"/>
  <c r="M44" i="5" s="1"/>
  <c r="G44" i="5"/>
  <c r="E44" i="8" s="1"/>
  <c r="C44" i="5"/>
  <c r="N44" i="5"/>
  <c r="G44" i="8" s="1"/>
  <c r="H44" i="5"/>
  <c r="A44" i="8"/>
  <c r="B44" i="5"/>
  <c r="B44" i="8" s="1"/>
  <c r="A43" i="8"/>
  <c r="C43" i="5"/>
  <c r="B43" i="5"/>
  <c r="B43" i="8" s="1"/>
  <c r="N43" i="5"/>
  <c r="G43" i="8" s="1"/>
  <c r="H43" i="5"/>
  <c r="L43" i="5"/>
  <c r="M43" i="5" s="1"/>
  <c r="G43" i="5"/>
  <c r="E43" i="8" s="1"/>
  <c r="A42" i="8"/>
  <c r="N42" i="5"/>
  <c r="G42" i="8" s="1"/>
  <c r="C42" i="5"/>
  <c r="B42" i="5"/>
  <c r="B42" i="8" s="1"/>
  <c r="G42" i="5"/>
  <c r="E42" i="8" s="1"/>
  <c r="H42" i="5"/>
  <c r="L42" i="5"/>
  <c r="M42" i="5" s="1"/>
  <c r="A41" i="8"/>
  <c r="B41" i="5"/>
  <c r="B41" i="8" s="1"/>
  <c r="N41" i="5"/>
  <c r="G41" i="8" s="1"/>
  <c r="L41" i="5"/>
  <c r="M41" i="5" s="1"/>
  <c r="G41" i="5"/>
  <c r="E41" i="8" s="1"/>
  <c r="C41" i="5"/>
  <c r="H41" i="5"/>
  <c r="A40" i="8"/>
  <c r="C40" i="5"/>
  <c r="L40" i="5"/>
  <c r="M40" i="5" s="1"/>
  <c r="G40" i="5"/>
  <c r="E40" i="8" s="1"/>
  <c r="B40" i="5"/>
  <c r="B40" i="8" s="1"/>
  <c r="N40" i="5"/>
  <c r="G40" i="8" s="1"/>
  <c r="H40" i="5"/>
  <c r="N39" i="5"/>
  <c r="G39" i="8" s="1"/>
  <c r="G39" i="5"/>
  <c r="E39" i="8" s="1"/>
  <c r="H39" i="5"/>
  <c r="B39" i="5"/>
  <c r="B39" i="8" s="1"/>
  <c r="C39" i="5"/>
  <c r="A39" i="8"/>
  <c r="L39" i="5"/>
  <c r="M39" i="5" s="1"/>
  <c r="L38" i="5"/>
  <c r="M38" i="5" s="1"/>
  <c r="B38" i="5"/>
  <c r="B38" i="8" s="1"/>
  <c r="C38" i="5"/>
  <c r="H38" i="5"/>
  <c r="N38" i="5"/>
  <c r="G38" i="8" s="1"/>
  <c r="G38" i="5"/>
  <c r="E38" i="8" s="1"/>
  <c r="A38" i="8"/>
  <c r="A37" i="8"/>
  <c r="H37" i="5"/>
  <c r="G37" i="5"/>
  <c r="E37" i="8" s="1"/>
  <c r="B37" i="5"/>
  <c r="B37" i="8" s="1"/>
  <c r="C37" i="5"/>
  <c r="N37" i="5"/>
  <c r="G37" i="8" s="1"/>
  <c r="L37" i="5"/>
  <c r="M37" i="5" s="1"/>
  <c r="A36" i="8"/>
  <c r="N36" i="5"/>
  <c r="G36" i="8" s="1"/>
  <c r="G36" i="5"/>
  <c r="E36" i="8" s="1"/>
  <c r="C36" i="5"/>
  <c r="H36" i="5"/>
  <c r="L36" i="5"/>
  <c r="M36" i="5" s="1"/>
  <c r="B36" i="5"/>
  <c r="B36" i="8" s="1"/>
  <c r="A35" i="8"/>
  <c r="B35" i="5"/>
  <c r="B35" i="8" s="1"/>
  <c r="H35" i="5"/>
  <c r="C35" i="5"/>
  <c r="L35" i="5"/>
  <c r="M35" i="5" s="1"/>
  <c r="G35" i="5"/>
  <c r="E35" i="8" s="1"/>
  <c r="N35" i="5"/>
  <c r="G35" i="8" s="1"/>
  <c r="A34" i="8"/>
  <c r="B34" i="5"/>
  <c r="B34" i="8" s="1"/>
  <c r="H34" i="5"/>
  <c r="L34" i="5"/>
  <c r="M34" i="5" s="1"/>
  <c r="G34" i="5"/>
  <c r="E34" i="8" s="1"/>
  <c r="C34" i="5"/>
  <c r="N34" i="5"/>
  <c r="G34" i="8" s="1"/>
  <c r="A33" i="8"/>
  <c r="L33" i="5"/>
  <c r="M33" i="5" s="1"/>
  <c r="H33" i="5"/>
  <c r="C33" i="5"/>
  <c r="N33" i="5"/>
  <c r="G33" i="8" s="1"/>
  <c r="G33" i="5"/>
  <c r="E33" i="8" s="1"/>
  <c r="B33" i="5"/>
  <c r="B33" i="8" s="1"/>
  <c r="C32" i="5"/>
  <c r="A32" i="8"/>
  <c r="N32" i="5"/>
  <c r="G32" i="8" s="1"/>
  <c r="H32" i="5"/>
  <c r="B32" i="5"/>
  <c r="B32" i="8" s="1"/>
  <c r="L32" i="5"/>
  <c r="M32" i="5" s="1"/>
  <c r="G32" i="5"/>
  <c r="E32" i="8" s="1"/>
  <c r="A31" i="8"/>
  <c r="N31" i="5"/>
  <c r="G31" i="8" s="1"/>
  <c r="C31" i="5"/>
  <c r="L31" i="5"/>
  <c r="M31" i="5" s="1"/>
  <c r="H31" i="5"/>
  <c r="G31" i="5"/>
  <c r="E31" i="8" s="1"/>
  <c r="B31" i="5"/>
  <c r="B31" i="8" s="1"/>
  <c r="B30" i="5"/>
  <c r="B30" i="8" s="1"/>
  <c r="H30" i="5"/>
  <c r="C30" i="5"/>
  <c r="L30" i="5"/>
  <c r="M30" i="5" s="1"/>
  <c r="A30" i="8"/>
  <c r="N30" i="5"/>
  <c r="G30" i="8" s="1"/>
  <c r="G30" i="5"/>
  <c r="E30" i="8" s="1"/>
  <c r="N29" i="5"/>
  <c r="G29" i="8" s="1"/>
  <c r="A29" i="8"/>
  <c r="G29" i="5"/>
  <c r="E29" i="8" s="1"/>
  <c r="L29" i="5"/>
  <c r="M29" i="5" s="1"/>
  <c r="H29" i="5"/>
  <c r="C29" i="5"/>
  <c r="B29" i="5"/>
  <c r="B29" i="8" s="1"/>
  <c r="H28" i="5"/>
  <c r="N28" i="5"/>
  <c r="G28" i="8" s="1"/>
  <c r="A28" i="8"/>
  <c r="L28" i="5"/>
  <c r="M28" i="5" s="1"/>
  <c r="B28" i="5"/>
  <c r="B28" i="8" s="1"/>
  <c r="C28" i="5"/>
  <c r="G28" i="5"/>
  <c r="E28" i="8" s="1"/>
  <c r="H27" i="5"/>
  <c r="G27" i="5"/>
  <c r="E27" i="8" s="1"/>
  <c r="A27" i="8"/>
  <c r="C27" i="5"/>
  <c r="B27" i="5"/>
  <c r="B27" i="8" s="1"/>
  <c r="L27" i="5"/>
  <c r="M27" i="5" s="1"/>
  <c r="N27" i="5"/>
  <c r="G27" i="8" s="1"/>
  <c r="G26" i="5"/>
  <c r="E26" i="8" s="1"/>
  <c r="B26" i="5"/>
  <c r="B26" i="8" s="1"/>
  <c r="C26" i="5"/>
  <c r="L26" i="5"/>
  <c r="M26" i="5" s="1"/>
  <c r="N26" i="5"/>
  <c r="G26" i="8" s="1"/>
  <c r="H26" i="5"/>
  <c r="A26" i="8"/>
  <c r="N25" i="5"/>
  <c r="G25" i="8" s="1"/>
  <c r="B25" i="5"/>
  <c r="B25" i="8" s="1"/>
  <c r="A25" i="8"/>
  <c r="C25" i="5"/>
  <c r="L25" i="5"/>
  <c r="M25" i="5" s="1"/>
  <c r="G25" i="5"/>
  <c r="E25" i="8" s="1"/>
  <c r="H25" i="5"/>
  <c r="H24" i="5"/>
  <c r="G24" i="5"/>
  <c r="E24" i="8" s="1"/>
  <c r="B24" i="5"/>
  <c r="B24" i="8" s="1"/>
  <c r="N24" i="5"/>
  <c r="G24" i="8" s="1"/>
  <c r="L24" i="5"/>
  <c r="M24" i="5" s="1"/>
  <c r="A24" i="8"/>
  <c r="C24" i="5"/>
  <c r="B23" i="5"/>
  <c r="B23" i="8" s="1"/>
  <c r="G23" i="5"/>
  <c r="E23" i="8" s="1"/>
  <c r="L23" i="5"/>
  <c r="M23" i="5" s="1"/>
  <c r="H23" i="5"/>
  <c r="N23" i="5"/>
  <c r="G23" i="8" s="1"/>
  <c r="C23" i="5"/>
  <c r="A23" i="8"/>
  <c r="H22" i="5"/>
  <c r="L22" i="5"/>
  <c r="M22" i="5" s="1"/>
  <c r="G22" i="5"/>
  <c r="E22" i="8" s="1"/>
  <c r="C22" i="5"/>
  <c r="B22" i="5"/>
  <c r="B22" i="8" s="1"/>
  <c r="A22" i="8"/>
  <c r="N22" i="5"/>
  <c r="G22" i="8" s="1"/>
  <c r="H21" i="5"/>
  <c r="L21" i="5"/>
  <c r="M21" i="5" s="1"/>
  <c r="A21" i="8"/>
  <c r="C21" i="5"/>
  <c r="G21" i="5"/>
  <c r="E21" i="8" s="1"/>
  <c r="N21" i="5"/>
  <c r="G21" i="8" s="1"/>
  <c r="B21" i="5"/>
  <c r="B21" i="8" s="1"/>
  <c r="H20" i="5"/>
  <c r="G20" i="5"/>
  <c r="E20" i="8" s="1"/>
  <c r="L20" i="5"/>
  <c r="M20" i="5" s="1"/>
  <c r="N20" i="5"/>
  <c r="G20" i="8" s="1"/>
  <c r="C20" i="5"/>
  <c r="A20" i="8"/>
  <c r="B20" i="5"/>
  <c r="B20" i="8" s="1"/>
  <c r="N19" i="5"/>
  <c r="G19" i="8" s="1"/>
  <c r="L19" i="5"/>
  <c r="M19" i="5" s="1"/>
  <c r="C19" i="5"/>
  <c r="H19" i="5"/>
  <c r="G19" i="5"/>
  <c r="E19" i="8" s="1"/>
  <c r="B19" i="5"/>
  <c r="B19" i="8" s="1"/>
  <c r="A19" i="8"/>
  <c r="H18" i="5"/>
  <c r="A18" i="8"/>
  <c r="N18" i="5"/>
  <c r="G18" i="8" s="1"/>
  <c r="L18" i="5"/>
  <c r="M18" i="5" s="1"/>
  <c r="G18" i="5"/>
  <c r="E18" i="8" s="1"/>
  <c r="C18" i="5"/>
  <c r="B18" i="5"/>
  <c r="B18" i="8" s="1"/>
  <c r="H17" i="5"/>
  <c r="B17" i="5"/>
  <c r="B17" i="8" s="1"/>
  <c r="A17" i="8"/>
  <c r="G17" i="5"/>
  <c r="E17" i="8" s="1"/>
  <c r="N17" i="5"/>
  <c r="G17" i="8" s="1"/>
  <c r="L17" i="5"/>
  <c r="M17" i="5" s="1"/>
  <c r="C17" i="5"/>
  <c r="H16" i="5"/>
  <c r="A16" i="8"/>
  <c r="L16" i="5"/>
  <c r="M16" i="5" s="1"/>
  <c r="B16" i="5"/>
  <c r="B16" i="8" s="1"/>
  <c r="N16" i="5"/>
  <c r="G16" i="8" s="1"/>
  <c r="G16" i="5"/>
  <c r="E16" i="8" s="1"/>
  <c r="C16" i="5"/>
  <c r="B15" i="5"/>
  <c r="B15" i="8" s="1"/>
  <c r="A15" i="8"/>
  <c r="H15" i="5"/>
  <c r="C15" i="5"/>
  <c r="N15" i="5"/>
  <c r="G15" i="8" s="1"/>
  <c r="L15" i="5"/>
  <c r="M15" i="5" s="1"/>
  <c r="G15" i="5"/>
  <c r="E15" i="8" s="1"/>
  <c r="L14" i="5"/>
  <c r="M14" i="5" s="1"/>
  <c r="C14" i="5"/>
  <c r="H14" i="5"/>
  <c r="N14" i="5"/>
  <c r="G14" i="8" s="1"/>
  <c r="G14" i="5"/>
  <c r="E14" i="8" s="1"/>
  <c r="A14" i="8"/>
  <c r="B14" i="5"/>
  <c r="B14" i="8" s="1"/>
  <c r="A13" i="8"/>
  <c r="B13" i="5"/>
  <c r="B13" i="8" s="1"/>
  <c r="G13" i="5"/>
  <c r="E13" i="8" s="1"/>
  <c r="L13" i="5"/>
  <c r="M13" i="5" s="1"/>
  <c r="N13" i="5"/>
  <c r="G13" i="8" s="1"/>
  <c r="H13" i="5"/>
  <c r="C13" i="5"/>
  <c r="N12" i="5"/>
  <c r="G12" i="8" s="1"/>
  <c r="C12" i="5"/>
  <c r="G12" i="5"/>
  <c r="E12" i="8" s="1"/>
  <c r="H12" i="5"/>
  <c r="A12" i="8"/>
  <c r="L12" i="5"/>
  <c r="M12" i="5" s="1"/>
  <c r="B12" i="5"/>
  <c r="B12" i="8" s="1"/>
  <c r="L11" i="5"/>
  <c r="M11" i="5" s="1"/>
  <c r="N11" i="5"/>
  <c r="G11" i="8" s="1"/>
  <c r="G11" i="5"/>
  <c r="E11" i="8" s="1"/>
  <c r="C11" i="5"/>
  <c r="A11" i="8"/>
  <c r="H11" i="5"/>
  <c r="B11" i="5"/>
  <c r="B11" i="8" s="1"/>
  <c r="L10" i="5"/>
  <c r="M10" i="5" s="1"/>
  <c r="B10" i="5"/>
  <c r="B10" i="8" s="1"/>
  <c r="A10" i="8"/>
  <c r="H10" i="5"/>
  <c r="G10" i="5"/>
  <c r="E10" i="8" s="1"/>
  <c r="N10" i="5"/>
  <c r="G10" i="8" s="1"/>
  <c r="C10" i="5"/>
  <c r="B9" i="5"/>
  <c r="B9" i="8" s="1"/>
  <c r="L9" i="5"/>
  <c r="M9" i="5" s="1"/>
  <c r="A9" i="8"/>
  <c r="C9" i="5"/>
  <c r="H9" i="5"/>
  <c r="N9" i="5"/>
  <c r="G9" i="8" s="1"/>
  <c r="G9" i="5"/>
  <c r="E9" i="8" s="1"/>
  <c r="B8" i="5"/>
  <c r="B8" i="8" s="1"/>
  <c r="C8" i="5"/>
  <c r="G8" i="5"/>
  <c r="E8" i="8" s="1"/>
  <c r="H8" i="5"/>
  <c r="L8" i="5"/>
  <c r="M8" i="5" s="1"/>
  <c r="N8" i="5"/>
  <c r="G8" i="8" s="1"/>
  <c r="A8" i="8"/>
  <c r="A7" i="8"/>
  <c r="H7" i="5"/>
  <c r="N7" i="5"/>
  <c r="G7" i="8" s="1"/>
  <c r="G7" i="5"/>
  <c r="E7" i="8" s="1"/>
  <c r="L7" i="5"/>
  <c r="M7" i="5" s="1"/>
  <c r="B7" i="5"/>
  <c r="B7" i="8" s="1"/>
  <c r="C7" i="5"/>
  <c r="A6" i="8"/>
  <c r="C6" i="5"/>
  <c r="H6" i="5"/>
  <c r="N6" i="5"/>
  <c r="G6" i="8" s="1"/>
  <c r="G6" i="5"/>
  <c r="E6" i="8" s="1"/>
  <c r="L6" i="5"/>
  <c r="M6" i="5" s="1"/>
  <c r="C7" i="6" s="1"/>
  <c r="B6" i="5"/>
  <c r="B6" i="8" s="1"/>
  <c r="G5" i="5"/>
  <c r="E5" i="8" s="1"/>
  <c r="B5" i="5"/>
  <c r="B5" i="8" s="1"/>
  <c r="A5" i="8"/>
  <c r="H5" i="5"/>
  <c r="N5" i="5"/>
  <c r="G5" i="8" s="1"/>
  <c r="L5" i="5"/>
  <c r="M5" i="5" s="1"/>
  <c r="C5" i="5"/>
  <c r="I33" i="6" l="1"/>
  <c r="I32" i="6"/>
  <c r="I27" i="6"/>
  <c r="I24" i="6"/>
  <c r="I22" i="6"/>
  <c r="B119" i="6"/>
  <c r="N118" i="6"/>
  <c r="G118" i="6"/>
  <c r="G120" i="6"/>
  <c r="G121" i="6"/>
  <c r="G124" i="6"/>
  <c r="G127" i="6"/>
  <c r="G128" i="6"/>
  <c r="AA117" i="6"/>
  <c r="G119" i="6"/>
  <c r="G122" i="6"/>
  <c r="G123" i="6"/>
  <c r="G125" i="6"/>
  <c r="G126" i="6"/>
  <c r="G129" i="6"/>
  <c r="G116" i="6"/>
  <c r="Q116" i="6" s="1"/>
  <c r="G117" i="6"/>
  <c r="Q117" i="6" s="1"/>
  <c r="W117" i="6" s="1"/>
  <c r="G106" i="6"/>
  <c r="G108" i="6"/>
  <c r="Q108" i="6" s="1"/>
  <c r="G110" i="6"/>
  <c r="Q110" i="6" s="1"/>
  <c r="G111" i="6"/>
  <c r="Q111" i="6" s="1"/>
  <c r="G107" i="6"/>
  <c r="Q107" i="6" s="1"/>
  <c r="W107" i="6" s="1"/>
  <c r="G109" i="6"/>
  <c r="Q109" i="6" s="1"/>
  <c r="G112" i="6"/>
  <c r="Q112" i="6" s="1"/>
  <c r="W112" i="6" s="1"/>
  <c r="G113" i="6"/>
  <c r="Q113" i="6" s="1"/>
  <c r="W113" i="6" s="1"/>
  <c r="G114" i="6"/>
  <c r="Q114" i="6" s="1"/>
  <c r="G115" i="6"/>
  <c r="Q115" i="6" s="1"/>
  <c r="H118" i="6"/>
  <c r="H121" i="6"/>
  <c r="H124" i="6"/>
  <c r="H127" i="6"/>
  <c r="H122" i="6"/>
  <c r="H125" i="6"/>
  <c r="H129" i="6"/>
  <c r="W110" i="6"/>
  <c r="H119" i="6"/>
  <c r="H120" i="6"/>
  <c r="H123" i="6"/>
  <c r="H126" i="6"/>
  <c r="H128" i="6"/>
  <c r="W111" i="6"/>
  <c r="W109" i="6"/>
  <c r="W108" i="6"/>
  <c r="H110" i="6"/>
  <c r="R110" i="6" s="1"/>
  <c r="X110" i="6" s="1"/>
  <c r="H117" i="6"/>
  <c r="R117" i="6" s="1"/>
  <c r="X117" i="6" s="1"/>
  <c r="H106" i="6"/>
  <c r="H107" i="6"/>
  <c r="R107" i="6" s="1"/>
  <c r="X107" i="6" s="1"/>
  <c r="H108" i="6"/>
  <c r="R108" i="6" s="1"/>
  <c r="X108" i="6" s="1"/>
  <c r="H109" i="6"/>
  <c r="R109" i="6" s="1"/>
  <c r="X109" i="6" s="1"/>
  <c r="H111" i="6"/>
  <c r="R111" i="6" s="1"/>
  <c r="X111" i="6" s="1"/>
  <c r="H112" i="6"/>
  <c r="R112" i="6" s="1"/>
  <c r="X112" i="6" s="1"/>
  <c r="H114" i="6"/>
  <c r="R114" i="6" s="1"/>
  <c r="X114" i="6" s="1"/>
  <c r="H113" i="6"/>
  <c r="R113" i="6" s="1"/>
  <c r="X113" i="6" s="1"/>
  <c r="H115" i="6"/>
  <c r="R115" i="6" s="1"/>
  <c r="X115" i="6" s="1"/>
  <c r="H116" i="6"/>
  <c r="R116" i="6" s="1"/>
  <c r="X116" i="6" s="1"/>
  <c r="W114" i="6"/>
  <c r="W115" i="6"/>
  <c r="W116" i="6"/>
  <c r="N106" i="6"/>
  <c r="N107" i="6"/>
  <c r="U107" i="6" s="1"/>
  <c r="AA107" i="6" s="1"/>
  <c r="N108" i="6"/>
  <c r="U108" i="6" s="1"/>
  <c r="AA108" i="6" s="1"/>
  <c r="N109" i="6"/>
  <c r="U109" i="6" s="1"/>
  <c r="AA109" i="6" s="1"/>
  <c r="N110" i="6"/>
  <c r="U110" i="6" s="1"/>
  <c r="AA110" i="6" s="1"/>
  <c r="N111" i="6"/>
  <c r="U111" i="6" s="1"/>
  <c r="AA111" i="6" s="1"/>
  <c r="N112" i="6"/>
  <c r="U112" i="6" s="1"/>
  <c r="AA112" i="6" s="1"/>
  <c r="N113" i="6"/>
  <c r="U113" i="6" s="1"/>
  <c r="AA113" i="6" s="1"/>
  <c r="N114" i="6"/>
  <c r="U114" i="6" s="1"/>
  <c r="AA114" i="6" s="1"/>
  <c r="N115" i="6"/>
  <c r="U115" i="6" s="1"/>
  <c r="AA115" i="6" s="1"/>
  <c r="N116" i="6"/>
  <c r="U116" i="6" s="1"/>
  <c r="AA116" i="6" s="1"/>
  <c r="E15" i="6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E115" i="6" s="1"/>
  <c r="E116" i="6" s="1"/>
  <c r="E117" i="6" s="1"/>
  <c r="I19" i="6"/>
  <c r="J66" i="6"/>
  <c r="I15" i="6"/>
  <c r="L15" i="6" s="1"/>
  <c r="J67" i="6" s="1"/>
  <c r="I16" i="6"/>
  <c r="L16" i="6" s="1"/>
  <c r="I17" i="6"/>
  <c r="L17" i="6" s="1"/>
  <c r="I18" i="6"/>
  <c r="L18" i="6" s="1"/>
  <c r="I154" i="5"/>
  <c r="J154" i="5" s="1"/>
  <c r="F154" i="8"/>
  <c r="M154" i="8"/>
  <c r="R154" i="8"/>
  <c r="D154" i="5"/>
  <c r="E154" i="5"/>
  <c r="F154" i="5" s="1"/>
  <c r="M153" i="8"/>
  <c r="R153" i="8"/>
  <c r="F153" i="8"/>
  <c r="I153" i="5"/>
  <c r="J153" i="5" s="1"/>
  <c r="E153" i="5"/>
  <c r="F153" i="5" s="1"/>
  <c r="D153" i="5"/>
  <c r="D152" i="5"/>
  <c r="E152" i="5"/>
  <c r="F152" i="5" s="1"/>
  <c r="I152" i="5"/>
  <c r="J152" i="5" s="1"/>
  <c r="F152" i="8"/>
  <c r="M152" i="8"/>
  <c r="R152" i="8"/>
  <c r="D151" i="5"/>
  <c r="E151" i="5"/>
  <c r="F151" i="5" s="1"/>
  <c r="M151" i="8"/>
  <c r="R151" i="8"/>
  <c r="I151" i="5"/>
  <c r="J151" i="5" s="1"/>
  <c r="F151" i="8"/>
  <c r="M150" i="8"/>
  <c r="R150" i="8"/>
  <c r="D150" i="5"/>
  <c r="E150" i="5"/>
  <c r="F150" i="5" s="1"/>
  <c r="F150" i="8"/>
  <c r="I150" i="5"/>
  <c r="J150" i="5" s="1"/>
  <c r="I149" i="5"/>
  <c r="J149" i="5" s="1"/>
  <c r="F149" i="8"/>
  <c r="M149" i="8"/>
  <c r="R149" i="8"/>
  <c r="E149" i="5"/>
  <c r="F149" i="5" s="1"/>
  <c r="D149" i="5"/>
  <c r="F148" i="8"/>
  <c r="I148" i="5"/>
  <c r="J148" i="5" s="1"/>
  <c r="E148" i="5"/>
  <c r="F148" i="5" s="1"/>
  <c r="D148" i="5"/>
  <c r="M148" i="8"/>
  <c r="R148" i="8"/>
  <c r="D147" i="5"/>
  <c r="E147" i="5"/>
  <c r="F147" i="5" s="1"/>
  <c r="I147" i="5"/>
  <c r="J147" i="5" s="1"/>
  <c r="F147" i="8"/>
  <c r="M147" i="8"/>
  <c r="R147" i="8"/>
  <c r="N146" i="8"/>
  <c r="AA146" i="8"/>
  <c r="S146" i="8"/>
  <c r="T146" i="8"/>
  <c r="D146" i="5"/>
  <c r="E146" i="5"/>
  <c r="F146" i="5" s="1"/>
  <c r="I146" i="5"/>
  <c r="J146" i="5" s="1"/>
  <c r="F146" i="8"/>
  <c r="M145" i="8"/>
  <c r="R145" i="8"/>
  <c r="F145" i="8"/>
  <c r="I145" i="5"/>
  <c r="J145" i="5" s="1"/>
  <c r="E145" i="5"/>
  <c r="F145" i="5" s="1"/>
  <c r="D145" i="5"/>
  <c r="I144" i="5"/>
  <c r="J144" i="5" s="1"/>
  <c r="F144" i="8"/>
  <c r="E144" i="5"/>
  <c r="F144" i="5" s="1"/>
  <c r="D144" i="5"/>
  <c r="M144" i="8"/>
  <c r="R144" i="8"/>
  <c r="M143" i="8"/>
  <c r="R143" i="8"/>
  <c r="E143" i="5"/>
  <c r="F143" i="5" s="1"/>
  <c r="D143" i="5"/>
  <c r="F143" i="8"/>
  <c r="I143" i="5"/>
  <c r="J143" i="5" s="1"/>
  <c r="M142" i="8"/>
  <c r="R142" i="8"/>
  <c r="E142" i="5"/>
  <c r="F142" i="5" s="1"/>
  <c r="D142" i="5"/>
  <c r="F142" i="8"/>
  <c r="I142" i="5"/>
  <c r="J142" i="5" s="1"/>
  <c r="E141" i="5"/>
  <c r="F141" i="5" s="1"/>
  <c r="D141" i="5"/>
  <c r="M141" i="8"/>
  <c r="R141" i="8"/>
  <c r="I141" i="5"/>
  <c r="J141" i="5" s="1"/>
  <c r="F141" i="8"/>
  <c r="F140" i="8"/>
  <c r="I140" i="5"/>
  <c r="J140" i="5" s="1"/>
  <c r="D140" i="5"/>
  <c r="E140" i="5"/>
  <c r="F140" i="5" s="1"/>
  <c r="M140" i="8"/>
  <c r="R140" i="8"/>
  <c r="I139" i="5"/>
  <c r="J139" i="5" s="1"/>
  <c r="F139" i="8"/>
  <c r="E139" i="5"/>
  <c r="F139" i="5" s="1"/>
  <c r="D139" i="5"/>
  <c r="M139" i="8"/>
  <c r="R139" i="8"/>
  <c r="M138" i="8"/>
  <c r="R138" i="8"/>
  <c r="F138" i="8"/>
  <c r="I138" i="5"/>
  <c r="J138" i="5" s="1"/>
  <c r="D138" i="5"/>
  <c r="E138" i="5"/>
  <c r="F138" i="5" s="1"/>
  <c r="E137" i="5"/>
  <c r="F137" i="5" s="1"/>
  <c r="D137" i="5"/>
  <c r="I137" i="5"/>
  <c r="J137" i="5" s="1"/>
  <c r="F137" i="8"/>
  <c r="M137" i="8"/>
  <c r="R137" i="8"/>
  <c r="E136" i="5"/>
  <c r="F136" i="5" s="1"/>
  <c r="D136" i="5"/>
  <c r="M136" i="8"/>
  <c r="R136" i="8"/>
  <c r="I136" i="5"/>
  <c r="J136" i="5" s="1"/>
  <c r="F136" i="8"/>
  <c r="I135" i="5"/>
  <c r="J135" i="5" s="1"/>
  <c r="F135" i="8"/>
  <c r="D135" i="5"/>
  <c r="E135" i="5"/>
  <c r="F135" i="5" s="1"/>
  <c r="M135" i="8"/>
  <c r="R135" i="8"/>
  <c r="I134" i="5"/>
  <c r="J134" i="5" s="1"/>
  <c r="F134" i="8"/>
  <c r="D134" i="5"/>
  <c r="E134" i="5"/>
  <c r="F134" i="5" s="1"/>
  <c r="K134" i="5" s="1"/>
  <c r="M134" i="8"/>
  <c r="R134" i="8"/>
  <c r="F133" i="8"/>
  <c r="I133" i="5"/>
  <c r="J133" i="5" s="1"/>
  <c r="M133" i="8"/>
  <c r="R133" i="8"/>
  <c r="E133" i="5"/>
  <c r="F133" i="5" s="1"/>
  <c r="D133" i="5"/>
  <c r="M132" i="8"/>
  <c r="R132" i="8"/>
  <c r="E132" i="5"/>
  <c r="F132" i="5" s="1"/>
  <c r="D132" i="5"/>
  <c r="I132" i="5"/>
  <c r="J132" i="5" s="1"/>
  <c r="F132" i="8"/>
  <c r="D131" i="5"/>
  <c r="E131" i="5"/>
  <c r="F131" i="5" s="1"/>
  <c r="F131" i="8"/>
  <c r="I131" i="5"/>
  <c r="J131" i="5" s="1"/>
  <c r="M131" i="8"/>
  <c r="R131" i="8"/>
  <c r="M130" i="8"/>
  <c r="R130" i="8"/>
  <c r="D130" i="5"/>
  <c r="E130" i="5"/>
  <c r="F130" i="5" s="1"/>
  <c r="I130" i="5"/>
  <c r="J130" i="5" s="1"/>
  <c r="F130" i="8"/>
  <c r="F129" i="8"/>
  <c r="I129" i="5"/>
  <c r="J129" i="5" s="1"/>
  <c r="M129" i="8"/>
  <c r="R129" i="8"/>
  <c r="D129" i="5"/>
  <c r="E129" i="5"/>
  <c r="F129" i="5" s="1"/>
  <c r="F128" i="8"/>
  <c r="I128" i="5"/>
  <c r="J128" i="5" s="1"/>
  <c r="M128" i="8"/>
  <c r="R128" i="8"/>
  <c r="E128" i="5"/>
  <c r="F128" i="5" s="1"/>
  <c r="D128" i="5"/>
  <c r="M127" i="8"/>
  <c r="R127" i="8"/>
  <c r="D127" i="5"/>
  <c r="E127" i="5"/>
  <c r="F127" i="5" s="1"/>
  <c r="F127" i="8"/>
  <c r="I127" i="5"/>
  <c r="J127" i="5" s="1"/>
  <c r="E126" i="5"/>
  <c r="F126" i="5" s="1"/>
  <c r="D126" i="5"/>
  <c r="I126" i="5"/>
  <c r="J126" i="5" s="1"/>
  <c r="F126" i="8"/>
  <c r="M126" i="8"/>
  <c r="R126" i="8"/>
  <c r="F125" i="8"/>
  <c r="I125" i="5"/>
  <c r="J125" i="5" s="1"/>
  <c r="M125" i="8"/>
  <c r="R125" i="8"/>
  <c r="E125" i="5"/>
  <c r="F125" i="5" s="1"/>
  <c r="D125" i="5"/>
  <c r="I124" i="5"/>
  <c r="J124" i="5" s="1"/>
  <c r="F124" i="8"/>
  <c r="E124" i="5"/>
  <c r="F124" i="5" s="1"/>
  <c r="D124" i="5"/>
  <c r="M124" i="8"/>
  <c r="R124" i="8"/>
  <c r="F123" i="8"/>
  <c r="I123" i="5"/>
  <c r="J123" i="5" s="1"/>
  <c r="E123" i="5"/>
  <c r="F123" i="5" s="1"/>
  <c r="K123" i="5" s="1"/>
  <c r="D123" i="5"/>
  <c r="M123" i="8"/>
  <c r="R123" i="8"/>
  <c r="E122" i="5"/>
  <c r="F122" i="5" s="1"/>
  <c r="D122" i="5"/>
  <c r="I122" i="5"/>
  <c r="J122" i="5" s="1"/>
  <c r="F122" i="8"/>
  <c r="M122" i="8"/>
  <c r="R122" i="8"/>
  <c r="I121" i="5"/>
  <c r="J121" i="5" s="1"/>
  <c r="F121" i="8"/>
  <c r="M121" i="8"/>
  <c r="R121" i="8"/>
  <c r="E121" i="5"/>
  <c r="F121" i="5" s="1"/>
  <c r="D121" i="5"/>
  <c r="E120" i="5"/>
  <c r="F120" i="5" s="1"/>
  <c r="D120" i="5"/>
  <c r="I120" i="5"/>
  <c r="J120" i="5" s="1"/>
  <c r="F120" i="8"/>
  <c r="M120" i="8"/>
  <c r="R120" i="8"/>
  <c r="I119" i="5"/>
  <c r="J119" i="5" s="1"/>
  <c r="F119" i="8"/>
  <c r="M119" i="8"/>
  <c r="R119" i="8"/>
  <c r="E119" i="5"/>
  <c r="F119" i="5" s="1"/>
  <c r="D119" i="5"/>
  <c r="M118" i="8"/>
  <c r="R118" i="8"/>
  <c r="E118" i="5"/>
  <c r="F118" i="5" s="1"/>
  <c r="D118" i="5"/>
  <c r="I118" i="5"/>
  <c r="J118" i="5" s="1"/>
  <c r="F118" i="8"/>
  <c r="I117" i="5"/>
  <c r="J117" i="5" s="1"/>
  <c r="F117" i="8"/>
  <c r="D117" i="5"/>
  <c r="E117" i="5"/>
  <c r="F117" i="5" s="1"/>
  <c r="M117" i="8"/>
  <c r="R117" i="8"/>
  <c r="I116" i="5"/>
  <c r="J116" i="5" s="1"/>
  <c r="F116" i="8"/>
  <c r="M116" i="8"/>
  <c r="R116" i="8"/>
  <c r="E116" i="5"/>
  <c r="F116" i="5" s="1"/>
  <c r="D116" i="5"/>
  <c r="M115" i="8"/>
  <c r="R115" i="8"/>
  <c r="E115" i="5"/>
  <c r="F115" i="5" s="1"/>
  <c r="D115" i="5"/>
  <c r="I115" i="5"/>
  <c r="J115" i="5" s="1"/>
  <c r="F115" i="8"/>
  <c r="E114" i="5"/>
  <c r="F114" i="5" s="1"/>
  <c r="D114" i="5"/>
  <c r="I114" i="5"/>
  <c r="J114" i="5" s="1"/>
  <c r="F114" i="8"/>
  <c r="M114" i="8"/>
  <c r="R114" i="8"/>
  <c r="F113" i="8"/>
  <c r="I113" i="5"/>
  <c r="J113" i="5" s="1"/>
  <c r="M113" i="8"/>
  <c r="R113" i="8"/>
  <c r="E113" i="5"/>
  <c r="F113" i="5" s="1"/>
  <c r="D113" i="5"/>
  <c r="I112" i="5"/>
  <c r="J112" i="5" s="1"/>
  <c r="F112" i="8"/>
  <c r="M112" i="8"/>
  <c r="R112" i="8"/>
  <c r="D112" i="5"/>
  <c r="E112" i="5"/>
  <c r="F112" i="5" s="1"/>
  <c r="M111" i="8"/>
  <c r="R111" i="8"/>
  <c r="D111" i="5"/>
  <c r="E111" i="5"/>
  <c r="F111" i="5" s="1"/>
  <c r="I111" i="5"/>
  <c r="J111" i="5" s="1"/>
  <c r="F111" i="8"/>
  <c r="M110" i="8"/>
  <c r="R110" i="8"/>
  <c r="E110" i="5"/>
  <c r="F110" i="5" s="1"/>
  <c r="D110" i="5"/>
  <c r="I110" i="5"/>
  <c r="J110" i="5" s="1"/>
  <c r="F110" i="8"/>
  <c r="M109" i="8"/>
  <c r="R109" i="8"/>
  <c r="I109" i="5"/>
  <c r="J109" i="5" s="1"/>
  <c r="F109" i="8"/>
  <c r="E109" i="5"/>
  <c r="F109" i="5" s="1"/>
  <c r="D109" i="5"/>
  <c r="I108" i="5"/>
  <c r="J108" i="5" s="1"/>
  <c r="F108" i="8"/>
  <c r="E108" i="5"/>
  <c r="F108" i="5" s="1"/>
  <c r="D108" i="5"/>
  <c r="M108" i="8"/>
  <c r="R108" i="8"/>
  <c r="I107" i="5"/>
  <c r="J107" i="5" s="1"/>
  <c r="F107" i="8"/>
  <c r="D107" i="5"/>
  <c r="E107" i="5"/>
  <c r="F107" i="5" s="1"/>
  <c r="M107" i="8"/>
  <c r="R107" i="8"/>
  <c r="I106" i="5"/>
  <c r="J106" i="5" s="1"/>
  <c r="F106" i="8"/>
  <c r="M106" i="8"/>
  <c r="R106" i="8"/>
  <c r="D106" i="5"/>
  <c r="E106" i="5"/>
  <c r="F106" i="5" s="1"/>
  <c r="I105" i="5"/>
  <c r="J105" i="5" s="1"/>
  <c r="F105" i="8"/>
  <c r="D105" i="5"/>
  <c r="E105" i="5"/>
  <c r="F105" i="5" s="1"/>
  <c r="M105" i="8"/>
  <c r="R105" i="8"/>
  <c r="E104" i="5"/>
  <c r="F104" i="5" s="1"/>
  <c r="D104" i="5"/>
  <c r="M104" i="8"/>
  <c r="R104" i="8"/>
  <c r="F104" i="8"/>
  <c r="I104" i="5"/>
  <c r="J104" i="5" s="1"/>
  <c r="M103" i="8"/>
  <c r="R103" i="8"/>
  <c r="E103" i="5"/>
  <c r="F103" i="5" s="1"/>
  <c r="D103" i="5"/>
  <c r="I103" i="5"/>
  <c r="J103" i="5" s="1"/>
  <c r="F103" i="8"/>
  <c r="E102" i="5"/>
  <c r="F102" i="5" s="1"/>
  <c r="D102" i="5"/>
  <c r="M102" i="8"/>
  <c r="R102" i="8"/>
  <c r="I102" i="5"/>
  <c r="J102" i="5" s="1"/>
  <c r="F102" i="8"/>
  <c r="E101" i="5"/>
  <c r="F101" i="5" s="1"/>
  <c r="D101" i="5"/>
  <c r="M101" i="8"/>
  <c r="R101" i="8"/>
  <c r="I101" i="5"/>
  <c r="J101" i="5" s="1"/>
  <c r="F101" i="8"/>
  <c r="M100" i="8"/>
  <c r="R100" i="8"/>
  <c r="E100" i="5"/>
  <c r="F100" i="5" s="1"/>
  <c r="D100" i="5"/>
  <c r="I100" i="5"/>
  <c r="J100" i="5" s="1"/>
  <c r="F100" i="8"/>
  <c r="M99" i="8"/>
  <c r="R99" i="8"/>
  <c r="D99" i="5"/>
  <c r="E99" i="5"/>
  <c r="F99" i="5" s="1"/>
  <c r="F99" i="8"/>
  <c r="I99" i="5"/>
  <c r="J99" i="5" s="1"/>
  <c r="D98" i="5"/>
  <c r="E98" i="5"/>
  <c r="F98" i="5" s="1"/>
  <c r="I98" i="5"/>
  <c r="J98" i="5" s="1"/>
  <c r="F98" i="8"/>
  <c r="M98" i="8"/>
  <c r="R98" i="8"/>
  <c r="M97" i="8"/>
  <c r="R97" i="8"/>
  <c r="I97" i="5"/>
  <c r="J97" i="5" s="1"/>
  <c r="F97" i="8"/>
  <c r="D97" i="5"/>
  <c r="E97" i="5"/>
  <c r="F97" i="5" s="1"/>
  <c r="D96" i="5"/>
  <c r="E96" i="5"/>
  <c r="F96" i="5" s="1"/>
  <c r="I96" i="5"/>
  <c r="J96" i="5" s="1"/>
  <c r="F96" i="8"/>
  <c r="M96" i="8"/>
  <c r="R96" i="8"/>
  <c r="M95" i="8"/>
  <c r="R95" i="8"/>
  <c r="E95" i="5"/>
  <c r="F95" i="5" s="1"/>
  <c r="D95" i="5"/>
  <c r="I95" i="5"/>
  <c r="J95" i="5" s="1"/>
  <c r="F95" i="8"/>
  <c r="E94" i="5"/>
  <c r="F94" i="5" s="1"/>
  <c r="D94" i="5"/>
  <c r="I94" i="5"/>
  <c r="J94" i="5" s="1"/>
  <c r="F94" i="8"/>
  <c r="M94" i="8"/>
  <c r="R94" i="8"/>
  <c r="D93" i="5"/>
  <c r="E93" i="5"/>
  <c r="F93" i="5" s="1"/>
  <c r="M93" i="8"/>
  <c r="R93" i="8"/>
  <c r="I93" i="5"/>
  <c r="J93" i="5" s="1"/>
  <c r="F93" i="8"/>
  <c r="F92" i="8"/>
  <c r="I92" i="5"/>
  <c r="J92" i="5" s="1"/>
  <c r="M92" i="8"/>
  <c r="R92" i="8"/>
  <c r="E92" i="5"/>
  <c r="F92" i="5" s="1"/>
  <c r="D92" i="5"/>
  <c r="M91" i="8"/>
  <c r="R91" i="8"/>
  <c r="F91" i="8"/>
  <c r="I91" i="5"/>
  <c r="J91" i="5" s="1"/>
  <c r="E91" i="5"/>
  <c r="F91" i="5" s="1"/>
  <c r="D91" i="5"/>
  <c r="M90" i="8"/>
  <c r="R90" i="8"/>
  <c r="D90" i="5"/>
  <c r="E90" i="5"/>
  <c r="F90" i="5" s="1"/>
  <c r="F90" i="8"/>
  <c r="I90" i="5"/>
  <c r="J90" i="5" s="1"/>
  <c r="M89" i="8"/>
  <c r="R89" i="8"/>
  <c r="F89" i="8"/>
  <c r="I89" i="5"/>
  <c r="J89" i="5" s="1"/>
  <c r="E89" i="5"/>
  <c r="F89" i="5" s="1"/>
  <c r="D89" i="5"/>
  <c r="M88" i="8"/>
  <c r="R88" i="8"/>
  <c r="I88" i="5"/>
  <c r="J88" i="5" s="1"/>
  <c r="F88" i="8"/>
  <c r="D88" i="5"/>
  <c r="E88" i="5"/>
  <c r="F88" i="5" s="1"/>
  <c r="I87" i="5"/>
  <c r="J87" i="5" s="1"/>
  <c r="F87" i="8"/>
  <c r="E87" i="5"/>
  <c r="F87" i="5" s="1"/>
  <c r="D87" i="5"/>
  <c r="M87" i="8"/>
  <c r="R87" i="8"/>
  <c r="M86" i="8"/>
  <c r="R86" i="8"/>
  <c r="I86" i="5"/>
  <c r="J86" i="5" s="1"/>
  <c r="F86" i="8"/>
  <c r="E86" i="5"/>
  <c r="F86" i="5" s="1"/>
  <c r="D86" i="5"/>
  <c r="D85" i="5"/>
  <c r="E85" i="5"/>
  <c r="F85" i="5" s="1"/>
  <c r="F85" i="8"/>
  <c r="I85" i="5"/>
  <c r="J85" i="5" s="1"/>
  <c r="M85" i="8"/>
  <c r="R85" i="8"/>
  <c r="M84" i="8"/>
  <c r="R84" i="8"/>
  <c r="F84" i="8"/>
  <c r="I84" i="5"/>
  <c r="J84" i="5" s="1"/>
  <c r="E84" i="5"/>
  <c r="F84" i="5" s="1"/>
  <c r="D84" i="5"/>
  <c r="M83" i="8"/>
  <c r="R83" i="8"/>
  <c r="D83" i="5"/>
  <c r="E83" i="5"/>
  <c r="F83" i="5" s="1"/>
  <c r="F83" i="8"/>
  <c r="I83" i="5"/>
  <c r="J83" i="5" s="1"/>
  <c r="M82" i="8"/>
  <c r="R82" i="8"/>
  <c r="I82" i="5"/>
  <c r="J82" i="5" s="1"/>
  <c r="F82" i="8"/>
  <c r="E82" i="5"/>
  <c r="F82" i="5" s="1"/>
  <c r="D82" i="5"/>
  <c r="I81" i="5"/>
  <c r="J81" i="5" s="1"/>
  <c r="F81" i="8"/>
  <c r="E81" i="5"/>
  <c r="F81" i="5" s="1"/>
  <c r="D81" i="5"/>
  <c r="M81" i="8"/>
  <c r="R81" i="8"/>
  <c r="M80" i="8"/>
  <c r="R80" i="8"/>
  <c r="E80" i="5"/>
  <c r="F80" i="5" s="1"/>
  <c r="D80" i="5"/>
  <c r="I80" i="5"/>
  <c r="J80" i="5" s="1"/>
  <c r="F80" i="8"/>
  <c r="M79" i="8"/>
  <c r="R79" i="8"/>
  <c r="E79" i="5"/>
  <c r="F79" i="5" s="1"/>
  <c r="D79" i="5"/>
  <c r="F79" i="8"/>
  <c r="I79" i="5"/>
  <c r="J79" i="5" s="1"/>
  <c r="E78" i="5"/>
  <c r="F78" i="5" s="1"/>
  <c r="D78" i="5"/>
  <c r="M78" i="8"/>
  <c r="R78" i="8"/>
  <c r="F78" i="8"/>
  <c r="I78" i="5"/>
  <c r="J78" i="5" s="1"/>
  <c r="D77" i="5"/>
  <c r="E77" i="5"/>
  <c r="F77" i="5" s="1"/>
  <c r="I77" i="5"/>
  <c r="J77" i="5" s="1"/>
  <c r="F77" i="8"/>
  <c r="M77" i="8"/>
  <c r="R77" i="8"/>
  <c r="E76" i="5"/>
  <c r="F76" i="5" s="1"/>
  <c r="D76" i="5"/>
  <c r="F76" i="8"/>
  <c r="I76" i="5"/>
  <c r="J76" i="5" s="1"/>
  <c r="M76" i="8"/>
  <c r="R76" i="8"/>
  <c r="I75" i="5"/>
  <c r="J75" i="5" s="1"/>
  <c r="F75" i="8"/>
  <c r="E75" i="5"/>
  <c r="F75" i="5" s="1"/>
  <c r="D75" i="5"/>
  <c r="M75" i="8"/>
  <c r="R75" i="8"/>
  <c r="D74" i="5"/>
  <c r="E74" i="5"/>
  <c r="F74" i="5" s="1"/>
  <c r="M74" i="8"/>
  <c r="R74" i="8"/>
  <c r="I74" i="5"/>
  <c r="J74" i="5" s="1"/>
  <c r="F74" i="8"/>
  <c r="D73" i="5"/>
  <c r="E73" i="5"/>
  <c r="F73" i="5" s="1"/>
  <c r="I73" i="5"/>
  <c r="J73" i="5" s="1"/>
  <c r="F73" i="8"/>
  <c r="M73" i="8"/>
  <c r="R73" i="8"/>
  <c r="F72" i="8"/>
  <c r="I72" i="5"/>
  <c r="J72" i="5" s="1"/>
  <c r="E72" i="5"/>
  <c r="F72" i="5" s="1"/>
  <c r="D72" i="5"/>
  <c r="M72" i="8"/>
  <c r="R72" i="8"/>
  <c r="D71" i="5"/>
  <c r="E71" i="5"/>
  <c r="F71" i="5" s="1"/>
  <c r="M71" i="8"/>
  <c r="R71" i="8"/>
  <c r="F71" i="8"/>
  <c r="I71" i="5"/>
  <c r="J71" i="5" s="1"/>
  <c r="E70" i="5"/>
  <c r="F70" i="5" s="1"/>
  <c r="D70" i="5"/>
  <c r="I70" i="5"/>
  <c r="J70" i="5" s="1"/>
  <c r="F70" i="8"/>
  <c r="M70" i="8"/>
  <c r="R70" i="8"/>
  <c r="M69" i="8"/>
  <c r="R69" i="8"/>
  <c r="I69" i="5"/>
  <c r="J69" i="5" s="1"/>
  <c r="F69" i="8"/>
  <c r="E69" i="5"/>
  <c r="F69" i="5" s="1"/>
  <c r="D69" i="5"/>
  <c r="M68" i="8"/>
  <c r="R68" i="8"/>
  <c r="D68" i="5"/>
  <c r="E68" i="5"/>
  <c r="F68" i="5" s="1"/>
  <c r="I68" i="5"/>
  <c r="J68" i="5" s="1"/>
  <c r="F68" i="8"/>
  <c r="D67" i="5"/>
  <c r="E67" i="5"/>
  <c r="F67" i="5" s="1"/>
  <c r="M67" i="8"/>
  <c r="R67" i="8"/>
  <c r="F67" i="8"/>
  <c r="I67" i="5"/>
  <c r="J67" i="5" s="1"/>
  <c r="M66" i="8"/>
  <c r="R66" i="8"/>
  <c r="F66" i="8"/>
  <c r="I66" i="5"/>
  <c r="J66" i="5" s="1"/>
  <c r="E66" i="5"/>
  <c r="F66" i="5" s="1"/>
  <c r="D66" i="5"/>
  <c r="I65" i="5"/>
  <c r="J65" i="5" s="1"/>
  <c r="F65" i="8"/>
  <c r="M65" i="8"/>
  <c r="R65" i="8"/>
  <c r="E65" i="5"/>
  <c r="F65" i="5" s="1"/>
  <c r="D65" i="5"/>
  <c r="D64" i="5"/>
  <c r="E64" i="5"/>
  <c r="F64" i="5" s="1"/>
  <c r="M64" i="8"/>
  <c r="R64" i="8"/>
  <c r="F64" i="8"/>
  <c r="I64" i="5"/>
  <c r="J64" i="5" s="1"/>
  <c r="M63" i="8"/>
  <c r="R63" i="8"/>
  <c r="D63" i="5"/>
  <c r="E63" i="5"/>
  <c r="F63" i="5" s="1"/>
  <c r="F63" i="8"/>
  <c r="I63" i="5"/>
  <c r="J63" i="5" s="1"/>
  <c r="D62" i="5"/>
  <c r="E62" i="5"/>
  <c r="F62" i="5" s="1"/>
  <c r="I62" i="5"/>
  <c r="J62" i="5" s="1"/>
  <c r="F62" i="8"/>
  <c r="M62" i="8"/>
  <c r="R62" i="8"/>
  <c r="M61" i="8"/>
  <c r="R61" i="8"/>
  <c r="F61" i="8"/>
  <c r="I61" i="5"/>
  <c r="J61" i="5" s="1"/>
  <c r="E61" i="5"/>
  <c r="F61" i="5" s="1"/>
  <c r="D61" i="5"/>
  <c r="M60" i="8"/>
  <c r="R60" i="8"/>
  <c r="I60" i="5"/>
  <c r="J60" i="5" s="1"/>
  <c r="F60" i="8"/>
  <c r="E60" i="5"/>
  <c r="F60" i="5" s="1"/>
  <c r="D60" i="5"/>
  <c r="I59" i="5"/>
  <c r="J59" i="5" s="1"/>
  <c r="F59" i="8"/>
  <c r="E59" i="5"/>
  <c r="F59" i="5" s="1"/>
  <c r="D59" i="5"/>
  <c r="M59" i="8"/>
  <c r="R59" i="8"/>
  <c r="M58" i="8"/>
  <c r="R58" i="8"/>
  <c r="E58" i="5"/>
  <c r="F58" i="5" s="1"/>
  <c r="D58" i="5"/>
  <c r="F58" i="8"/>
  <c r="I58" i="5"/>
  <c r="J58" i="5" s="1"/>
  <c r="M57" i="8"/>
  <c r="R57" i="8"/>
  <c r="I57" i="5"/>
  <c r="J57" i="5" s="1"/>
  <c r="F57" i="8"/>
  <c r="D57" i="5"/>
  <c r="E57" i="5"/>
  <c r="F57" i="5" s="1"/>
  <c r="M56" i="8"/>
  <c r="R56" i="8"/>
  <c r="F56" i="8"/>
  <c r="I56" i="5"/>
  <c r="J56" i="5" s="1"/>
  <c r="D56" i="5"/>
  <c r="E56" i="5"/>
  <c r="F56" i="5" s="1"/>
  <c r="I55" i="5"/>
  <c r="J55" i="5" s="1"/>
  <c r="F55" i="8"/>
  <c r="E55" i="5"/>
  <c r="F55" i="5" s="1"/>
  <c r="D55" i="5"/>
  <c r="M55" i="8"/>
  <c r="R55" i="8"/>
  <c r="M54" i="8"/>
  <c r="R54" i="8"/>
  <c r="D54" i="5"/>
  <c r="E54" i="5"/>
  <c r="F54" i="5" s="1"/>
  <c r="F54" i="8"/>
  <c r="I54" i="5"/>
  <c r="J54" i="5" s="1"/>
  <c r="E53" i="5"/>
  <c r="F53" i="5" s="1"/>
  <c r="D53" i="5"/>
  <c r="M53" i="8"/>
  <c r="R53" i="8"/>
  <c r="I53" i="5"/>
  <c r="J53" i="5" s="1"/>
  <c r="F53" i="8"/>
  <c r="D52" i="5"/>
  <c r="E52" i="5"/>
  <c r="F52" i="5" s="1"/>
  <c r="M52" i="8"/>
  <c r="R52" i="8"/>
  <c r="I52" i="5"/>
  <c r="J52" i="5" s="1"/>
  <c r="F52" i="8"/>
  <c r="E51" i="5"/>
  <c r="F51" i="5" s="1"/>
  <c r="D51" i="5"/>
  <c r="M51" i="8"/>
  <c r="R51" i="8"/>
  <c r="F51" i="8"/>
  <c r="I51" i="5"/>
  <c r="J51" i="5" s="1"/>
  <c r="M50" i="8"/>
  <c r="R50" i="8"/>
  <c r="I50" i="5"/>
  <c r="J50" i="5" s="1"/>
  <c r="F50" i="8"/>
  <c r="E50" i="5"/>
  <c r="F50" i="5" s="1"/>
  <c r="D50" i="5"/>
  <c r="E49" i="5"/>
  <c r="F49" i="5" s="1"/>
  <c r="D49" i="5"/>
  <c r="M49" i="8"/>
  <c r="R49" i="8"/>
  <c r="F49" i="8"/>
  <c r="I49" i="5"/>
  <c r="J49" i="5" s="1"/>
  <c r="E48" i="5"/>
  <c r="F48" i="5" s="1"/>
  <c r="D48" i="5"/>
  <c r="I48" i="5"/>
  <c r="J48" i="5" s="1"/>
  <c r="F48" i="8"/>
  <c r="M48" i="8"/>
  <c r="R48" i="8"/>
  <c r="E47" i="5"/>
  <c r="F47" i="5" s="1"/>
  <c r="D47" i="5"/>
  <c r="F47" i="8"/>
  <c r="I47" i="5"/>
  <c r="J47" i="5" s="1"/>
  <c r="M47" i="8"/>
  <c r="R47" i="8"/>
  <c r="M46" i="8"/>
  <c r="R46" i="8"/>
  <c r="I46" i="5"/>
  <c r="J46" i="5" s="1"/>
  <c r="F46" i="8"/>
  <c r="D46" i="5"/>
  <c r="E46" i="5"/>
  <c r="F46" i="5" s="1"/>
  <c r="E45" i="5"/>
  <c r="F45" i="5" s="1"/>
  <c r="D45" i="5"/>
  <c r="M45" i="8"/>
  <c r="R45" i="8"/>
  <c r="F45" i="8"/>
  <c r="I45" i="5"/>
  <c r="J45" i="5" s="1"/>
  <c r="M44" i="8"/>
  <c r="R44" i="8"/>
  <c r="E44" i="5"/>
  <c r="F44" i="5" s="1"/>
  <c r="D44" i="5"/>
  <c r="F44" i="8"/>
  <c r="I44" i="5"/>
  <c r="J44" i="5" s="1"/>
  <c r="E43" i="5"/>
  <c r="F43" i="5" s="1"/>
  <c r="D43" i="5"/>
  <c r="F43" i="8"/>
  <c r="I43" i="5"/>
  <c r="J43" i="5" s="1"/>
  <c r="M43" i="8"/>
  <c r="R43" i="8"/>
  <c r="E42" i="5"/>
  <c r="F42" i="5" s="1"/>
  <c r="D42" i="5"/>
  <c r="M42" i="8"/>
  <c r="R42" i="8"/>
  <c r="F42" i="8"/>
  <c r="I42" i="5"/>
  <c r="J42" i="5" s="1"/>
  <c r="M41" i="8"/>
  <c r="R41" i="8"/>
  <c r="D41" i="5"/>
  <c r="E41" i="5"/>
  <c r="F41" i="5" s="1"/>
  <c r="F41" i="8"/>
  <c r="I41" i="5"/>
  <c r="J41" i="5" s="1"/>
  <c r="D40" i="5"/>
  <c r="E40" i="5"/>
  <c r="F40" i="5" s="1"/>
  <c r="M40" i="8"/>
  <c r="R40" i="8"/>
  <c r="F40" i="8"/>
  <c r="I40" i="5"/>
  <c r="J40" i="5" s="1"/>
  <c r="M39" i="8"/>
  <c r="R39" i="8"/>
  <c r="F39" i="8"/>
  <c r="I39" i="5"/>
  <c r="J39" i="5" s="1"/>
  <c r="D39" i="5"/>
  <c r="E39" i="5"/>
  <c r="F39" i="5" s="1"/>
  <c r="E38" i="5"/>
  <c r="F38" i="5" s="1"/>
  <c r="D38" i="5"/>
  <c r="F38" i="8"/>
  <c r="I38" i="5"/>
  <c r="J38" i="5" s="1"/>
  <c r="M38" i="8"/>
  <c r="R38" i="8"/>
  <c r="I37" i="5"/>
  <c r="J37" i="5" s="1"/>
  <c r="F37" i="8"/>
  <c r="M37" i="8"/>
  <c r="R37" i="8"/>
  <c r="D37" i="5"/>
  <c r="E37" i="5"/>
  <c r="F37" i="5" s="1"/>
  <c r="M36" i="8"/>
  <c r="R36" i="8"/>
  <c r="E36" i="5"/>
  <c r="F36" i="5" s="1"/>
  <c r="D36" i="5"/>
  <c r="F36" i="8"/>
  <c r="I36" i="5"/>
  <c r="J36" i="5" s="1"/>
  <c r="I35" i="5"/>
  <c r="J35" i="5" s="1"/>
  <c r="F35" i="8"/>
  <c r="D35" i="5"/>
  <c r="E35" i="5"/>
  <c r="F35" i="5" s="1"/>
  <c r="M35" i="8"/>
  <c r="R35" i="8"/>
  <c r="F34" i="8"/>
  <c r="I34" i="5"/>
  <c r="J34" i="5" s="1"/>
  <c r="M34" i="8"/>
  <c r="R34" i="8"/>
  <c r="E34" i="5"/>
  <c r="F34" i="5" s="1"/>
  <c r="D34" i="5"/>
  <c r="I33" i="5"/>
  <c r="J33" i="5" s="1"/>
  <c r="F33" i="8"/>
  <c r="E33" i="5"/>
  <c r="F33" i="5" s="1"/>
  <c r="D33" i="5"/>
  <c r="M33" i="8"/>
  <c r="R33" i="8"/>
  <c r="E32" i="5"/>
  <c r="F32" i="5" s="1"/>
  <c r="D32" i="5"/>
  <c r="I32" i="5"/>
  <c r="J32" i="5" s="1"/>
  <c r="F32" i="8"/>
  <c r="M32" i="8"/>
  <c r="R32" i="8"/>
  <c r="E31" i="5"/>
  <c r="F31" i="5" s="1"/>
  <c r="D31" i="5"/>
  <c r="F31" i="8"/>
  <c r="I31" i="5"/>
  <c r="J31" i="5" s="1"/>
  <c r="M31" i="8"/>
  <c r="R31" i="8"/>
  <c r="I30" i="5"/>
  <c r="J30" i="5" s="1"/>
  <c r="F30" i="8"/>
  <c r="D30" i="5"/>
  <c r="E30" i="5"/>
  <c r="F30" i="5" s="1"/>
  <c r="K30" i="5" s="1"/>
  <c r="M30" i="8"/>
  <c r="R30" i="8"/>
  <c r="M29" i="8"/>
  <c r="R29" i="8"/>
  <c r="I29" i="5"/>
  <c r="J29" i="5" s="1"/>
  <c r="F29" i="8"/>
  <c r="E29" i="5"/>
  <c r="F29" i="5" s="1"/>
  <c r="K29" i="5" s="1"/>
  <c r="D29" i="5"/>
  <c r="I28" i="5"/>
  <c r="J28" i="5" s="1"/>
  <c r="F28" i="8"/>
  <c r="E28" i="5"/>
  <c r="F28" i="5" s="1"/>
  <c r="K28" i="5" s="1"/>
  <c r="D28" i="5"/>
  <c r="M28" i="8"/>
  <c r="R28" i="8"/>
  <c r="I27" i="5"/>
  <c r="J27" i="5" s="1"/>
  <c r="F27" i="8"/>
  <c r="M27" i="8"/>
  <c r="R27" i="8"/>
  <c r="E27" i="5"/>
  <c r="F27" i="5" s="1"/>
  <c r="K27" i="5" s="1"/>
  <c r="D27" i="5"/>
  <c r="M26" i="8"/>
  <c r="R26" i="8"/>
  <c r="E26" i="5"/>
  <c r="F26" i="5" s="1"/>
  <c r="D26" i="5"/>
  <c r="I26" i="5"/>
  <c r="J26" i="5" s="1"/>
  <c r="F26" i="8"/>
  <c r="D25" i="5"/>
  <c r="E25" i="5"/>
  <c r="F25" i="5" s="1"/>
  <c r="M25" i="8"/>
  <c r="R25" i="8"/>
  <c r="I25" i="5"/>
  <c r="J25" i="5" s="1"/>
  <c r="F25" i="8"/>
  <c r="F24" i="8"/>
  <c r="I24" i="5"/>
  <c r="J24" i="5" s="1"/>
  <c r="M24" i="8"/>
  <c r="R24" i="8"/>
  <c r="E24" i="5"/>
  <c r="F24" i="5" s="1"/>
  <c r="K24" i="5" s="1"/>
  <c r="D24" i="5"/>
  <c r="M23" i="8"/>
  <c r="R23" i="8"/>
  <c r="I23" i="5"/>
  <c r="J23" i="5" s="1"/>
  <c r="F23" i="8"/>
  <c r="D23" i="5"/>
  <c r="E23" i="5"/>
  <c r="F23" i="5" s="1"/>
  <c r="F22" i="8"/>
  <c r="I22" i="5"/>
  <c r="J22" i="5" s="1"/>
  <c r="M22" i="8"/>
  <c r="R22" i="8"/>
  <c r="E22" i="5"/>
  <c r="F22" i="5" s="1"/>
  <c r="D22" i="5"/>
  <c r="F21" i="8"/>
  <c r="I21" i="5"/>
  <c r="J21" i="5" s="1"/>
  <c r="E21" i="5"/>
  <c r="F21" i="5" s="1"/>
  <c r="D21" i="5"/>
  <c r="M21" i="8"/>
  <c r="R21" i="8"/>
  <c r="I20" i="5"/>
  <c r="J20" i="5" s="1"/>
  <c r="F20" i="8"/>
  <c r="M20" i="8"/>
  <c r="R20" i="8"/>
  <c r="E20" i="5"/>
  <c r="F20" i="5" s="1"/>
  <c r="D20" i="5"/>
  <c r="E19" i="5"/>
  <c r="F19" i="5" s="1"/>
  <c r="D19" i="5"/>
  <c r="F19" i="8"/>
  <c r="I19" i="5"/>
  <c r="J19" i="5" s="1"/>
  <c r="M19" i="8"/>
  <c r="R19" i="8"/>
  <c r="I18" i="5"/>
  <c r="J18" i="5" s="1"/>
  <c r="F18" i="8"/>
  <c r="M18" i="8"/>
  <c r="R18" i="8"/>
  <c r="E18" i="5"/>
  <c r="F18" i="5" s="1"/>
  <c r="D18" i="5"/>
  <c r="F17" i="8"/>
  <c r="I17" i="5"/>
  <c r="J17" i="5" s="1"/>
  <c r="M17" i="8"/>
  <c r="R17" i="8"/>
  <c r="D17" i="5"/>
  <c r="E17" i="5"/>
  <c r="F17" i="5" s="1"/>
  <c r="F16" i="8"/>
  <c r="I16" i="5"/>
  <c r="J16" i="5" s="1"/>
  <c r="M16" i="8"/>
  <c r="R16" i="8"/>
  <c r="E16" i="5"/>
  <c r="F16" i="5" s="1"/>
  <c r="D16" i="5"/>
  <c r="F15" i="8"/>
  <c r="I15" i="5"/>
  <c r="J15" i="5" s="1"/>
  <c r="E15" i="5"/>
  <c r="F15" i="5" s="1"/>
  <c r="D15" i="5"/>
  <c r="M15" i="8"/>
  <c r="R15" i="8"/>
  <c r="E14" i="5"/>
  <c r="F14" i="5" s="1"/>
  <c r="D14" i="5"/>
  <c r="F14" i="8"/>
  <c r="I14" i="5"/>
  <c r="J14" i="5" s="1"/>
  <c r="M14" i="8"/>
  <c r="R14" i="8"/>
  <c r="M13" i="8"/>
  <c r="R13" i="8"/>
  <c r="I13" i="5"/>
  <c r="J13" i="5" s="1"/>
  <c r="F13" i="8"/>
  <c r="E13" i="5"/>
  <c r="F13" i="5" s="1"/>
  <c r="D13" i="5"/>
  <c r="D12" i="5"/>
  <c r="E12" i="5"/>
  <c r="F12" i="5" s="1"/>
  <c r="R12" i="8"/>
  <c r="M12" i="8"/>
  <c r="F12" i="8"/>
  <c r="I12" i="5"/>
  <c r="J12" i="5" s="1"/>
  <c r="M11" i="8"/>
  <c r="R11" i="8"/>
  <c r="E11" i="5"/>
  <c r="F11" i="5" s="1"/>
  <c r="D11" i="5"/>
  <c r="I11" i="5"/>
  <c r="J11" i="5" s="1"/>
  <c r="F11" i="8"/>
  <c r="F10" i="8"/>
  <c r="I10" i="5"/>
  <c r="J10" i="5" s="1"/>
  <c r="M10" i="8"/>
  <c r="R10" i="8"/>
  <c r="E10" i="5"/>
  <c r="F10" i="5" s="1"/>
  <c r="D10" i="5"/>
  <c r="D9" i="5"/>
  <c r="E9" i="5"/>
  <c r="F9" i="5" s="1"/>
  <c r="F9" i="8"/>
  <c r="I9" i="5"/>
  <c r="J9" i="5" s="1"/>
  <c r="M9" i="8"/>
  <c r="R9" i="8"/>
  <c r="D8" i="5"/>
  <c r="E8" i="5"/>
  <c r="F8" i="5" s="1"/>
  <c r="M8" i="8"/>
  <c r="R8" i="8"/>
  <c r="I8" i="5"/>
  <c r="J8" i="5" s="1"/>
  <c r="F8" i="8"/>
  <c r="I7" i="5"/>
  <c r="J7" i="5" s="1"/>
  <c r="F7" i="8"/>
  <c r="M7" i="8"/>
  <c r="R7" i="8"/>
  <c r="E7" i="5"/>
  <c r="F7" i="5" s="1"/>
  <c r="D7" i="5"/>
  <c r="D6" i="5"/>
  <c r="E6" i="5"/>
  <c r="F6" i="5" s="1"/>
  <c r="I6" i="5"/>
  <c r="J6" i="5" s="1"/>
  <c r="F6" i="8"/>
  <c r="M6" i="8"/>
  <c r="R6" i="8"/>
  <c r="M5" i="8"/>
  <c r="R5" i="8"/>
  <c r="I5" i="5"/>
  <c r="J5" i="5" s="1"/>
  <c r="F5" i="8"/>
  <c r="E5" i="5"/>
  <c r="F5" i="5" s="1"/>
  <c r="D5" i="5"/>
  <c r="I41" i="6"/>
  <c r="I38" i="6"/>
  <c r="I40" i="6"/>
  <c r="I25" i="6"/>
  <c r="I42" i="6"/>
  <c r="I43" i="6"/>
  <c r="I46" i="6"/>
  <c r="I47" i="6"/>
  <c r="I48" i="6"/>
  <c r="I50" i="6"/>
  <c r="I51" i="6"/>
  <c r="I52" i="6"/>
  <c r="I53" i="6"/>
  <c r="I57" i="6"/>
  <c r="I59" i="6"/>
  <c r="I61" i="6"/>
  <c r="I65" i="6"/>
  <c r="I63" i="6"/>
  <c r="I54" i="6"/>
  <c r="I49" i="6"/>
  <c r="I20" i="6"/>
  <c r="I21" i="6"/>
  <c r="I23" i="6"/>
  <c r="I26" i="6"/>
  <c r="I28" i="6"/>
  <c r="I29" i="6"/>
  <c r="I30" i="6"/>
  <c r="I34" i="6"/>
  <c r="I36" i="6"/>
  <c r="I39" i="6"/>
  <c r="I44" i="6"/>
  <c r="I55" i="6"/>
  <c r="I35" i="6"/>
  <c r="I31" i="6"/>
  <c r="L25" i="6" l="1"/>
  <c r="L50" i="6"/>
  <c r="L59" i="6"/>
  <c r="L49" i="6"/>
  <c r="L28" i="6"/>
  <c r="L44" i="6"/>
  <c r="L43" i="6"/>
  <c r="L21" i="6"/>
  <c r="L36" i="6"/>
  <c r="L31" i="6"/>
  <c r="L41" i="6"/>
  <c r="L51" i="6"/>
  <c r="L20" i="6"/>
  <c r="L39" i="6"/>
  <c r="L38" i="6"/>
  <c r="L48" i="6"/>
  <c r="L52" i="6"/>
  <c r="L61" i="6"/>
  <c r="L23" i="6"/>
  <c r="L30" i="6"/>
  <c r="L35" i="6"/>
  <c r="L40" i="6"/>
  <c r="L47" i="6"/>
  <c r="L53" i="6"/>
  <c r="L65" i="6"/>
  <c r="L29" i="6"/>
  <c r="L55" i="6"/>
  <c r="L42" i="6"/>
  <c r="L46" i="6"/>
  <c r="L57" i="6"/>
  <c r="L63" i="6"/>
  <c r="L26" i="6"/>
  <c r="L34" i="6"/>
  <c r="L54" i="6"/>
  <c r="K121" i="5"/>
  <c r="K119" i="5"/>
  <c r="K109" i="5"/>
  <c r="K133" i="5"/>
  <c r="K108" i="5"/>
  <c r="K106" i="5"/>
  <c r="K107" i="5"/>
  <c r="K20" i="5"/>
  <c r="K16" i="5"/>
  <c r="K22" i="5"/>
  <c r="K21" i="5"/>
  <c r="K23" i="5"/>
  <c r="K18" i="5"/>
  <c r="K17" i="5"/>
  <c r="K145" i="5"/>
  <c r="K149" i="5"/>
  <c r="K105" i="5"/>
  <c r="K117" i="5"/>
  <c r="F455" i="7" s="1"/>
  <c r="K31" i="5"/>
  <c r="K15" i="5"/>
  <c r="K148" i="5"/>
  <c r="K129" i="5"/>
  <c r="K128" i="5"/>
  <c r="K126" i="5"/>
  <c r="K125" i="5"/>
  <c r="K85" i="5"/>
  <c r="F326" i="7" s="1"/>
  <c r="K60" i="5"/>
  <c r="K50" i="5"/>
  <c r="K38" i="5"/>
  <c r="K34" i="5"/>
  <c r="K138" i="5"/>
  <c r="K78" i="5"/>
  <c r="K72" i="5"/>
  <c r="K64" i="5"/>
  <c r="K57" i="5"/>
  <c r="K42" i="5"/>
  <c r="K33" i="5"/>
  <c r="K154" i="5"/>
  <c r="K153" i="5"/>
  <c r="K140" i="5"/>
  <c r="K139" i="5"/>
  <c r="K124" i="5"/>
  <c r="K94" i="5"/>
  <c r="K90" i="5"/>
  <c r="K87" i="5"/>
  <c r="K83" i="5"/>
  <c r="K81" i="5"/>
  <c r="K74" i="5"/>
  <c r="K70" i="5"/>
  <c r="K49" i="5"/>
  <c r="K47" i="5"/>
  <c r="K46" i="5"/>
  <c r="K144" i="5"/>
  <c r="F563" i="7" s="1"/>
  <c r="K96" i="5"/>
  <c r="K93" i="5"/>
  <c r="K91" i="5"/>
  <c r="K88" i="5"/>
  <c r="K80" i="5"/>
  <c r="K76" i="5"/>
  <c r="K75" i="5"/>
  <c r="K66" i="5"/>
  <c r="K62" i="5"/>
  <c r="O62" i="5" s="1"/>
  <c r="K40" i="5"/>
  <c r="K131" i="5"/>
  <c r="K130" i="5"/>
  <c r="K127" i="5"/>
  <c r="K84" i="5"/>
  <c r="K82" i="5"/>
  <c r="K79" i="5"/>
  <c r="K77" i="5"/>
  <c r="K69" i="5"/>
  <c r="K67" i="5"/>
  <c r="K65" i="5"/>
  <c r="K63" i="5"/>
  <c r="K61" i="5"/>
  <c r="K58" i="5"/>
  <c r="K53" i="5"/>
  <c r="K45" i="5"/>
  <c r="K43" i="5"/>
  <c r="K41" i="5"/>
  <c r="K116" i="5"/>
  <c r="K113" i="5"/>
  <c r="K97" i="5"/>
  <c r="K95" i="5"/>
  <c r="K86" i="5"/>
  <c r="K68" i="5"/>
  <c r="K56" i="5"/>
  <c r="K54" i="5"/>
  <c r="K52" i="5"/>
  <c r="K44" i="5"/>
  <c r="K36" i="5"/>
  <c r="K35" i="5"/>
  <c r="K32" i="5"/>
  <c r="K92" i="5"/>
  <c r="K89" i="5"/>
  <c r="K73" i="5"/>
  <c r="K71" i="5"/>
  <c r="K59" i="5"/>
  <c r="K55" i="5"/>
  <c r="K48" i="5"/>
  <c r="K39" i="5"/>
  <c r="K37" i="5"/>
  <c r="K51" i="5"/>
  <c r="K26" i="5"/>
  <c r="K25" i="5"/>
  <c r="K14" i="5"/>
  <c r="K13" i="5"/>
  <c r="K12" i="5"/>
  <c r="K11" i="5"/>
  <c r="K10" i="5"/>
  <c r="K9" i="5"/>
  <c r="K7" i="5"/>
  <c r="K6" i="5"/>
  <c r="K19" i="5"/>
  <c r="K8" i="5"/>
  <c r="K135" i="5"/>
  <c r="K132" i="5"/>
  <c r="K112" i="5"/>
  <c r="K103" i="5"/>
  <c r="K101" i="5"/>
  <c r="K100" i="5"/>
  <c r="K99" i="5"/>
  <c r="K98" i="5"/>
  <c r="N119" i="6"/>
  <c r="B120" i="6"/>
  <c r="F119" i="6"/>
  <c r="F120" i="6"/>
  <c r="F125" i="6"/>
  <c r="F129" i="6"/>
  <c r="F118" i="6"/>
  <c r="F121" i="6"/>
  <c r="F123" i="6"/>
  <c r="F126" i="6"/>
  <c r="F122" i="6"/>
  <c r="F124" i="6"/>
  <c r="F127" i="6"/>
  <c r="F128" i="6"/>
  <c r="F106" i="6"/>
  <c r="F108" i="6"/>
  <c r="S108" i="6" s="1"/>
  <c r="Y108" i="6" s="1"/>
  <c r="F109" i="6"/>
  <c r="S109" i="6" s="1"/>
  <c r="Y109" i="6" s="1"/>
  <c r="F111" i="6"/>
  <c r="S111" i="6" s="1"/>
  <c r="Y111" i="6" s="1"/>
  <c r="F113" i="6"/>
  <c r="S113" i="6" s="1"/>
  <c r="Y113" i="6" s="1"/>
  <c r="F116" i="6"/>
  <c r="S116" i="6" s="1"/>
  <c r="Y116" i="6" s="1"/>
  <c r="F110" i="6"/>
  <c r="S110" i="6" s="1"/>
  <c r="Y110" i="6" s="1"/>
  <c r="F115" i="6"/>
  <c r="S115" i="6" s="1"/>
  <c r="Y115" i="6" s="1"/>
  <c r="F107" i="6"/>
  <c r="S107" i="6" s="1"/>
  <c r="Y107" i="6" s="1"/>
  <c r="F112" i="6"/>
  <c r="S112" i="6" s="1"/>
  <c r="Y112" i="6" s="1"/>
  <c r="F114" i="6"/>
  <c r="S114" i="6" s="1"/>
  <c r="Y114" i="6" s="1"/>
  <c r="F117" i="6"/>
  <c r="S117" i="6" s="1"/>
  <c r="Y117" i="6" s="1"/>
  <c r="Q106" i="6"/>
  <c r="N6" i="6"/>
  <c r="R106" i="6"/>
  <c r="N7" i="6"/>
  <c r="N10" i="6"/>
  <c r="U106" i="6"/>
  <c r="L22" i="6"/>
  <c r="L24" i="6"/>
  <c r="L27" i="6"/>
  <c r="L32" i="6"/>
  <c r="L33" i="6"/>
  <c r="L37" i="6"/>
  <c r="L56" i="6"/>
  <c r="L45" i="6"/>
  <c r="L58" i="6"/>
  <c r="L60" i="6"/>
  <c r="L62" i="6"/>
  <c r="L64" i="6"/>
  <c r="L66" i="6"/>
  <c r="N154" i="8"/>
  <c r="AA154" i="8"/>
  <c r="S154" i="8"/>
  <c r="T154" i="8"/>
  <c r="N153" i="8"/>
  <c r="AA153" i="8"/>
  <c r="S153" i="8"/>
  <c r="T153" i="8"/>
  <c r="N152" i="8"/>
  <c r="AA152" i="8"/>
  <c r="S152" i="8"/>
  <c r="T152" i="8"/>
  <c r="N151" i="8"/>
  <c r="AA151" i="8"/>
  <c r="S151" i="8"/>
  <c r="T151" i="8"/>
  <c r="N150" i="8"/>
  <c r="AA150" i="8" s="1"/>
  <c r="S150" i="8"/>
  <c r="T150" i="8"/>
  <c r="N149" i="8"/>
  <c r="AA149" i="8" s="1"/>
  <c r="S149" i="8"/>
  <c r="T149" i="8"/>
  <c r="N148" i="8"/>
  <c r="AA148" i="8" s="1"/>
  <c r="S148" i="8"/>
  <c r="T148" i="8"/>
  <c r="N147" i="8"/>
  <c r="AA147" i="8" s="1"/>
  <c r="S147" i="8"/>
  <c r="T147" i="8"/>
  <c r="N145" i="8"/>
  <c r="AA145" i="8" s="1"/>
  <c r="S145" i="8"/>
  <c r="T145" i="8"/>
  <c r="N144" i="8"/>
  <c r="AA144" i="8" s="1"/>
  <c r="S144" i="8"/>
  <c r="T144" i="8"/>
  <c r="N143" i="8"/>
  <c r="AA143" i="8" s="1"/>
  <c r="S143" i="8"/>
  <c r="T143" i="8"/>
  <c r="N142" i="8"/>
  <c r="AA142" i="8" s="1"/>
  <c r="S142" i="8"/>
  <c r="T142" i="8"/>
  <c r="N141" i="8"/>
  <c r="AA141" i="8" s="1"/>
  <c r="S141" i="8"/>
  <c r="T141" i="8"/>
  <c r="N140" i="8"/>
  <c r="AA140" i="8" s="1"/>
  <c r="S140" i="8"/>
  <c r="T140" i="8"/>
  <c r="F542" i="7"/>
  <c r="F541" i="7"/>
  <c r="O139" i="5"/>
  <c r="C139" i="8"/>
  <c r="N139" i="8"/>
  <c r="AA139" i="8" s="1"/>
  <c r="S139" i="8"/>
  <c r="T139" i="8"/>
  <c r="N138" i="8"/>
  <c r="AA138" i="8" s="1"/>
  <c r="S138" i="8"/>
  <c r="T138" i="8"/>
  <c r="F539" i="7"/>
  <c r="N137" i="8"/>
  <c r="AA137" i="8" s="1"/>
  <c r="S137" i="8"/>
  <c r="T137" i="8"/>
  <c r="N136" i="8"/>
  <c r="AA136" i="8" s="1"/>
  <c r="S136" i="8"/>
  <c r="T136" i="8"/>
  <c r="F528" i="7"/>
  <c r="F525" i="7"/>
  <c r="F527" i="7"/>
  <c r="F526" i="7"/>
  <c r="O135" i="5"/>
  <c r="C135" i="8"/>
  <c r="N135" i="8"/>
  <c r="AA135" i="8"/>
  <c r="S135" i="8"/>
  <c r="T135" i="8"/>
  <c r="F521" i="7"/>
  <c r="F524" i="7"/>
  <c r="F522" i="7"/>
  <c r="F523" i="7"/>
  <c r="O134" i="5"/>
  <c r="C134" i="8"/>
  <c r="N134" i="8"/>
  <c r="AA134" i="8" s="1"/>
  <c r="S134" i="8"/>
  <c r="T134" i="8"/>
  <c r="N133" i="8"/>
  <c r="AA133" i="8" s="1"/>
  <c r="S133" i="8"/>
  <c r="T133" i="8"/>
  <c r="F517" i="7"/>
  <c r="F519" i="7"/>
  <c r="F518" i="7"/>
  <c r="F520" i="7"/>
  <c r="O133" i="5"/>
  <c r="C133" i="8"/>
  <c r="N132" i="8"/>
  <c r="AA132" i="8"/>
  <c r="S132" i="8"/>
  <c r="T132" i="8"/>
  <c r="N131" i="8"/>
  <c r="AA131" i="8" s="1"/>
  <c r="S131" i="8"/>
  <c r="T131" i="8"/>
  <c r="N130" i="8"/>
  <c r="AA130" i="8" s="1"/>
  <c r="S130" i="8"/>
  <c r="T130" i="8"/>
  <c r="N129" i="8"/>
  <c r="AA129" i="8"/>
  <c r="S129" i="8"/>
  <c r="T129" i="8"/>
  <c r="N128" i="8"/>
  <c r="AA128" i="8" s="1"/>
  <c r="S128" i="8"/>
  <c r="T128" i="8"/>
  <c r="F498" i="7"/>
  <c r="F499" i="7"/>
  <c r="F500" i="7"/>
  <c r="F497" i="7"/>
  <c r="O128" i="5"/>
  <c r="C128" i="8"/>
  <c r="N127" i="8"/>
  <c r="AA127" i="8" s="1"/>
  <c r="S127" i="8"/>
  <c r="T127" i="8"/>
  <c r="N126" i="8"/>
  <c r="AA126" i="8" s="1"/>
  <c r="S126" i="8"/>
  <c r="T126" i="8"/>
  <c r="N125" i="8"/>
  <c r="AA125" i="8" s="1"/>
  <c r="S125" i="8"/>
  <c r="T125" i="8"/>
  <c r="F482" i="7"/>
  <c r="C124" i="8"/>
  <c r="O124" i="5"/>
  <c r="N124" i="8"/>
  <c r="AA124" i="8" s="1"/>
  <c r="S124" i="8"/>
  <c r="T124" i="8"/>
  <c r="F477" i="7"/>
  <c r="F480" i="7"/>
  <c r="F478" i="7"/>
  <c r="F479" i="7"/>
  <c r="O123" i="5"/>
  <c r="C123" i="8"/>
  <c r="N123" i="8"/>
  <c r="AA123" i="8"/>
  <c r="S123" i="8"/>
  <c r="T123" i="8"/>
  <c r="N122" i="8"/>
  <c r="AA122" i="8"/>
  <c r="S122" i="8"/>
  <c r="T122" i="8"/>
  <c r="N121" i="8"/>
  <c r="AA121" i="8" s="1"/>
  <c r="S121" i="8"/>
  <c r="T121" i="8"/>
  <c r="N120" i="8"/>
  <c r="AA120" i="8"/>
  <c r="S120" i="8"/>
  <c r="T120" i="8"/>
  <c r="N119" i="8"/>
  <c r="AA119" i="8" s="1"/>
  <c r="S119" i="8"/>
  <c r="T119" i="8"/>
  <c r="N118" i="8"/>
  <c r="AA118" i="8"/>
  <c r="S118" i="8"/>
  <c r="T118" i="8"/>
  <c r="F453" i="7"/>
  <c r="F454" i="7"/>
  <c r="F456" i="7"/>
  <c r="O117" i="5"/>
  <c r="C117" i="8"/>
  <c r="N117" i="8"/>
  <c r="AA117" i="8"/>
  <c r="S117" i="8"/>
  <c r="T117" i="8"/>
  <c r="N116" i="8"/>
  <c r="AA116" i="8" s="1"/>
  <c r="S116" i="8"/>
  <c r="T116" i="8"/>
  <c r="F452" i="7"/>
  <c r="F451" i="7"/>
  <c r="F449" i="7"/>
  <c r="F450" i="7"/>
  <c r="O116" i="5"/>
  <c r="C116" i="8"/>
  <c r="N115" i="8"/>
  <c r="AA115" i="8"/>
  <c r="S115" i="8"/>
  <c r="T115" i="8"/>
  <c r="N114" i="8"/>
  <c r="AA114" i="8"/>
  <c r="S114" i="8"/>
  <c r="T114" i="8"/>
  <c r="N113" i="8"/>
  <c r="AA113" i="8"/>
  <c r="S113" i="8"/>
  <c r="T113" i="8"/>
  <c r="F440" i="7"/>
  <c r="F438" i="7"/>
  <c r="F439" i="7"/>
  <c r="F437" i="7"/>
  <c r="O113" i="5"/>
  <c r="C113" i="8"/>
  <c r="N112" i="8"/>
  <c r="AA112" i="8"/>
  <c r="S112" i="8"/>
  <c r="T112" i="8"/>
  <c r="F434" i="7"/>
  <c r="F433" i="7"/>
  <c r="F436" i="7"/>
  <c r="F435" i="7"/>
  <c r="O112" i="5"/>
  <c r="C112" i="8"/>
  <c r="N111" i="8"/>
  <c r="AA111" i="8"/>
  <c r="S111" i="8"/>
  <c r="T111" i="8"/>
  <c r="N110" i="8"/>
  <c r="AA110" i="8"/>
  <c r="S110" i="8"/>
  <c r="T110" i="8"/>
  <c r="N109" i="8"/>
  <c r="AA109" i="8"/>
  <c r="S109" i="8"/>
  <c r="T109" i="8"/>
  <c r="F417" i="7"/>
  <c r="C108" i="8"/>
  <c r="O108" i="5"/>
  <c r="N108" i="8"/>
  <c r="AA108" i="8"/>
  <c r="S108" i="8"/>
  <c r="T108" i="8"/>
  <c r="F413" i="7"/>
  <c r="F414" i="7"/>
  <c r="F415" i="7"/>
  <c r="F416" i="7"/>
  <c r="O107" i="5"/>
  <c r="C107" i="8"/>
  <c r="N107" i="8"/>
  <c r="AA107" i="8"/>
  <c r="S107" i="8"/>
  <c r="T107" i="8"/>
  <c r="N106" i="8"/>
  <c r="AA106" i="8" s="1"/>
  <c r="S106" i="8"/>
  <c r="T106" i="8"/>
  <c r="F409" i="7"/>
  <c r="F412" i="7"/>
  <c r="F410" i="7"/>
  <c r="F411" i="7"/>
  <c r="O106" i="5"/>
  <c r="C106" i="8"/>
  <c r="F405" i="7"/>
  <c r="F408" i="7"/>
  <c r="F406" i="7"/>
  <c r="F407" i="7"/>
  <c r="O105" i="5"/>
  <c r="C105" i="8"/>
  <c r="N105" i="8"/>
  <c r="AA105" i="8" s="1"/>
  <c r="S105" i="8"/>
  <c r="T105" i="8"/>
  <c r="N104" i="8"/>
  <c r="AA104" i="8" s="1"/>
  <c r="S104" i="8"/>
  <c r="T104" i="8"/>
  <c r="N103" i="8"/>
  <c r="AA103" i="8"/>
  <c r="S103" i="8"/>
  <c r="T103" i="8"/>
  <c r="F398" i="7"/>
  <c r="F400" i="7"/>
  <c r="F399" i="7"/>
  <c r="F397" i="7"/>
  <c r="O103" i="5"/>
  <c r="C103" i="8"/>
  <c r="N102" i="8"/>
  <c r="AA102" i="8"/>
  <c r="S102" i="8"/>
  <c r="T102" i="8"/>
  <c r="F391" i="7"/>
  <c r="F392" i="7"/>
  <c r="F390" i="7"/>
  <c r="F389" i="7"/>
  <c r="O101" i="5"/>
  <c r="C101" i="8"/>
  <c r="N101" i="8"/>
  <c r="AA101" i="8"/>
  <c r="S101" i="8"/>
  <c r="T101" i="8"/>
  <c r="N100" i="8"/>
  <c r="AA100" i="8"/>
  <c r="S100" i="8"/>
  <c r="T100" i="8"/>
  <c r="F387" i="7"/>
  <c r="F386" i="7"/>
  <c r="F388" i="7"/>
  <c r="N99" i="8"/>
  <c r="AA99" i="8"/>
  <c r="S99" i="8"/>
  <c r="T99" i="8"/>
  <c r="F380" i="7"/>
  <c r="F377" i="7"/>
  <c r="F378" i="7"/>
  <c r="F379" i="7"/>
  <c r="O98" i="5"/>
  <c r="C98" i="8"/>
  <c r="N98" i="8"/>
  <c r="AA98" i="8"/>
  <c r="S98" i="8"/>
  <c r="T98" i="8"/>
  <c r="N97" i="8"/>
  <c r="AA97" i="8"/>
  <c r="S97" i="8"/>
  <c r="T97" i="8"/>
  <c r="F374" i="7"/>
  <c r="F375" i="7"/>
  <c r="F373" i="7"/>
  <c r="F376" i="7"/>
  <c r="O97" i="5"/>
  <c r="C97" i="8"/>
  <c r="F371" i="7"/>
  <c r="F370" i="7"/>
  <c r="F369" i="7"/>
  <c r="F372" i="7"/>
  <c r="C96" i="8"/>
  <c r="O96" i="5"/>
  <c r="N96" i="8"/>
  <c r="AA96" i="8" s="1"/>
  <c r="S96" i="8"/>
  <c r="T96" i="8"/>
  <c r="N95" i="8"/>
  <c r="AA95" i="8" s="1"/>
  <c r="S95" i="8"/>
  <c r="T95" i="8"/>
  <c r="F367" i="7"/>
  <c r="F366" i="7"/>
  <c r="F368" i="7"/>
  <c r="F365" i="7"/>
  <c r="O95" i="5"/>
  <c r="C95" i="8"/>
  <c r="F363" i="7"/>
  <c r="F362" i="7"/>
  <c r="F361" i="7"/>
  <c r="F364" i="7"/>
  <c r="C94" i="8"/>
  <c r="O94" i="5"/>
  <c r="N94" i="8"/>
  <c r="AA94" i="8" s="1"/>
  <c r="S94" i="8"/>
  <c r="T94" i="8"/>
  <c r="F360" i="7"/>
  <c r="F358" i="7"/>
  <c r="F357" i="7"/>
  <c r="F359" i="7"/>
  <c r="O93" i="5"/>
  <c r="C93" i="8"/>
  <c r="N93" i="8"/>
  <c r="AA93" i="8"/>
  <c r="S93" i="8"/>
  <c r="T93" i="8"/>
  <c r="N92" i="8"/>
  <c r="AA92" i="8"/>
  <c r="S92" i="8"/>
  <c r="T92" i="8"/>
  <c r="N91" i="8"/>
  <c r="AA91" i="8" s="1"/>
  <c r="S91" i="8"/>
  <c r="T91" i="8"/>
  <c r="N90" i="8"/>
  <c r="AA90" i="8" s="1"/>
  <c r="S90" i="8"/>
  <c r="T90" i="8"/>
  <c r="N89" i="8"/>
  <c r="AA89" i="8" s="1"/>
  <c r="S89" i="8"/>
  <c r="T89" i="8"/>
  <c r="N88" i="8"/>
  <c r="AA88" i="8" s="1"/>
  <c r="S88" i="8"/>
  <c r="T88" i="8"/>
  <c r="N87" i="8"/>
  <c r="AA87" i="8"/>
  <c r="S87" i="8"/>
  <c r="T87" i="8"/>
  <c r="N86" i="8"/>
  <c r="AA86" i="8" s="1"/>
  <c r="S86" i="8"/>
  <c r="T86" i="8"/>
  <c r="F327" i="7"/>
  <c r="F328" i="7"/>
  <c r="F325" i="7"/>
  <c r="O85" i="5"/>
  <c r="C85" i="8"/>
  <c r="N85" i="8"/>
  <c r="AA85" i="8"/>
  <c r="S85" i="8"/>
  <c r="T85" i="8"/>
  <c r="N84" i="8"/>
  <c r="AA84" i="8"/>
  <c r="S84" i="8"/>
  <c r="T84" i="8"/>
  <c r="F322" i="7"/>
  <c r="F321" i="7"/>
  <c r="F323" i="7"/>
  <c r="F324" i="7"/>
  <c r="O84" i="5"/>
  <c r="C84" i="8"/>
  <c r="N83" i="8"/>
  <c r="AA83" i="8"/>
  <c r="S83" i="8"/>
  <c r="T83" i="8"/>
  <c r="F318" i="7"/>
  <c r="F317" i="7"/>
  <c r="F319" i="7"/>
  <c r="F320" i="7"/>
  <c r="C83" i="8"/>
  <c r="O83" i="5"/>
  <c r="N82" i="8"/>
  <c r="AA82" i="8"/>
  <c r="S82" i="8"/>
  <c r="T82" i="8"/>
  <c r="F315" i="7"/>
  <c r="F316" i="7"/>
  <c r="F314" i="7"/>
  <c r="F313" i="7"/>
  <c r="C82" i="8"/>
  <c r="O82" i="5"/>
  <c r="F310" i="7"/>
  <c r="F312" i="7"/>
  <c r="F309" i="7"/>
  <c r="N81" i="8"/>
  <c r="AA81" i="8"/>
  <c r="S81" i="8"/>
  <c r="T81" i="8"/>
  <c r="N80" i="8"/>
  <c r="AA80" i="8" s="1"/>
  <c r="S80" i="8"/>
  <c r="T80" i="8"/>
  <c r="N79" i="8"/>
  <c r="AA79" i="8"/>
  <c r="S79" i="8"/>
  <c r="T79" i="8"/>
  <c r="N78" i="8"/>
  <c r="AA78" i="8" s="1"/>
  <c r="S78" i="8"/>
  <c r="T78" i="8"/>
  <c r="N77" i="8"/>
  <c r="AA77" i="8" s="1"/>
  <c r="S77" i="8"/>
  <c r="T77" i="8"/>
  <c r="N76" i="8"/>
  <c r="AA76" i="8" s="1"/>
  <c r="S76" i="8"/>
  <c r="T76" i="8"/>
  <c r="N75" i="8"/>
  <c r="AA75" i="8" s="1"/>
  <c r="S75" i="8"/>
  <c r="T75" i="8"/>
  <c r="N74" i="8"/>
  <c r="AA74" i="8" s="1"/>
  <c r="S74" i="8"/>
  <c r="T74" i="8"/>
  <c r="N73" i="8"/>
  <c r="AA73" i="8" s="1"/>
  <c r="S73" i="8"/>
  <c r="T73" i="8"/>
  <c r="F273" i="7"/>
  <c r="C72" i="8"/>
  <c r="O72" i="5"/>
  <c r="N72" i="8"/>
  <c r="AA72" i="8" s="1"/>
  <c r="S72" i="8"/>
  <c r="T72" i="8"/>
  <c r="N71" i="8"/>
  <c r="AA71" i="8"/>
  <c r="S71" i="8"/>
  <c r="T71" i="8"/>
  <c r="N70" i="8"/>
  <c r="AA70" i="8" s="1"/>
  <c r="S70" i="8"/>
  <c r="T70" i="8"/>
  <c r="N69" i="8"/>
  <c r="AA69" i="8" s="1"/>
  <c r="S69" i="8"/>
  <c r="T69" i="8"/>
  <c r="F264" i="7"/>
  <c r="O69" i="5"/>
  <c r="C69" i="8"/>
  <c r="N68" i="8"/>
  <c r="AA68" i="8"/>
  <c r="S68" i="8"/>
  <c r="T68" i="8"/>
  <c r="F260" i="7"/>
  <c r="F259" i="7"/>
  <c r="F257" i="7"/>
  <c r="F258" i="7"/>
  <c r="O68" i="5"/>
  <c r="C68" i="8"/>
  <c r="F253" i="7"/>
  <c r="F256" i="7"/>
  <c r="F255" i="7"/>
  <c r="N67" i="8"/>
  <c r="AA67" i="8" s="1"/>
  <c r="S67" i="8"/>
  <c r="T67" i="8"/>
  <c r="N66" i="8"/>
  <c r="AA66" i="8" s="1"/>
  <c r="S66" i="8"/>
  <c r="T66" i="8"/>
  <c r="F250" i="7"/>
  <c r="O66" i="5"/>
  <c r="C66" i="8"/>
  <c r="N65" i="8"/>
  <c r="AA65" i="8" s="1"/>
  <c r="S65" i="8"/>
  <c r="T65" i="8"/>
  <c r="F248" i="7"/>
  <c r="F245" i="7"/>
  <c r="O65" i="5"/>
  <c r="C65" i="8"/>
  <c r="F242" i="7"/>
  <c r="F241" i="7"/>
  <c r="F244" i="7"/>
  <c r="F243" i="7"/>
  <c r="C64" i="8"/>
  <c r="O64" i="5"/>
  <c r="N64" i="8"/>
  <c r="AA64" i="8" s="1"/>
  <c r="S64" i="8"/>
  <c r="T64" i="8"/>
  <c r="N63" i="8"/>
  <c r="AA63" i="8" s="1"/>
  <c r="S63" i="8"/>
  <c r="T63" i="8"/>
  <c r="F240" i="7"/>
  <c r="F239" i="7"/>
  <c r="F237" i="7"/>
  <c r="F238" i="7"/>
  <c r="O63" i="5"/>
  <c r="C63" i="8"/>
  <c r="F236" i="7"/>
  <c r="F234" i="7"/>
  <c r="F235" i="7"/>
  <c r="F233" i="7"/>
  <c r="C62" i="8"/>
  <c r="N62" i="8"/>
  <c r="AA62" i="8" s="1"/>
  <c r="S62" i="8"/>
  <c r="T62" i="8"/>
  <c r="N61" i="8"/>
  <c r="AA61" i="8" s="1"/>
  <c r="S61" i="8"/>
  <c r="T61" i="8"/>
  <c r="N60" i="8"/>
  <c r="AA60" i="8" s="1"/>
  <c r="S60" i="8"/>
  <c r="T60" i="8"/>
  <c r="N59" i="8"/>
  <c r="AA59" i="8" s="1"/>
  <c r="S59" i="8"/>
  <c r="T59" i="8"/>
  <c r="N58" i="8"/>
  <c r="AA58" i="8" s="1"/>
  <c r="S58" i="8"/>
  <c r="T58" i="8"/>
  <c r="N57" i="8"/>
  <c r="AA57" i="8" s="1"/>
  <c r="S57" i="8"/>
  <c r="T57" i="8"/>
  <c r="F214" i="7"/>
  <c r="F213" i="7"/>
  <c r="O57" i="5"/>
  <c r="C57" i="8"/>
  <c r="N56" i="8"/>
  <c r="AA56" i="8" s="1"/>
  <c r="S56" i="8"/>
  <c r="T56" i="8"/>
  <c r="N55" i="8"/>
  <c r="AA55" i="8" s="1"/>
  <c r="S55" i="8"/>
  <c r="T55" i="8"/>
  <c r="N54" i="8"/>
  <c r="AA54" i="8" s="1"/>
  <c r="S54" i="8"/>
  <c r="T54" i="8"/>
  <c r="F203" i="7"/>
  <c r="C54" i="8"/>
  <c r="O54" i="5"/>
  <c r="F198" i="7"/>
  <c r="F200" i="7"/>
  <c r="F199" i="7"/>
  <c r="F197" i="7"/>
  <c r="O53" i="5"/>
  <c r="C53" i="8"/>
  <c r="N53" i="8"/>
  <c r="AA53" i="8" s="1"/>
  <c r="S53" i="8"/>
  <c r="T53" i="8"/>
  <c r="F196" i="7"/>
  <c r="F194" i="7"/>
  <c r="N52" i="8"/>
  <c r="AA52" i="8" s="1"/>
  <c r="S52" i="8"/>
  <c r="T52" i="8"/>
  <c r="N51" i="8"/>
  <c r="AA51" i="8" s="1"/>
  <c r="S51" i="8"/>
  <c r="T51" i="8"/>
  <c r="N50" i="8"/>
  <c r="AA50" i="8" s="1"/>
  <c r="S50" i="8"/>
  <c r="T50" i="8"/>
  <c r="N49" i="8"/>
  <c r="AA49" i="8" s="1"/>
  <c r="S49" i="8"/>
  <c r="T49" i="8"/>
  <c r="N48" i="8"/>
  <c r="AA48" i="8" s="1"/>
  <c r="S48" i="8"/>
  <c r="T48" i="8"/>
  <c r="N47" i="8"/>
  <c r="AA47" i="8" s="1"/>
  <c r="S47" i="8"/>
  <c r="T47" i="8"/>
  <c r="N46" i="8"/>
  <c r="AA46" i="8" s="1"/>
  <c r="S46" i="8"/>
  <c r="T46" i="8"/>
  <c r="N45" i="8"/>
  <c r="AA45" i="8" s="1"/>
  <c r="S45" i="8"/>
  <c r="T45" i="8"/>
  <c r="N44" i="8"/>
  <c r="AA44" i="8" s="1"/>
  <c r="S44" i="8"/>
  <c r="T44" i="8"/>
  <c r="F157" i="7"/>
  <c r="F159" i="7"/>
  <c r="F160" i="7"/>
  <c r="F158" i="7"/>
  <c r="O43" i="5"/>
  <c r="C43" i="8"/>
  <c r="N43" i="8"/>
  <c r="AA43" i="8" s="1"/>
  <c r="S43" i="8"/>
  <c r="T43" i="8"/>
  <c r="N42" i="8"/>
  <c r="AA42" i="8" s="1"/>
  <c r="S42" i="8"/>
  <c r="T42" i="8"/>
  <c r="N41" i="8"/>
  <c r="AA41" i="8" s="1"/>
  <c r="S41" i="8"/>
  <c r="T41" i="8"/>
  <c r="N40" i="8"/>
  <c r="AA40" i="8" s="1"/>
  <c r="S40" i="8"/>
  <c r="T40" i="8"/>
  <c r="N39" i="8"/>
  <c r="AA39" i="8" s="1"/>
  <c r="S39" i="8"/>
  <c r="T39" i="8"/>
  <c r="N38" i="8"/>
  <c r="AA38" i="8" s="1"/>
  <c r="S38" i="8"/>
  <c r="T38" i="8"/>
  <c r="N37" i="8"/>
  <c r="AA37" i="8" s="1"/>
  <c r="S37" i="8"/>
  <c r="T37" i="8"/>
  <c r="N36" i="8"/>
  <c r="AA36" i="8" s="1"/>
  <c r="S36" i="8"/>
  <c r="T36" i="8"/>
  <c r="N35" i="8"/>
  <c r="AA35" i="8" s="1"/>
  <c r="S35" i="8"/>
  <c r="T35" i="8"/>
  <c r="N34" i="8"/>
  <c r="AA34" i="8" s="1"/>
  <c r="S34" i="8"/>
  <c r="T34" i="8"/>
  <c r="N33" i="8"/>
  <c r="AA33" i="8" s="1"/>
  <c r="S33" i="8"/>
  <c r="T33" i="8"/>
  <c r="N32" i="8"/>
  <c r="AA32" i="8" s="1"/>
  <c r="S32" i="8"/>
  <c r="T32" i="8"/>
  <c r="N31" i="8"/>
  <c r="AA31" i="8" s="1"/>
  <c r="S31" i="8"/>
  <c r="T31" i="8"/>
  <c r="F105" i="7"/>
  <c r="F107" i="7"/>
  <c r="F106" i="7"/>
  <c r="F108" i="7"/>
  <c r="O30" i="5"/>
  <c r="C30" i="8"/>
  <c r="N30" i="8"/>
  <c r="AA30" i="8" s="1"/>
  <c r="S30" i="8"/>
  <c r="T30" i="8"/>
  <c r="N29" i="8"/>
  <c r="AA29" i="8" s="1"/>
  <c r="S29" i="8"/>
  <c r="T29" i="8"/>
  <c r="F102" i="7"/>
  <c r="F104" i="7"/>
  <c r="F103" i="7"/>
  <c r="F101" i="7"/>
  <c r="C29" i="8"/>
  <c r="O29" i="5"/>
  <c r="F97" i="7"/>
  <c r="F100" i="7"/>
  <c r="F99" i="7"/>
  <c r="F98" i="7"/>
  <c r="O28" i="5"/>
  <c r="C28" i="8"/>
  <c r="N28" i="8"/>
  <c r="AA28" i="8" s="1"/>
  <c r="S28" i="8"/>
  <c r="T28" i="8"/>
  <c r="N27" i="8"/>
  <c r="AA27" i="8" s="1"/>
  <c r="S27" i="8"/>
  <c r="T27" i="8"/>
  <c r="F93" i="7"/>
  <c r="F95" i="7"/>
  <c r="F94" i="7"/>
  <c r="F96" i="7"/>
  <c r="C27" i="8"/>
  <c r="O27" i="5"/>
  <c r="N26" i="8"/>
  <c r="AA26" i="8" s="1"/>
  <c r="S26" i="8"/>
  <c r="T26" i="8"/>
  <c r="N25" i="8"/>
  <c r="AA25" i="8" s="1"/>
  <c r="S25" i="8"/>
  <c r="T25" i="8"/>
  <c r="N24" i="8"/>
  <c r="AA24" i="8" s="1"/>
  <c r="S24" i="8"/>
  <c r="T24" i="8"/>
  <c r="F81" i="7"/>
  <c r="F83" i="7"/>
  <c r="F82" i="7"/>
  <c r="F84" i="7"/>
  <c r="O24" i="5"/>
  <c r="C24" i="8"/>
  <c r="N23" i="8"/>
  <c r="AA23" i="8" s="1"/>
  <c r="S23" i="8"/>
  <c r="T23" i="8"/>
  <c r="N22" i="8"/>
  <c r="AA22" i="8" s="1"/>
  <c r="S22" i="8"/>
  <c r="T22" i="8"/>
  <c r="N21" i="8"/>
  <c r="AA21" i="8" s="1"/>
  <c r="S21" i="8"/>
  <c r="T21" i="8"/>
  <c r="N20" i="8"/>
  <c r="AA20" i="8" s="1"/>
  <c r="S20" i="8"/>
  <c r="T20" i="8"/>
  <c r="N19" i="8"/>
  <c r="AA19" i="8" s="1"/>
  <c r="S19" i="8"/>
  <c r="T19" i="8"/>
  <c r="N18" i="8"/>
  <c r="AA18" i="8" s="1"/>
  <c r="S18" i="8"/>
  <c r="T18" i="8"/>
  <c r="N17" i="8"/>
  <c r="AA17" i="8" s="1"/>
  <c r="S17" i="8"/>
  <c r="T17" i="8"/>
  <c r="N16" i="8"/>
  <c r="AA16" i="8" s="1"/>
  <c r="S16" i="8"/>
  <c r="T16" i="8"/>
  <c r="N15" i="8"/>
  <c r="AA15" i="8" s="1"/>
  <c r="T15" i="8"/>
  <c r="S15" i="8"/>
  <c r="N14" i="8"/>
  <c r="AA14" i="8" s="1"/>
  <c r="T14" i="8"/>
  <c r="S14" i="8"/>
  <c r="N13" i="8"/>
  <c r="AA13" i="8" s="1"/>
  <c r="T13" i="8"/>
  <c r="S13" i="8"/>
  <c r="T12" i="8"/>
  <c r="S12" i="8"/>
  <c r="N12" i="8"/>
  <c r="AA12" i="8" s="1"/>
  <c r="N11" i="8"/>
  <c r="AA11" i="8" s="1"/>
  <c r="T11" i="8"/>
  <c r="S11" i="8"/>
  <c r="N10" i="8"/>
  <c r="AA10" i="8" s="1"/>
  <c r="T10" i="8"/>
  <c r="S10" i="8"/>
  <c r="N9" i="8"/>
  <c r="AA9" i="8" s="1"/>
  <c r="S9" i="8"/>
  <c r="T9" i="8"/>
  <c r="N8" i="8"/>
  <c r="AA8" i="8" s="1"/>
  <c r="S8" i="8"/>
  <c r="T8" i="8"/>
  <c r="N7" i="8"/>
  <c r="AA7" i="8" s="1"/>
  <c r="S7" i="8"/>
  <c r="T7" i="8"/>
  <c r="N6" i="8"/>
  <c r="AA6" i="8" s="1"/>
  <c r="S6" i="8"/>
  <c r="T6" i="8"/>
  <c r="N5" i="8"/>
  <c r="AA5" i="8" s="1"/>
  <c r="S5" i="8"/>
  <c r="T5" i="8"/>
  <c r="K18" i="3"/>
  <c r="K10" i="3"/>
  <c r="L10" i="3" s="1"/>
  <c r="K11" i="3"/>
  <c r="K12" i="3"/>
  <c r="K13" i="3"/>
  <c r="K14" i="3"/>
  <c r="K15" i="3"/>
  <c r="K16" i="3"/>
  <c r="K17" i="3"/>
  <c r="K5" i="5"/>
  <c r="Q6" i="5"/>
  <c r="R7" i="5"/>
  <c r="Q8" i="5"/>
  <c r="S13" i="5"/>
  <c r="Q14" i="5"/>
  <c r="R15" i="5"/>
  <c r="S6" i="5"/>
  <c r="Q7" i="5"/>
  <c r="R14" i="5"/>
  <c r="Q15" i="5"/>
  <c r="S7" i="5"/>
  <c r="S8" i="5"/>
  <c r="Q13" i="5"/>
  <c r="S14" i="5"/>
  <c r="S15" i="5"/>
  <c r="R6" i="5"/>
  <c r="R8" i="5"/>
  <c r="R13" i="5"/>
  <c r="R16" i="5" s="1"/>
  <c r="L19" i="6"/>
  <c r="K152" i="5"/>
  <c r="K151" i="5"/>
  <c r="K150" i="5"/>
  <c r="K147" i="5"/>
  <c r="K146" i="5"/>
  <c r="K143" i="5"/>
  <c r="K142" i="5"/>
  <c r="K141" i="5"/>
  <c r="K137" i="5"/>
  <c r="K136" i="5"/>
  <c r="K122" i="5"/>
  <c r="K120" i="5"/>
  <c r="K118" i="5"/>
  <c r="K115" i="5"/>
  <c r="K114" i="5"/>
  <c r="K111" i="5"/>
  <c r="K110" i="5"/>
  <c r="K104" i="5"/>
  <c r="K102" i="5"/>
  <c r="K67" i="6"/>
  <c r="J68" i="6" s="1"/>
  <c r="L67" i="6"/>
  <c r="F472" i="7" l="1"/>
  <c r="F469" i="7"/>
  <c r="F471" i="7"/>
  <c r="C121" i="8"/>
  <c r="H121" i="8" s="1"/>
  <c r="I121" i="8" s="1"/>
  <c r="K121" i="8" s="1"/>
  <c r="P121" i="8" s="1"/>
  <c r="O121" i="5"/>
  <c r="F470" i="7"/>
  <c r="F462" i="7"/>
  <c r="C119" i="8"/>
  <c r="H119" i="8" s="1"/>
  <c r="I119" i="8" s="1"/>
  <c r="K119" i="8" s="1"/>
  <c r="P119" i="8" s="1"/>
  <c r="O119" i="5"/>
  <c r="F461" i="7"/>
  <c r="F463" i="7"/>
  <c r="F464" i="7"/>
  <c r="O109" i="5"/>
  <c r="C109" i="8"/>
  <c r="H109" i="8" s="1"/>
  <c r="I109" i="8" s="1"/>
  <c r="K109" i="8" s="1"/>
  <c r="P109" i="8" s="1"/>
  <c r="F421" i="7"/>
  <c r="F424" i="7"/>
  <c r="F422" i="7"/>
  <c r="F423" i="7"/>
  <c r="F420" i="7"/>
  <c r="F419" i="7"/>
  <c r="F418" i="7"/>
  <c r="F65" i="7"/>
  <c r="C20" i="8"/>
  <c r="H20" i="8" s="1"/>
  <c r="I20" i="8" s="1"/>
  <c r="K20" i="8" s="1"/>
  <c r="P20" i="8" s="1"/>
  <c r="O20" i="5"/>
  <c r="F66" i="7"/>
  <c r="F67" i="7"/>
  <c r="F68" i="7"/>
  <c r="F50" i="7"/>
  <c r="F51" i="7"/>
  <c r="F52" i="7"/>
  <c r="O16" i="5"/>
  <c r="F49" i="7"/>
  <c r="C16" i="8"/>
  <c r="H16" i="8" s="1"/>
  <c r="I16" i="8" s="1"/>
  <c r="K16" i="8" s="1"/>
  <c r="P16" i="8" s="1"/>
  <c r="F75" i="7"/>
  <c r="F73" i="7"/>
  <c r="F74" i="7"/>
  <c r="O22" i="5"/>
  <c r="C22" i="8"/>
  <c r="H22" i="8" s="1"/>
  <c r="I22" i="8" s="1"/>
  <c r="K22" i="8" s="1"/>
  <c r="P22" i="8" s="1"/>
  <c r="F76" i="7"/>
  <c r="F71" i="7"/>
  <c r="F72" i="7"/>
  <c r="C21" i="8"/>
  <c r="H21" i="8" s="1"/>
  <c r="I21" i="8" s="1"/>
  <c r="K21" i="8" s="1"/>
  <c r="P21" i="8" s="1"/>
  <c r="F69" i="7"/>
  <c r="O21" i="5"/>
  <c r="F70" i="7"/>
  <c r="F78" i="7"/>
  <c r="F79" i="7"/>
  <c r="F80" i="7"/>
  <c r="O23" i="5"/>
  <c r="C23" i="8"/>
  <c r="H23" i="8" s="1"/>
  <c r="I23" i="8" s="1"/>
  <c r="K23" i="8" s="1"/>
  <c r="P23" i="8" s="1"/>
  <c r="F77" i="7"/>
  <c r="F60" i="7"/>
  <c r="F57" i="7"/>
  <c r="F59" i="7"/>
  <c r="F58" i="7"/>
  <c r="O18" i="5"/>
  <c r="C18" i="8"/>
  <c r="H18" i="8" s="1"/>
  <c r="I18" i="8" s="1"/>
  <c r="K18" i="8" s="1"/>
  <c r="P18" i="8" s="1"/>
  <c r="C17" i="8"/>
  <c r="H17" i="8" s="1"/>
  <c r="I17" i="8" s="1"/>
  <c r="K17" i="8" s="1"/>
  <c r="P17" i="8" s="1"/>
  <c r="F56" i="7"/>
  <c r="F55" i="7"/>
  <c r="F54" i="7"/>
  <c r="F53" i="7"/>
  <c r="O17" i="5"/>
  <c r="O145" i="5"/>
  <c r="F565" i="7"/>
  <c r="C145" i="8"/>
  <c r="H145" i="8" s="1"/>
  <c r="I145" i="8" s="1"/>
  <c r="K145" i="8" s="1"/>
  <c r="P145" i="8" s="1"/>
  <c r="F567" i="7"/>
  <c r="F46" i="7"/>
  <c r="F48" i="7"/>
  <c r="C15" i="8"/>
  <c r="H15" i="8" s="1"/>
  <c r="I15" i="8" s="1"/>
  <c r="K15" i="8" s="1"/>
  <c r="P15" i="8" s="1"/>
  <c r="O15" i="5"/>
  <c r="F47" i="7"/>
  <c r="F45" i="7"/>
  <c r="F503" i="7"/>
  <c r="F504" i="7"/>
  <c r="F502" i="7"/>
  <c r="F501" i="7"/>
  <c r="O129" i="5"/>
  <c r="C129" i="8"/>
  <c r="C34" i="8"/>
  <c r="O34" i="5"/>
  <c r="F122" i="7"/>
  <c r="F121" i="7"/>
  <c r="F123" i="7"/>
  <c r="F124" i="7"/>
  <c r="F276" i="7"/>
  <c r="F275" i="7"/>
  <c r="F274" i="7"/>
  <c r="F118" i="7"/>
  <c r="F120" i="7"/>
  <c r="F117" i="7"/>
  <c r="F119" i="7"/>
  <c r="F546" i="7"/>
  <c r="F548" i="7"/>
  <c r="O140" i="5"/>
  <c r="C140" i="8"/>
  <c r="H140" i="8" s="1"/>
  <c r="I140" i="8" s="1"/>
  <c r="K140" i="8" s="1"/>
  <c r="P140" i="8" s="1"/>
  <c r="F547" i="7"/>
  <c r="F545" i="7"/>
  <c r="F543" i="7"/>
  <c r="F544" i="7"/>
  <c r="O74" i="5"/>
  <c r="C74" i="8"/>
  <c r="H74" i="8" s="1"/>
  <c r="I74" i="8" s="1"/>
  <c r="K74" i="8" s="1"/>
  <c r="P74" i="8" s="1"/>
  <c r="F283" i="7"/>
  <c r="F282" i="7"/>
  <c r="F284" i="7"/>
  <c r="F281" i="7"/>
  <c r="F290" i="7"/>
  <c r="O76" i="5"/>
  <c r="C76" i="8"/>
  <c r="H76" i="8" s="1"/>
  <c r="I76" i="8" s="1"/>
  <c r="K76" i="8" s="1"/>
  <c r="P76" i="8" s="1"/>
  <c r="F292" i="7"/>
  <c r="F289" i="7"/>
  <c r="F291" i="7"/>
  <c r="F287" i="7"/>
  <c r="F286" i="7"/>
  <c r="O75" i="5"/>
  <c r="C75" i="8"/>
  <c r="H75" i="8" s="1"/>
  <c r="I75" i="8" s="1"/>
  <c r="K75" i="8" s="1"/>
  <c r="P75" i="8" s="1"/>
  <c r="F285" i="7"/>
  <c r="F288" i="7"/>
  <c r="C131" i="8"/>
  <c r="H131" i="8" s="1"/>
  <c r="I131" i="8" s="1"/>
  <c r="K131" i="8" s="1"/>
  <c r="P131" i="8" s="1"/>
  <c r="F509" i="7"/>
  <c r="O131" i="5"/>
  <c r="F511" i="7"/>
  <c r="F512" i="7"/>
  <c r="F510" i="7"/>
  <c r="F505" i="7"/>
  <c r="F508" i="7"/>
  <c r="C130" i="8"/>
  <c r="H130" i="8" s="1"/>
  <c r="I130" i="8" s="1"/>
  <c r="K130" i="8" s="1"/>
  <c r="P130" i="8" s="1"/>
  <c r="O130" i="5"/>
  <c r="F507" i="7"/>
  <c r="F506" i="7"/>
  <c r="F202" i="7"/>
  <c r="F201" i="7"/>
  <c r="F204" i="7"/>
  <c r="O73" i="5"/>
  <c r="C73" i="8"/>
  <c r="H73" i="8" s="1"/>
  <c r="I73" i="8" s="1"/>
  <c r="K73" i="8" s="1"/>
  <c r="P73" i="8" s="1"/>
  <c r="F279" i="7"/>
  <c r="F280" i="7"/>
  <c r="F278" i="7"/>
  <c r="F277" i="7"/>
  <c r="F207" i="7"/>
  <c r="O55" i="5"/>
  <c r="C55" i="8"/>
  <c r="H55" i="8" s="1"/>
  <c r="I55" i="8" s="1"/>
  <c r="K55" i="8" s="1"/>
  <c r="P55" i="8" s="1"/>
  <c r="F205" i="7"/>
  <c r="F206" i="7"/>
  <c r="F208" i="7"/>
  <c r="F43" i="7"/>
  <c r="O14" i="5"/>
  <c r="C14" i="8"/>
  <c r="H14" i="8" s="1"/>
  <c r="I14" i="8" s="1"/>
  <c r="K14" i="8" s="1"/>
  <c r="P14" i="8" s="1"/>
  <c r="F42" i="7"/>
  <c r="F41" i="7"/>
  <c r="F44" i="7"/>
  <c r="F39" i="7"/>
  <c r="F40" i="7"/>
  <c r="O13" i="5"/>
  <c r="C13" i="8"/>
  <c r="F38" i="7"/>
  <c r="F37" i="7"/>
  <c r="F34" i="7"/>
  <c r="F35" i="7"/>
  <c r="O12" i="5"/>
  <c r="C12" i="8"/>
  <c r="F36" i="7"/>
  <c r="F33" i="7"/>
  <c r="F30" i="7"/>
  <c r="F32" i="7"/>
  <c r="F31" i="7"/>
  <c r="C11" i="8"/>
  <c r="O11" i="5"/>
  <c r="F29" i="7"/>
  <c r="C132" i="8"/>
  <c r="H132" i="8" s="1"/>
  <c r="I132" i="8" s="1"/>
  <c r="K132" i="8" s="1"/>
  <c r="P132" i="8" s="1"/>
  <c r="O132" i="5"/>
  <c r="F513" i="7"/>
  <c r="F515" i="7"/>
  <c r="F516" i="7"/>
  <c r="F514" i="7"/>
  <c r="F252" i="7"/>
  <c r="F249" i="7"/>
  <c r="F251" i="7"/>
  <c r="F254" i="7"/>
  <c r="O67" i="5"/>
  <c r="C67" i="8"/>
  <c r="H67" i="8" s="1"/>
  <c r="I67" i="8" s="1"/>
  <c r="K67" i="8" s="1"/>
  <c r="P67" i="8" s="1"/>
  <c r="F246" i="7"/>
  <c r="F247" i="7"/>
  <c r="F25" i="7"/>
  <c r="F26" i="7"/>
  <c r="F28" i="7"/>
  <c r="F27" i="7"/>
  <c r="F385" i="7"/>
  <c r="O100" i="5"/>
  <c r="C100" i="8"/>
  <c r="H100" i="8" s="1"/>
  <c r="I100" i="8" s="1"/>
  <c r="K100" i="8" s="1"/>
  <c r="P100" i="8" s="1"/>
  <c r="F381" i="7"/>
  <c r="F382" i="7"/>
  <c r="F384" i="7"/>
  <c r="F383" i="7"/>
  <c r="O99" i="5"/>
  <c r="C99" i="8"/>
  <c r="H99" i="8" s="1"/>
  <c r="I99" i="8" s="1"/>
  <c r="K99" i="8" s="1"/>
  <c r="P99" i="8" s="1"/>
  <c r="F568" i="7"/>
  <c r="F566" i="7"/>
  <c r="O149" i="5"/>
  <c r="C149" i="8"/>
  <c r="H149" i="8" s="1"/>
  <c r="I149" i="8" s="1"/>
  <c r="K149" i="8" s="1"/>
  <c r="P149" i="8" s="1"/>
  <c r="F581" i="7"/>
  <c r="F584" i="7"/>
  <c r="F583" i="7"/>
  <c r="F582" i="7"/>
  <c r="F111" i="7"/>
  <c r="F109" i="7"/>
  <c r="F112" i="7"/>
  <c r="O31" i="5"/>
  <c r="F110" i="7"/>
  <c r="C31" i="8"/>
  <c r="H31" i="8" s="1"/>
  <c r="I31" i="8" s="1"/>
  <c r="K31" i="8" s="1"/>
  <c r="P31" i="8" s="1"/>
  <c r="F580" i="7"/>
  <c r="F578" i="7"/>
  <c r="F577" i="7"/>
  <c r="F579" i="7"/>
  <c r="O148" i="5"/>
  <c r="C148" i="8"/>
  <c r="H148" i="8" s="1"/>
  <c r="I148" i="8" s="1"/>
  <c r="K148" i="8" s="1"/>
  <c r="P148" i="8" s="1"/>
  <c r="F491" i="7"/>
  <c r="F489" i="7"/>
  <c r="F490" i="7"/>
  <c r="F492" i="7"/>
  <c r="C126" i="8"/>
  <c r="H126" i="8" s="1"/>
  <c r="I126" i="8" s="1"/>
  <c r="K126" i="8" s="1"/>
  <c r="P126" i="8" s="1"/>
  <c r="O126" i="5"/>
  <c r="F225" i="7"/>
  <c r="F227" i="7"/>
  <c r="F226" i="7"/>
  <c r="F228" i="7"/>
  <c r="O60" i="5"/>
  <c r="C60" i="8"/>
  <c r="H60" i="8" s="1"/>
  <c r="I60" i="8" s="1"/>
  <c r="K60" i="8" s="1"/>
  <c r="P60" i="8" s="1"/>
  <c r="O50" i="5"/>
  <c r="F187" i="7"/>
  <c r="F186" i="7"/>
  <c r="F185" i="7"/>
  <c r="C50" i="8"/>
  <c r="H50" i="8" s="1"/>
  <c r="I50" i="8" s="1"/>
  <c r="K50" i="8" s="1"/>
  <c r="P50" i="8" s="1"/>
  <c r="F188" i="7"/>
  <c r="C38" i="8"/>
  <c r="H38" i="8" s="1"/>
  <c r="I38" i="8" s="1"/>
  <c r="K38" i="8" s="1"/>
  <c r="P38" i="8" s="1"/>
  <c r="F137" i="7"/>
  <c r="F138" i="7"/>
  <c r="F140" i="7"/>
  <c r="F139" i="7"/>
  <c r="O38" i="5"/>
  <c r="F537" i="7"/>
  <c r="C138" i="8"/>
  <c r="H138" i="8" s="1"/>
  <c r="I138" i="8" s="1"/>
  <c r="K138" i="8" s="1"/>
  <c r="P138" i="8" s="1"/>
  <c r="O138" i="5"/>
  <c r="F540" i="7"/>
  <c r="F538" i="7"/>
  <c r="F300" i="7"/>
  <c r="O78" i="5"/>
  <c r="C78" i="8"/>
  <c r="H78" i="8" s="1"/>
  <c r="I78" i="8" s="1"/>
  <c r="K78" i="8" s="1"/>
  <c r="P78" i="8" s="1"/>
  <c r="F297" i="7"/>
  <c r="F299" i="7"/>
  <c r="F298" i="7"/>
  <c r="F216" i="7"/>
  <c r="F215" i="7"/>
  <c r="F156" i="7"/>
  <c r="C42" i="8"/>
  <c r="H42" i="8" s="1"/>
  <c r="I42" i="8" s="1"/>
  <c r="K42" i="8" s="1"/>
  <c r="P42" i="8" s="1"/>
  <c r="O42" i="5"/>
  <c r="F155" i="7"/>
  <c r="F153" i="7"/>
  <c r="F154" i="7"/>
  <c r="C33" i="8"/>
  <c r="H33" i="8" s="1"/>
  <c r="I33" i="8" s="1"/>
  <c r="K33" i="8" s="1"/>
  <c r="P33" i="8" s="1"/>
  <c r="O33" i="5"/>
  <c r="F602" i="7"/>
  <c r="O154" i="5"/>
  <c r="C154" i="8"/>
  <c r="H154" i="8" s="1"/>
  <c r="I154" i="8" s="1"/>
  <c r="K154" i="8" s="1"/>
  <c r="P154" i="8" s="1"/>
  <c r="F604" i="7"/>
  <c r="F598" i="7"/>
  <c r="F597" i="7"/>
  <c r="F600" i="7"/>
  <c r="F599" i="7"/>
  <c r="O153" i="5"/>
  <c r="C153" i="8"/>
  <c r="H153" i="8" s="1"/>
  <c r="I153" i="8" s="1"/>
  <c r="K153" i="8" s="1"/>
  <c r="P153" i="8" s="1"/>
  <c r="F483" i="7"/>
  <c r="F484" i="7"/>
  <c r="F481" i="7"/>
  <c r="F345" i="7"/>
  <c r="F347" i="7"/>
  <c r="F346" i="7"/>
  <c r="F348" i="7"/>
  <c r="C87" i="8"/>
  <c r="H87" i="8" s="1"/>
  <c r="I87" i="8" s="1"/>
  <c r="K87" i="8" s="1"/>
  <c r="P87" i="8" s="1"/>
  <c r="O87" i="5"/>
  <c r="F333" i="7"/>
  <c r="F334" i="7"/>
  <c r="F336" i="7"/>
  <c r="F335" i="7"/>
  <c r="O81" i="5"/>
  <c r="F311" i="7"/>
  <c r="C81" i="8"/>
  <c r="H81" i="8" s="1"/>
  <c r="I81" i="8" s="1"/>
  <c r="K81" i="8" s="1"/>
  <c r="P81" i="8" s="1"/>
  <c r="F267" i="7"/>
  <c r="F268" i="7"/>
  <c r="F266" i="7"/>
  <c r="C70" i="8"/>
  <c r="H70" i="8" s="1"/>
  <c r="I70" i="8" s="1"/>
  <c r="K70" i="8" s="1"/>
  <c r="P70" i="8" s="1"/>
  <c r="O70" i="5"/>
  <c r="F265" i="7"/>
  <c r="F181" i="7"/>
  <c r="C49" i="8"/>
  <c r="H49" i="8" s="1"/>
  <c r="I49" i="8" s="1"/>
  <c r="K49" i="8" s="1"/>
  <c r="P49" i="8" s="1"/>
  <c r="O49" i="5"/>
  <c r="F182" i="7"/>
  <c r="F184" i="7"/>
  <c r="F183" i="7"/>
  <c r="O47" i="5"/>
  <c r="C47" i="8"/>
  <c r="H47" i="8" s="1"/>
  <c r="I47" i="8" s="1"/>
  <c r="K47" i="8" s="1"/>
  <c r="P47" i="8" s="1"/>
  <c r="F175" i="7"/>
  <c r="F176" i="7"/>
  <c r="F173" i="7"/>
  <c r="F174" i="7"/>
  <c r="F171" i="7"/>
  <c r="C46" i="8"/>
  <c r="H46" i="8" s="1"/>
  <c r="I46" i="8" s="1"/>
  <c r="K46" i="8" s="1"/>
  <c r="P46" i="8" s="1"/>
  <c r="O46" i="5"/>
  <c r="F169" i="7"/>
  <c r="F170" i="7"/>
  <c r="F172" i="7"/>
  <c r="F561" i="7"/>
  <c r="F564" i="7"/>
  <c r="C144" i="8"/>
  <c r="H144" i="8" s="1"/>
  <c r="I144" i="8" s="1"/>
  <c r="K144" i="8" s="1"/>
  <c r="P144" i="8" s="1"/>
  <c r="O144" i="5"/>
  <c r="F562" i="7"/>
  <c r="O91" i="5"/>
  <c r="F351" i="7"/>
  <c r="F349" i="7"/>
  <c r="F352" i="7"/>
  <c r="F350" i="7"/>
  <c r="C91" i="8"/>
  <c r="H91" i="8" s="1"/>
  <c r="I91" i="8" s="1"/>
  <c r="K91" i="8" s="1"/>
  <c r="P91" i="8" s="1"/>
  <c r="O80" i="5"/>
  <c r="F306" i="7"/>
  <c r="F307" i="7"/>
  <c r="F305" i="7"/>
  <c r="C80" i="8"/>
  <c r="H80" i="8" s="1"/>
  <c r="I80" i="8" s="1"/>
  <c r="K80" i="8" s="1"/>
  <c r="P80" i="8" s="1"/>
  <c r="F308" i="7"/>
  <c r="C40" i="8"/>
  <c r="H40" i="8" s="1"/>
  <c r="I40" i="8" s="1"/>
  <c r="K40" i="8" s="1"/>
  <c r="P40" i="8" s="1"/>
  <c r="F147" i="7"/>
  <c r="F145" i="7"/>
  <c r="F148" i="7"/>
  <c r="F146" i="7"/>
  <c r="O40" i="5"/>
  <c r="F496" i="7"/>
  <c r="F495" i="7"/>
  <c r="O127" i="5"/>
  <c r="C127" i="8"/>
  <c r="H127" i="8" s="1"/>
  <c r="I127" i="8" s="1"/>
  <c r="K127" i="8" s="1"/>
  <c r="P127" i="8" s="1"/>
  <c r="F494" i="7"/>
  <c r="F493" i="7"/>
  <c r="O79" i="5"/>
  <c r="C79" i="8"/>
  <c r="H79" i="8" s="1"/>
  <c r="I79" i="8" s="1"/>
  <c r="K79" i="8" s="1"/>
  <c r="P79" i="8" s="1"/>
  <c r="F304" i="7"/>
  <c r="F303" i="7"/>
  <c r="F302" i="7"/>
  <c r="F301" i="7"/>
  <c r="F295" i="7"/>
  <c r="F294" i="7"/>
  <c r="F293" i="7"/>
  <c r="C77" i="8"/>
  <c r="H77" i="8" s="1"/>
  <c r="I77" i="8" s="1"/>
  <c r="K77" i="8" s="1"/>
  <c r="P77" i="8" s="1"/>
  <c r="F296" i="7"/>
  <c r="O77" i="5"/>
  <c r="F262" i="7"/>
  <c r="F263" i="7"/>
  <c r="F261" i="7"/>
  <c r="F230" i="7"/>
  <c r="F231" i="7"/>
  <c r="F229" i="7"/>
  <c r="C61" i="8"/>
  <c r="H61" i="8" s="1"/>
  <c r="I61" i="8" s="1"/>
  <c r="K61" i="8" s="1"/>
  <c r="P61" i="8" s="1"/>
  <c r="O61" i="5"/>
  <c r="F232" i="7"/>
  <c r="O58" i="5"/>
  <c r="C58" i="8"/>
  <c r="H58" i="8" s="1"/>
  <c r="I58" i="8" s="1"/>
  <c r="K58" i="8" s="1"/>
  <c r="P58" i="8" s="1"/>
  <c r="F217" i="7"/>
  <c r="F218" i="7"/>
  <c r="F220" i="7"/>
  <c r="F219" i="7"/>
  <c r="F165" i="7"/>
  <c r="O45" i="5"/>
  <c r="C45" i="8"/>
  <c r="H45" i="8" s="1"/>
  <c r="I45" i="8" s="1"/>
  <c r="K45" i="8" s="1"/>
  <c r="P45" i="8" s="1"/>
  <c r="F167" i="7"/>
  <c r="F166" i="7"/>
  <c r="F168" i="7"/>
  <c r="F152" i="7"/>
  <c r="F149" i="7"/>
  <c r="F150" i="7"/>
  <c r="F151" i="7"/>
  <c r="O41" i="5"/>
  <c r="C41" i="8"/>
  <c r="H41" i="8" s="1"/>
  <c r="I41" i="8" s="1"/>
  <c r="K41" i="8" s="1"/>
  <c r="P41" i="8" s="1"/>
  <c r="F332" i="7"/>
  <c r="F329" i="7"/>
  <c r="F331" i="7"/>
  <c r="O86" i="5"/>
  <c r="C86" i="8"/>
  <c r="H86" i="8" s="1"/>
  <c r="I86" i="8" s="1"/>
  <c r="K86" i="8" s="1"/>
  <c r="P86" i="8" s="1"/>
  <c r="F330" i="7"/>
  <c r="C56" i="8"/>
  <c r="H56" i="8" s="1"/>
  <c r="I56" i="8" s="1"/>
  <c r="K56" i="8" s="1"/>
  <c r="P56" i="8" s="1"/>
  <c r="F211" i="7"/>
  <c r="O56" i="5"/>
  <c r="F212" i="7"/>
  <c r="F209" i="7"/>
  <c r="F210" i="7"/>
  <c r="F195" i="7"/>
  <c r="F193" i="7"/>
  <c r="C52" i="8"/>
  <c r="H52" i="8" s="1"/>
  <c r="I52" i="8" s="1"/>
  <c r="K52" i="8" s="1"/>
  <c r="P52" i="8" s="1"/>
  <c r="O52" i="5"/>
  <c r="F161" i="7"/>
  <c r="C44" i="8"/>
  <c r="H44" i="8" s="1"/>
  <c r="I44" i="8" s="1"/>
  <c r="K44" i="8" s="1"/>
  <c r="P44" i="8" s="1"/>
  <c r="F164" i="7"/>
  <c r="F162" i="7"/>
  <c r="F163" i="7"/>
  <c r="O44" i="5"/>
  <c r="F131" i="7"/>
  <c r="F132" i="7"/>
  <c r="O36" i="5"/>
  <c r="C36" i="8"/>
  <c r="H36" i="8" s="1"/>
  <c r="I36" i="8" s="1"/>
  <c r="K36" i="8" s="1"/>
  <c r="P36" i="8" s="1"/>
  <c r="F130" i="7"/>
  <c r="F129" i="7"/>
  <c r="C35" i="8"/>
  <c r="H35" i="8" s="1"/>
  <c r="I35" i="8" s="1"/>
  <c r="K35" i="8" s="1"/>
  <c r="P35" i="8" s="1"/>
  <c r="O35" i="5"/>
  <c r="F128" i="7"/>
  <c r="F126" i="7"/>
  <c r="F127" i="7"/>
  <c r="F125" i="7"/>
  <c r="F116" i="7"/>
  <c r="F115" i="7"/>
  <c r="F113" i="7"/>
  <c r="C32" i="8"/>
  <c r="H32" i="8" s="1"/>
  <c r="I32" i="8" s="1"/>
  <c r="K32" i="8" s="1"/>
  <c r="P32" i="8" s="1"/>
  <c r="F114" i="7"/>
  <c r="O32" i="5"/>
  <c r="F353" i="7"/>
  <c r="F356" i="7"/>
  <c r="F355" i="7"/>
  <c r="C92" i="8"/>
  <c r="H92" i="8" s="1"/>
  <c r="I92" i="8" s="1"/>
  <c r="K92" i="8" s="1"/>
  <c r="P92" i="8" s="1"/>
  <c r="O92" i="5"/>
  <c r="F354" i="7"/>
  <c r="F272" i="7"/>
  <c r="O71" i="5"/>
  <c r="C71" i="8"/>
  <c r="H71" i="8" s="1"/>
  <c r="I71" i="8" s="1"/>
  <c r="K71" i="8" s="1"/>
  <c r="P71" i="8" s="1"/>
  <c r="F269" i="7"/>
  <c r="F271" i="7"/>
  <c r="F270" i="7"/>
  <c r="F223" i="7"/>
  <c r="F224" i="7"/>
  <c r="O59" i="5"/>
  <c r="F222" i="7"/>
  <c r="C59" i="8"/>
  <c r="H59" i="8" s="1"/>
  <c r="I59" i="8" s="1"/>
  <c r="K59" i="8" s="1"/>
  <c r="P59" i="8" s="1"/>
  <c r="F221" i="7"/>
  <c r="F177" i="7"/>
  <c r="C48" i="8"/>
  <c r="H48" i="8" s="1"/>
  <c r="I48" i="8" s="1"/>
  <c r="K48" i="8" s="1"/>
  <c r="P48" i="8" s="1"/>
  <c r="F179" i="7"/>
  <c r="O48" i="5"/>
  <c r="F180" i="7"/>
  <c r="F178" i="7"/>
  <c r="O39" i="5"/>
  <c r="F142" i="7"/>
  <c r="F143" i="7"/>
  <c r="F141" i="7"/>
  <c r="F144" i="7"/>
  <c r="C39" i="8"/>
  <c r="H39" i="8" s="1"/>
  <c r="I39" i="8" s="1"/>
  <c r="K39" i="8" s="1"/>
  <c r="P39" i="8" s="1"/>
  <c r="F133" i="7"/>
  <c r="C37" i="8"/>
  <c r="H37" i="8" s="1"/>
  <c r="I37" i="8" s="1"/>
  <c r="K37" i="8" s="1"/>
  <c r="P37" i="8" s="1"/>
  <c r="F135" i="7"/>
  <c r="F134" i="7"/>
  <c r="O37" i="5"/>
  <c r="F136" i="7"/>
  <c r="F192" i="7"/>
  <c r="F190" i="7"/>
  <c r="F189" i="7"/>
  <c r="O51" i="5"/>
  <c r="C51" i="8"/>
  <c r="H51" i="8" s="1"/>
  <c r="I51" i="8" s="1"/>
  <c r="K51" i="8" s="1"/>
  <c r="P51" i="8" s="1"/>
  <c r="F191" i="7"/>
  <c r="R9" i="5"/>
  <c r="F488" i="7"/>
  <c r="F487" i="7"/>
  <c r="F486" i="7"/>
  <c r="F485" i="7"/>
  <c r="O125" i="5"/>
  <c r="C125" i="8"/>
  <c r="H125" i="8" s="1"/>
  <c r="I125" i="8" s="1"/>
  <c r="K125" i="8" s="1"/>
  <c r="P125" i="8" s="1"/>
  <c r="F601" i="7"/>
  <c r="F603" i="7"/>
  <c r="O90" i="5"/>
  <c r="C90" i="8"/>
  <c r="H90" i="8" s="1"/>
  <c r="I90" i="8" s="1"/>
  <c r="K90" i="8" s="1"/>
  <c r="P90" i="8" s="1"/>
  <c r="F337" i="7"/>
  <c r="F339" i="7"/>
  <c r="F338" i="7"/>
  <c r="F340" i="7"/>
  <c r="C88" i="8"/>
  <c r="H88" i="8" s="1"/>
  <c r="I88" i="8" s="1"/>
  <c r="K88" i="8" s="1"/>
  <c r="P88" i="8" s="1"/>
  <c r="O88" i="5"/>
  <c r="F343" i="7"/>
  <c r="F344" i="7"/>
  <c r="F341" i="7"/>
  <c r="F342" i="7"/>
  <c r="O89" i="5"/>
  <c r="C89" i="8"/>
  <c r="H89" i="8" s="1"/>
  <c r="I89" i="8" s="1"/>
  <c r="K89" i="8" s="1"/>
  <c r="P89" i="8" s="1"/>
  <c r="F89" i="7"/>
  <c r="F90" i="7"/>
  <c r="F91" i="7"/>
  <c r="F92" i="7"/>
  <c r="C26" i="8"/>
  <c r="H26" i="8" s="1"/>
  <c r="I26" i="8" s="1"/>
  <c r="K26" i="8" s="1"/>
  <c r="P26" i="8" s="1"/>
  <c r="O26" i="5"/>
  <c r="F85" i="7"/>
  <c r="F88" i="7"/>
  <c r="F87" i="7"/>
  <c r="F86" i="7"/>
  <c r="O25" i="5"/>
  <c r="C25" i="8"/>
  <c r="H25" i="8" s="1"/>
  <c r="I25" i="8" s="1"/>
  <c r="K25" i="8" s="1"/>
  <c r="P25" i="8" s="1"/>
  <c r="C10" i="8"/>
  <c r="H10" i="8" s="1"/>
  <c r="I10" i="8" s="1"/>
  <c r="K10" i="8" s="1"/>
  <c r="P10" i="8" s="1"/>
  <c r="O10" i="5"/>
  <c r="F23" i="7"/>
  <c r="O9" i="5"/>
  <c r="C9" i="8"/>
  <c r="H9" i="8" s="1"/>
  <c r="I9" i="8" s="1"/>
  <c r="K9" i="8" s="1"/>
  <c r="P9" i="8" s="1"/>
  <c r="F21" i="7"/>
  <c r="F22" i="7"/>
  <c r="F24" i="7"/>
  <c r="O7" i="5"/>
  <c r="F13" i="7"/>
  <c r="F15" i="7"/>
  <c r="F16" i="7"/>
  <c r="F14" i="7"/>
  <c r="C7" i="8"/>
  <c r="H7" i="8" s="1"/>
  <c r="I7" i="8" s="1"/>
  <c r="K7" i="8" s="1"/>
  <c r="P7" i="8" s="1"/>
  <c r="C6" i="8"/>
  <c r="H6" i="8" s="1"/>
  <c r="I6" i="8" s="1"/>
  <c r="K6" i="8" s="1"/>
  <c r="P6" i="8" s="1"/>
  <c r="F10" i="7"/>
  <c r="F11" i="7"/>
  <c r="F12" i="7"/>
  <c r="F9" i="7"/>
  <c r="C6" i="6"/>
  <c r="O6" i="5"/>
  <c r="C19" i="8"/>
  <c r="H19" i="8" s="1"/>
  <c r="I19" i="8" s="1"/>
  <c r="K19" i="8" s="1"/>
  <c r="P19" i="8" s="1"/>
  <c r="F64" i="7"/>
  <c r="F61" i="7"/>
  <c r="F63" i="7"/>
  <c r="F62" i="7"/>
  <c r="O19" i="5"/>
  <c r="F18" i="7"/>
  <c r="O8" i="5"/>
  <c r="C8" i="8"/>
  <c r="H8" i="8" s="1"/>
  <c r="I8" i="8" s="1"/>
  <c r="K8" i="8" s="1"/>
  <c r="P8" i="8" s="1"/>
  <c r="F20" i="7"/>
  <c r="F17" i="7"/>
  <c r="F19" i="7"/>
  <c r="B121" i="6"/>
  <c r="N120" i="6"/>
  <c r="S106" i="6"/>
  <c r="N8" i="6"/>
  <c r="W106" i="6"/>
  <c r="M6" i="6" s="1"/>
  <c r="Q6" i="6"/>
  <c r="L6" i="6"/>
  <c r="O6" i="6" s="1"/>
  <c r="X106" i="6"/>
  <c r="M7" i="6" s="1"/>
  <c r="Q7" i="6"/>
  <c r="L7" i="6"/>
  <c r="O7" i="6" s="1"/>
  <c r="AA106" i="6"/>
  <c r="M10" i="6" s="1"/>
  <c r="L10" i="6"/>
  <c r="O10" i="6" s="1"/>
  <c r="H139" i="8"/>
  <c r="I139" i="8" s="1"/>
  <c r="K139" i="8" s="1"/>
  <c r="P139" i="8" s="1"/>
  <c r="H135" i="8"/>
  <c r="I135" i="8" s="1"/>
  <c r="K135" i="8" s="1"/>
  <c r="P135" i="8" s="1"/>
  <c r="H134" i="8"/>
  <c r="I134" i="8" s="1"/>
  <c r="K134" i="8" s="1"/>
  <c r="P134" i="8" s="1"/>
  <c r="H133" i="8"/>
  <c r="I133" i="8" s="1"/>
  <c r="K133" i="8" s="1"/>
  <c r="P133" i="8" s="1"/>
  <c r="H129" i="8"/>
  <c r="I129" i="8" s="1"/>
  <c r="K129" i="8" s="1"/>
  <c r="P129" i="8" s="1"/>
  <c r="H128" i="8"/>
  <c r="I128" i="8" s="1"/>
  <c r="K128" i="8" s="1"/>
  <c r="P128" i="8" s="1"/>
  <c r="H124" i="8"/>
  <c r="I124" i="8" s="1"/>
  <c r="K124" i="8" s="1"/>
  <c r="P124" i="8" s="1"/>
  <c r="H123" i="8"/>
  <c r="I123" i="8" s="1"/>
  <c r="K123" i="8" s="1"/>
  <c r="P123" i="8" s="1"/>
  <c r="H117" i="8"/>
  <c r="I117" i="8" s="1"/>
  <c r="K117" i="8" s="1"/>
  <c r="P117" i="8" s="1"/>
  <c r="H116" i="8"/>
  <c r="I116" i="8" s="1"/>
  <c r="K116" i="8" s="1"/>
  <c r="P116" i="8" s="1"/>
  <c r="H113" i="8"/>
  <c r="I113" i="8" s="1"/>
  <c r="K113" i="8" s="1"/>
  <c r="P113" i="8" s="1"/>
  <c r="H112" i="8"/>
  <c r="I112" i="8" s="1"/>
  <c r="K112" i="8" s="1"/>
  <c r="P112" i="8" s="1"/>
  <c r="H108" i="8"/>
  <c r="I108" i="8" s="1"/>
  <c r="K108" i="8" s="1"/>
  <c r="P108" i="8" s="1"/>
  <c r="H107" i="8"/>
  <c r="I107" i="8" s="1"/>
  <c r="K107" i="8" s="1"/>
  <c r="P107" i="8" s="1"/>
  <c r="H106" i="8"/>
  <c r="I106" i="8" s="1"/>
  <c r="K106" i="8" s="1"/>
  <c r="P106" i="8" s="1"/>
  <c r="H105" i="8"/>
  <c r="I105" i="8" s="1"/>
  <c r="K105" i="8" s="1"/>
  <c r="P105" i="8" s="1"/>
  <c r="H103" i="8"/>
  <c r="I103" i="8" s="1"/>
  <c r="K103" i="8" s="1"/>
  <c r="P103" i="8" s="1"/>
  <c r="H101" i="8"/>
  <c r="I101" i="8" s="1"/>
  <c r="K101" i="8" s="1"/>
  <c r="P101" i="8" s="1"/>
  <c r="H98" i="8"/>
  <c r="I98" i="8" s="1"/>
  <c r="K98" i="8" s="1"/>
  <c r="P98" i="8" s="1"/>
  <c r="H97" i="8"/>
  <c r="I97" i="8" s="1"/>
  <c r="K97" i="8" s="1"/>
  <c r="P97" i="8" s="1"/>
  <c r="H96" i="8"/>
  <c r="I96" i="8" s="1"/>
  <c r="K96" i="8" s="1"/>
  <c r="P96" i="8" s="1"/>
  <c r="H95" i="8"/>
  <c r="I95" i="8" s="1"/>
  <c r="K95" i="8" s="1"/>
  <c r="P95" i="8" s="1"/>
  <c r="H94" i="8"/>
  <c r="I94" i="8" s="1"/>
  <c r="K94" i="8" s="1"/>
  <c r="P94" i="8" s="1"/>
  <c r="H93" i="8"/>
  <c r="I93" i="8" s="1"/>
  <c r="K93" i="8" s="1"/>
  <c r="P93" i="8" s="1"/>
  <c r="H85" i="8"/>
  <c r="I85" i="8" s="1"/>
  <c r="K85" i="8" s="1"/>
  <c r="P85" i="8" s="1"/>
  <c r="H84" i="8"/>
  <c r="I84" i="8" s="1"/>
  <c r="K84" i="8" s="1"/>
  <c r="P84" i="8" s="1"/>
  <c r="H83" i="8"/>
  <c r="I83" i="8" s="1"/>
  <c r="K83" i="8" s="1"/>
  <c r="P83" i="8" s="1"/>
  <c r="H82" i="8"/>
  <c r="I82" i="8" s="1"/>
  <c r="K82" i="8" s="1"/>
  <c r="P82" i="8" s="1"/>
  <c r="H72" i="8"/>
  <c r="I72" i="8" s="1"/>
  <c r="K72" i="8" s="1"/>
  <c r="P72" i="8" s="1"/>
  <c r="H69" i="8"/>
  <c r="I69" i="8" s="1"/>
  <c r="K69" i="8" s="1"/>
  <c r="P69" i="8" s="1"/>
  <c r="H68" i="8"/>
  <c r="I68" i="8" s="1"/>
  <c r="K68" i="8" s="1"/>
  <c r="P68" i="8" s="1"/>
  <c r="H66" i="8"/>
  <c r="I66" i="8" s="1"/>
  <c r="K66" i="8" s="1"/>
  <c r="P66" i="8" s="1"/>
  <c r="H65" i="8"/>
  <c r="I65" i="8" s="1"/>
  <c r="K65" i="8" s="1"/>
  <c r="P65" i="8" s="1"/>
  <c r="H64" i="8"/>
  <c r="I64" i="8" s="1"/>
  <c r="K64" i="8" s="1"/>
  <c r="P64" i="8" s="1"/>
  <c r="H63" i="8"/>
  <c r="I63" i="8" s="1"/>
  <c r="K63" i="8" s="1"/>
  <c r="P63" i="8" s="1"/>
  <c r="H62" i="8"/>
  <c r="I62" i="8" s="1"/>
  <c r="K62" i="8" s="1"/>
  <c r="P62" i="8" s="1"/>
  <c r="H57" i="8"/>
  <c r="I57" i="8" s="1"/>
  <c r="K57" i="8" s="1"/>
  <c r="P57" i="8" s="1"/>
  <c r="H54" i="8"/>
  <c r="I54" i="8" s="1"/>
  <c r="K54" i="8" s="1"/>
  <c r="P54" i="8" s="1"/>
  <c r="H53" i="8"/>
  <c r="I53" i="8" s="1"/>
  <c r="K53" i="8" s="1"/>
  <c r="P53" i="8" s="1"/>
  <c r="H43" i="8"/>
  <c r="I43" i="8" s="1"/>
  <c r="K43" i="8" s="1"/>
  <c r="P43" i="8" s="1"/>
  <c r="H34" i="8"/>
  <c r="I34" i="8" s="1"/>
  <c r="K34" i="8" s="1"/>
  <c r="P34" i="8" s="1"/>
  <c r="H30" i="8"/>
  <c r="I30" i="8" s="1"/>
  <c r="K30" i="8" s="1"/>
  <c r="P30" i="8" s="1"/>
  <c r="H29" i="8"/>
  <c r="I29" i="8" s="1"/>
  <c r="K29" i="8" s="1"/>
  <c r="P29" i="8" s="1"/>
  <c r="H28" i="8"/>
  <c r="I28" i="8" s="1"/>
  <c r="K28" i="8" s="1"/>
  <c r="P28" i="8" s="1"/>
  <c r="H27" i="8"/>
  <c r="I27" i="8" s="1"/>
  <c r="K27" i="8" s="1"/>
  <c r="P27" i="8" s="1"/>
  <c r="H24" i="8"/>
  <c r="I24" i="8" s="1"/>
  <c r="K24" i="8" s="1"/>
  <c r="P24" i="8" s="1"/>
  <c r="H13" i="8"/>
  <c r="I13" i="8" s="1"/>
  <c r="K13" i="8" s="1"/>
  <c r="P13" i="8" s="1"/>
  <c r="H12" i="8"/>
  <c r="I12" i="8" s="1"/>
  <c r="K12" i="8" s="1"/>
  <c r="P12" i="8" s="1"/>
  <c r="H11" i="8"/>
  <c r="I11" i="8" s="1"/>
  <c r="K11" i="8" s="1"/>
  <c r="P11" i="8" s="1"/>
  <c r="B5" i="3"/>
  <c r="M18" i="3"/>
  <c r="L18" i="3"/>
  <c r="M11" i="3"/>
  <c r="L11" i="3"/>
  <c r="M12" i="3"/>
  <c r="L12" i="3"/>
  <c r="L13" i="3"/>
  <c r="M13" i="3"/>
  <c r="M14" i="3"/>
  <c r="L14" i="3"/>
  <c r="M15" i="3"/>
  <c r="L15" i="3"/>
  <c r="L16" i="3"/>
  <c r="M16" i="3"/>
  <c r="M17" i="3"/>
  <c r="L17" i="3"/>
  <c r="F6" i="7"/>
  <c r="F7" i="7"/>
  <c r="F8" i="7"/>
  <c r="F5" i="7"/>
  <c r="O5" i="5"/>
  <c r="I5" i="7"/>
  <c r="I7" i="7"/>
  <c r="I8" i="7"/>
  <c r="I9" i="7"/>
  <c r="I10" i="7"/>
  <c r="I12" i="7"/>
  <c r="I11" i="7"/>
  <c r="I13" i="7"/>
  <c r="C5" i="8"/>
  <c r="I6" i="7"/>
  <c r="T6" i="5"/>
  <c r="Q9" i="5"/>
  <c r="T13" i="5"/>
  <c r="Q16" i="5"/>
  <c r="C152" i="8"/>
  <c r="O152" i="5"/>
  <c r="F594" i="7"/>
  <c r="F595" i="7"/>
  <c r="F593" i="7"/>
  <c r="F596" i="7"/>
  <c r="C151" i="8"/>
  <c r="O151" i="5"/>
  <c r="F592" i="7"/>
  <c r="F590" i="7"/>
  <c r="F591" i="7"/>
  <c r="F589" i="7"/>
  <c r="C150" i="8"/>
  <c r="O150" i="5"/>
  <c r="F588" i="7"/>
  <c r="F586" i="7"/>
  <c r="F585" i="7"/>
  <c r="F587" i="7"/>
  <c r="C147" i="8"/>
  <c r="O147" i="5"/>
  <c r="F575" i="7"/>
  <c r="F576" i="7"/>
  <c r="F574" i="7"/>
  <c r="F573" i="7"/>
  <c r="C146" i="8"/>
  <c r="O146" i="5"/>
  <c r="F569" i="7"/>
  <c r="F571" i="7"/>
  <c r="F572" i="7"/>
  <c r="F570" i="7"/>
  <c r="O143" i="5"/>
  <c r="C143" i="8"/>
  <c r="F557" i="7"/>
  <c r="F560" i="7"/>
  <c r="F558" i="7"/>
  <c r="F559" i="7"/>
  <c r="O142" i="5"/>
  <c r="C142" i="8"/>
  <c r="F554" i="7"/>
  <c r="F553" i="7"/>
  <c r="F556" i="7"/>
  <c r="F555" i="7"/>
  <c r="C141" i="8"/>
  <c r="O141" i="5"/>
  <c r="F551" i="7"/>
  <c r="F549" i="7"/>
  <c r="F550" i="7"/>
  <c r="F552" i="7"/>
  <c r="O137" i="5"/>
  <c r="C137" i="8"/>
  <c r="F535" i="7"/>
  <c r="F533" i="7"/>
  <c r="F536" i="7"/>
  <c r="F534" i="7"/>
  <c r="C136" i="8"/>
  <c r="O136" i="5"/>
  <c r="F530" i="7"/>
  <c r="F532" i="7"/>
  <c r="F531" i="7"/>
  <c r="F529" i="7"/>
  <c r="C122" i="8"/>
  <c r="O122" i="5"/>
  <c r="F476" i="7"/>
  <c r="F473" i="7"/>
  <c r="F475" i="7"/>
  <c r="F474" i="7"/>
  <c r="C120" i="8"/>
  <c r="O120" i="5"/>
  <c r="F468" i="7"/>
  <c r="F466" i="7"/>
  <c r="F467" i="7"/>
  <c r="F465" i="7"/>
  <c r="C118" i="8"/>
  <c r="O118" i="5"/>
  <c r="F459" i="7"/>
  <c r="F458" i="7"/>
  <c r="F460" i="7"/>
  <c r="F457" i="7"/>
  <c r="C115" i="8"/>
  <c r="O115" i="5"/>
  <c r="F445" i="7"/>
  <c r="F447" i="7"/>
  <c r="F448" i="7"/>
  <c r="F446" i="7"/>
  <c r="C114" i="8"/>
  <c r="O114" i="5"/>
  <c r="F443" i="7"/>
  <c r="F444" i="7"/>
  <c r="F442" i="7"/>
  <c r="F441" i="7"/>
  <c r="C111" i="8"/>
  <c r="O111" i="5"/>
  <c r="F432" i="7"/>
  <c r="F430" i="7"/>
  <c r="F429" i="7"/>
  <c r="F431" i="7"/>
  <c r="C110" i="8"/>
  <c r="O110" i="5"/>
  <c r="F426" i="7"/>
  <c r="F425" i="7"/>
  <c r="F428" i="7"/>
  <c r="F427" i="7"/>
  <c r="O104" i="5"/>
  <c r="C104" i="8"/>
  <c r="F403" i="7"/>
  <c r="F401" i="7"/>
  <c r="F404" i="7"/>
  <c r="F402" i="7"/>
  <c r="C102" i="8"/>
  <c r="O102" i="5"/>
  <c r="F395" i="7"/>
  <c r="F396" i="7"/>
  <c r="F393" i="7"/>
  <c r="F394" i="7"/>
  <c r="K68" i="6"/>
  <c r="J69" i="6" s="1"/>
  <c r="L68" i="6"/>
  <c r="T14" i="5"/>
  <c r="S9" i="5"/>
  <c r="S16" i="5"/>
  <c r="T7" i="5"/>
  <c r="T15" i="5"/>
  <c r="T8" i="5"/>
  <c r="C24" i="3"/>
  <c r="B122" i="6" l="1"/>
  <c r="N121" i="6"/>
  <c r="Y106" i="6"/>
  <c r="M8" i="6" s="1"/>
  <c r="Q8" i="6"/>
  <c r="L8" i="6"/>
  <c r="O8" i="6" s="1"/>
  <c r="Q154" i="8"/>
  <c r="U154" i="8"/>
  <c r="Q153" i="8"/>
  <c r="U153" i="8"/>
  <c r="Q149" i="8"/>
  <c r="U149" i="8"/>
  <c r="Q148" i="8"/>
  <c r="U148" i="8"/>
  <c r="Q145" i="8"/>
  <c r="U145" i="8"/>
  <c r="Q144" i="8"/>
  <c r="U144" i="8"/>
  <c r="Q140" i="8"/>
  <c r="U140" i="8"/>
  <c r="Q139" i="8"/>
  <c r="U139" i="8"/>
  <c r="Q138" i="8"/>
  <c r="U138" i="8"/>
  <c r="Q135" i="8"/>
  <c r="U135" i="8"/>
  <c r="Q134" i="8"/>
  <c r="U134" i="8"/>
  <c r="Q133" i="8"/>
  <c r="U133" i="8"/>
  <c r="Q132" i="8"/>
  <c r="U132" i="8"/>
  <c r="Q131" i="8"/>
  <c r="U131" i="8"/>
  <c r="Q130" i="8"/>
  <c r="U130" i="8"/>
  <c r="Q129" i="8"/>
  <c r="U129" i="8"/>
  <c r="Q128" i="8"/>
  <c r="U128" i="8"/>
  <c r="Q127" i="8"/>
  <c r="U127" i="8"/>
  <c r="Q126" i="8"/>
  <c r="U126" i="8"/>
  <c r="Q125" i="8"/>
  <c r="U125" i="8"/>
  <c r="Q124" i="8"/>
  <c r="U124" i="8"/>
  <c r="Q123" i="8"/>
  <c r="U123" i="8"/>
  <c r="Q121" i="8"/>
  <c r="U121" i="8"/>
  <c r="Q119" i="8"/>
  <c r="U119" i="8"/>
  <c r="Q117" i="8"/>
  <c r="U117" i="8"/>
  <c r="Q116" i="8"/>
  <c r="U116" i="8"/>
  <c r="Q113" i="8"/>
  <c r="U113" i="8"/>
  <c r="Q112" i="8"/>
  <c r="U112" i="8"/>
  <c r="Q109" i="8"/>
  <c r="U109" i="8"/>
  <c r="Q108" i="8"/>
  <c r="U108" i="8"/>
  <c r="Q107" i="8"/>
  <c r="U107" i="8"/>
  <c r="Q106" i="8"/>
  <c r="U106" i="8"/>
  <c r="Q105" i="8"/>
  <c r="U105" i="8"/>
  <c r="Q103" i="8"/>
  <c r="U103" i="8"/>
  <c r="Q101" i="8"/>
  <c r="U101" i="8"/>
  <c r="Q100" i="8"/>
  <c r="U100" i="8"/>
  <c r="Q99" i="8"/>
  <c r="U99" i="8"/>
  <c r="Q98" i="8"/>
  <c r="U98" i="8"/>
  <c r="Q97" i="8"/>
  <c r="U97" i="8"/>
  <c r="Q96" i="8"/>
  <c r="U96" i="8"/>
  <c r="Q95" i="8"/>
  <c r="U95" i="8"/>
  <c r="Q94" i="8"/>
  <c r="U94" i="8"/>
  <c r="Q93" i="8"/>
  <c r="U93" i="8"/>
  <c r="Q92" i="8"/>
  <c r="U92" i="8"/>
  <c r="Q91" i="8"/>
  <c r="U91" i="8"/>
  <c r="Q90" i="8"/>
  <c r="U90" i="8"/>
  <c r="Q89" i="8"/>
  <c r="U89" i="8"/>
  <c r="Q88" i="8"/>
  <c r="U88" i="8"/>
  <c r="Q87" i="8"/>
  <c r="U87" i="8"/>
  <c r="Q86" i="8"/>
  <c r="U86" i="8"/>
  <c r="Q85" i="8"/>
  <c r="U85" i="8"/>
  <c r="Q84" i="8"/>
  <c r="U84" i="8"/>
  <c r="Q83" i="8"/>
  <c r="U83" i="8"/>
  <c r="Q82" i="8"/>
  <c r="U82" i="8"/>
  <c r="Q81" i="8"/>
  <c r="U81" i="8"/>
  <c r="Q80" i="8"/>
  <c r="U80" i="8"/>
  <c r="Q79" i="8"/>
  <c r="U79" i="8"/>
  <c r="Q78" i="8"/>
  <c r="U78" i="8"/>
  <c r="Q77" i="8"/>
  <c r="U77" i="8"/>
  <c r="Q76" i="8"/>
  <c r="U76" i="8"/>
  <c r="Q75" i="8"/>
  <c r="U75" i="8"/>
  <c r="Q74" i="8"/>
  <c r="U74" i="8"/>
  <c r="Q73" i="8"/>
  <c r="U73" i="8"/>
  <c r="Q72" i="8"/>
  <c r="U72" i="8"/>
  <c r="Q71" i="8"/>
  <c r="U71" i="8"/>
  <c r="Q70" i="8"/>
  <c r="U70" i="8"/>
  <c r="Q69" i="8"/>
  <c r="U69" i="8"/>
  <c r="Q68" i="8"/>
  <c r="U68" i="8"/>
  <c r="Q67" i="8"/>
  <c r="U67" i="8"/>
  <c r="Q66" i="8"/>
  <c r="U66" i="8"/>
  <c r="Q65" i="8"/>
  <c r="U65" i="8"/>
  <c r="Q64" i="8"/>
  <c r="U64" i="8"/>
  <c r="Q63" i="8"/>
  <c r="U63" i="8"/>
  <c r="Q62" i="8"/>
  <c r="U62" i="8"/>
  <c r="Q61" i="8"/>
  <c r="U61" i="8"/>
  <c r="Q60" i="8"/>
  <c r="U60" i="8"/>
  <c r="Q59" i="8"/>
  <c r="U59" i="8"/>
  <c r="Q58" i="8"/>
  <c r="U58" i="8"/>
  <c r="Q57" i="8"/>
  <c r="U57" i="8"/>
  <c r="Q56" i="8"/>
  <c r="U56" i="8"/>
  <c r="Q55" i="8"/>
  <c r="U55" i="8"/>
  <c r="Q54" i="8"/>
  <c r="U54" i="8"/>
  <c r="Q53" i="8"/>
  <c r="U53" i="8"/>
  <c r="Q52" i="8"/>
  <c r="U52" i="8"/>
  <c r="Q51" i="8"/>
  <c r="U51" i="8"/>
  <c r="Q50" i="8"/>
  <c r="U50" i="8"/>
  <c r="Q49" i="8"/>
  <c r="U49" i="8"/>
  <c r="Q48" i="8"/>
  <c r="U48" i="8"/>
  <c r="Q47" i="8"/>
  <c r="U47" i="8"/>
  <c r="Q46" i="8"/>
  <c r="U46" i="8"/>
  <c r="Q45" i="8"/>
  <c r="U45" i="8"/>
  <c r="Q44" i="8"/>
  <c r="U44" i="8"/>
  <c r="Q43" i="8"/>
  <c r="U43" i="8"/>
  <c r="Q42" i="8"/>
  <c r="U42" i="8"/>
  <c r="Q41" i="8"/>
  <c r="U41" i="8"/>
  <c r="Q40" i="8"/>
  <c r="U40" i="8"/>
  <c r="Q39" i="8"/>
  <c r="U39" i="8"/>
  <c r="Q38" i="8"/>
  <c r="U38" i="8"/>
  <c r="Q37" i="8"/>
  <c r="U37" i="8"/>
  <c r="Q36" i="8"/>
  <c r="U36" i="8"/>
  <c r="Q35" i="8"/>
  <c r="U35" i="8"/>
  <c r="Q34" i="8"/>
  <c r="U34" i="8"/>
  <c r="Q33" i="8"/>
  <c r="U33" i="8"/>
  <c r="Q32" i="8"/>
  <c r="U32" i="8"/>
  <c r="Q31" i="8"/>
  <c r="U31" i="8"/>
  <c r="Q30" i="8"/>
  <c r="U30" i="8"/>
  <c r="Q29" i="8"/>
  <c r="U29" i="8"/>
  <c r="Q28" i="8"/>
  <c r="U28" i="8"/>
  <c r="Q27" i="8"/>
  <c r="U27" i="8"/>
  <c r="Q26" i="8"/>
  <c r="U26" i="8"/>
  <c r="Q25" i="8"/>
  <c r="U25" i="8"/>
  <c r="Q24" i="8"/>
  <c r="U24" i="8"/>
  <c r="Q23" i="8"/>
  <c r="U23" i="8"/>
  <c r="Q22" i="8"/>
  <c r="U22" i="8"/>
  <c r="Q21" i="8"/>
  <c r="U21" i="8"/>
  <c r="Q20" i="8"/>
  <c r="U20" i="8"/>
  <c r="Q19" i="8"/>
  <c r="U19" i="8"/>
  <c r="Q18" i="8"/>
  <c r="U18" i="8"/>
  <c r="Q17" i="8"/>
  <c r="U17" i="8"/>
  <c r="Q16" i="8"/>
  <c r="U16" i="8"/>
  <c r="Q15" i="8"/>
  <c r="U15" i="8"/>
  <c r="Q14" i="8"/>
  <c r="U14" i="8"/>
  <c r="Q13" i="8"/>
  <c r="U13" i="8"/>
  <c r="Q12" i="8"/>
  <c r="U12" i="8"/>
  <c r="Q11" i="8"/>
  <c r="U11" i="8"/>
  <c r="Q10" i="8"/>
  <c r="U10" i="8"/>
  <c r="Q9" i="8"/>
  <c r="U9" i="8"/>
  <c r="Q8" i="8"/>
  <c r="U8" i="8"/>
  <c r="Q7" i="8"/>
  <c r="U7" i="8"/>
  <c r="Q6" i="8"/>
  <c r="U6" i="8"/>
  <c r="O7" i="7"/>
  <c r="O6" i="7"/>
  <c r="K8" i="7"/>
  <c r="K6" i="7"/>
  <c r="O5" i="7"/>
  <c r="K5" i="7"/>
  <c r="K7" i="7"/>
  <c r="P6" i="7"/>
  <c r="L6" i="7"/>
  <c r="L5" i="7"/>
  <c r="L8" i="7"/>
  <c r="P5" i="7"/>
  <c r="P7" i="7"/>
  <c r="L7" i="7"/>
  <c r="Q6" i="7"/>
  <c r="M6" i="7"/>
  <c r="M13" i="7"/>
  <c r="Q5" i="7"/>
  <c r="Q7" i="7"/>
  <c r="M7" i="7"/>
  <c r="U7" i="7" s="1"/>
  <c r="M5" i="7"/>
  <c r="U5" i="7" s="1"/>
  <c r="M8" i="7"/>
  <c r="L13" i="7"/>
  <c r="K13" i="7"/>
  <c r="P12" i="7"/>
  <c r="O12" i="7"/>
  <c r="L12" i="7"/>
  <c r="J12" i="7"/>
  <c r="P11" i="7"/>
  <c r="N11" i="7"/>
  <c r="L11" i="7"/>
  <c r="K11" i="7"/>
  <c r="P10" i="7"/>
  <c r="O10" i="7"/>
  <c r="M10" i="7"/>
  <c r="J10" i="7"/>
  <c r="Q9" i="7"/>
  <c r="M9" i="7"/>
  <c r="L9" i="7"/>
  <c r="J9" i="7"/>
  <c r="P8" i="7"/>
  <c r="N8" i="7"/>
  <c r="J7" i="7"/>
  <c r="N6" i="7"/>
  <c r="J5" i="7"/>
  <c r="J13" i="7"/>
  <c r="Q12" i="7"/>
  <c r="N12" i="7"/>
  <c r="M12" i="7"/>
  <c r="U12" i="7" s="1"/>
  <c r="K12" i="7"/>
  <c r="S12" i="7" s="1"/>
  <c r="Q11" i="7"/>
  <c r="O11" i="7"/>
  <c r="M11" i="7"/>
  <c r="U11" i="7" s="1"/>
  <c r="J11" i="7"/>
  <c r="R11" i="7" s="1"/>
  <c r="Q10" i="7"/>
  <c r="N10" i="7"/>
  <c r="L10" i="7"/>
  <c r="T10" i="7" s="1"/>
  <c r="K10" i="7"/>
  <c r="S10" i="7" s="1"/>
  <c r="P9" i="7"/>
  <c r="N9" i="7"/>
  <c r="K9" i="7"/>
  <c r="Q8" i="7"/>
  <c r="O8" i="7"/>
  <c r="J6" i="7"/>
  <c r="Q13" i="7"/>
  <c r="P13" i="7"/>
  <c r="O13" i="7"/>
  <c r="N13" i="7"/>
  <c r="J8" i="7"/>
  <c r="R8" i="7" s="1"/>
  <c r="N7" i="7"/>
  <c r="O9" i="7"/>
  <c r="N5" i="7"/>
  <c r="I15" i="7"/>
  <c r="H5" i="8"/>
  <c r="I5" i="8" s="1"/>
  <c r="K5" i="8" s="1"/>
  <c r="D10" i="3"/>
  <c r="C17" i="3"/>
  <c r="D17" i="3"/>
  <c r="C10" i="3"/>
  <c r="D11" i="3"/>
  <c r="C12" i="3"/>
  <c r="C18" i="3"/>
  <c r="D18" i="3"/>
  <c r="C19" i="3"/>
  <c r="C11" i="3"/>
  <c r="D12" i="3"/>
  <c r="D19" i="3"/>
  <c r="H152" i="8"/>
  <c r="I152" i="8" s="1"/>
  <c r="K152" i="8" s="1"/>
  <c r="P152" i="8" s="1"/>
  <c r="H151" i="8"/>
  <c r="I151" i="8" s="1"/>
  <c r="K151" i="8" s="1"/>
  <c r="P151" i="8" s="1"/>
  <c r="H150" i="8"/>
  <c r="I150" i="8" s="1"/>
  <c r="K150" i="8" s="1"/>
  <c r="P150" i="8" s="1"/>
  <c r="H147" i="8"/>
  <c r="I147" i="8" s="1"/>
  <c r="K147" i="8" s="1"/>
  <c r="P147" i="8" s="1"/>
  <c r="H146" i="8"/>
  <c r="I146" i="8" s="1"/>
  <c r="K146" i="8" s="1"/>
  <c r="P146" i="8" s="1"/>
  <c r="H143" i="8"/>
  <c r="I143" i="8" s="1"/>
  <c r="K143" i="8" s="1"/>
  <c r="P143" i="8" s="1"/>
  <c r="H142" i="8"/>
  <c r="I142" i="8" s="1"/>
  <c r="K142" i="8" s="1"/>
  <c r="P142" i="8" s="1"/>
  <c r="H141" i="8"/>
  <c r="I141" i="8" s="1"/>
  <c r="K141" i="8" s="1"/>
  <c r="P141" i="8" s="1"/>
  <c r="H137" i="8"/>
  <c r="I137" i="8" s="1"/>
  <c r="K137" i="8" s="1"/>
  <c r="P137" i="8" s="1"/>
  <c r="H136" i="8"/>
  <c r="I136" i="8" s="1"/>
  <c r="K136" i="8" s="1"/>
  <c r="P136" i="8" s="1"/>
  <c r="H122" i="8"/>
  <c r="I122" i="8" s="1"/>
  <c r="K122" i="8" s="1"/>
  <c r="P122" i="8" s="1"/>
  <c r="H120" i="8"/>
  <c r="I120" i="8" s="1"/>
  <c r="K120" i="8" s="1"/>
  <c r="P120" i="8" s="1"/>
  <c r="H118" i="8"/>
  <c r="I118" i="8" s="1"/>
  <c r="K118" i="8" s="1"/>
  <c r="P118" i="8" s="1"/>
  <c r="H115" i="8"/>
  <c r="I115" i="8" s="1"/>
  <c r="K115" i="8" s="1"/>
  <c r="P115" i="8" s="1"/>
  <c r="H114" i="8"/>
  <c r="I114" i="8" s="1"/>
  <c r="K114" i="8" s="1"/>
  <c r="P114" i="8" s="1"/>
  <c r="H111" i="8"/>
  <c r="I111" i="8" s="1"/>
  <c r="K111" i="8" s="1"/>
  <c r="P111" i="8" s="1"/>
  <c r="H110" i="8"/>
  <c r="I110" i="8" s="1"/>
  <c r="K110" i="8" s="1"/>
  <c r="P110" i="8" s="1"/>
  <c r="H104" i="8"/>
  <c r="I104" i="8" s="1"/>
  <c r="K104" i="8" s="1"/>
  <c r="P104" i="8" s="1"/>
  <c r="H102" i="8"/>
  <c r="I102" i="8" s="1"/>
  <c r="K102" i="8" s="1"/>
  <c r="P102" i="8" s="1"/>
  <c r="K69" i="6"/>
  <c r="J70" i="6" s="1"/>
  <c r="L69" i="6"/>
  <c r="T9" i="5"/>
  <c r="T16" i="5"/>
  <c r="T22" i="5"/>
  <c r="T12" i="7" l="1"/>
  <c r="R6" i="7"/>
  <c r="T6" i="7"/>
  <c r="T7" i="7"/>
  <c r="S5" i="7"/>
  <c r="U9" i="7"/>
  <c r="S6" i="7"/>
  <c r="U6" i="7"/>
  <c r="V6" i="7"/>
  <c r="W6" i="7"/>
  <c r="N122" i="6"/>
  <c r="B123" i="6"/>
  <c r="V154" i="8"/>
  <c r="Z154" i="8"/>
  <c r="V153" i="8"/>
  <c r="Z153" i="8"/>
  <c r="V149" i="8"/>
  <c r="Z149" i="8"/>
  <c r="V148" i="8"/>
  <c r="Z148" i="8"/>
  <c r="V145" i="8"/>
  <c r="Z145" i="8"/>
  <c r="V144" i="8"/>
  <c r="Z144" i="8"/>
  <c r="V140" i="8"/>
  <c r="Z140" i="8"/>
  <c r="V139" i="8"/>
  <c r="Z139" i="8"/>
  <c r="V138" i="8"/>
  <c r="Z138" i="8"/>
  <c r="V135" i="8"/>
  <c r="Z135" i="8"/>
  <c r="V134" i="8"/>
  <c r="Z134" i="8"/>
  <c r="V133" i="8"/>
  <c r="Z133" i="8"/>
  <c r="V132" i="8"/>
  <c r="Z132" i="8"/>
  <c r="V131" i="8"/>
  <c r="Z131" i="8"/>
  <c r="V130" i="8"/>
  <c r="Z130" i="8"/>
  <c r="V129" i="8"/>
  <c r="Z129" i="8"/>
  <c r="V128" i="8"/>
  <c r="Z128" i="8"/>
  <c r="V127" i="8"/>
  <c r="Z127" i="8"/>
  <c r="V126" i="8"/>
  <c r="Z126" i="8"/>
  <c r="V125" i="8"/>
  <c r="Z125" i="8"/>
  <c r="V124" i="8"/>
  <c r="Z124" i="8"/>
  <c r="V123" i="8"/>
  <c r="Z123" i="8"/>
  <c r="V121" i="8"/>
  <c r="Z121" i="8"/>
  <c r="V119" i="8"/>
  <c r="Z119" i="8"/>
  <c r="V117" i="8"/>
  <c r="Z117" i="8"/>
  <c r="V116" i="8"/>
  <c r="Z116" i="8"/>
  <c r="V113" i="8"/>
  <c r="Z113" i="8"/>
  <c r="V112" i="8"/>
  <c r="Z112" i="8"/>
  <c r="V109" i="8"/>
  <c r="Z109" i="8"/>
  <c r="V108" i="8"/>
  <c r="Z108" i="8"/>
  <c r="V107" i="8"/>
  <c r="Z107" i="8"/>
  <c r="V106" i="8"/>
  <c r="Z106" i="8"/>
  <c r="V105" i="8"/>
  <c r="Z105" i="8"/>
  <c r="V103" i="8"/>
  <c r="Z103" i="8"/>
  <c r="V101" i="8"/>
  <c r="Z101" i="8"/>
  <c r="V100" i="8"/>
  <c r="Z100" i="8"/>
  <c r="V99" i="8"/>
  <c r="Z99" i="8"/>
  <c r="V98" i="8"/>
  <c r="Z98" i="8"/>
  <c r="V97" i="8"/>
  <c r="Z97" i="8"/>
  <c r="V96" i="8"/>
  <c r="Z96" i="8"/>
  <c r="V95" i="8"/>
  <c r="Z95" i="8"/>
  <c r="V94" i="8"/>
  <c r="Z94" i="8"/>
  <c r="V93" i="8"/>
  <c r="Z93" i="8"/>
  <c r="V92" i="8"/>
  <c r="Z92" i="8"/>
  <c r="V91" i="8"/>
  <c r="Z91" i="8"/>
  <c r="V90" i="8"/>
  <c r="Z90" i="8"/>
  <c r="V89" i="8"/>
  <c r="Z89" i="8"/>
  <c r="V88" i="8"/>
  <c r="Z88" i="8"/>
  <c r="V87" i="8"/>
  <c r="Z87" i="8"/>
  <c r="V86" i="8"/>
  <c r="Z86" i="8"/>
  <c r="V85" i="8"/>
  <c r="Z85" i="8"/>
  <c r="V84" i="8"/>
  <c r="Z84" i="8"/>
  <c r="V83" i="8"/>
  <c r="Z83" i="8"/>
  <c r="V82" i="8"/>
  <c r="Z82" i="8"/>
  <c r="V81" i="8"/>
  <c r="Z81" i="8"/>
  <c r="V80" i="8"/>
  <c r="Z80" i="8"/>
  <c r="V79" i="8"/>
  <c r="Z79" i="8"/>
  <c r="V78" i="8"/>
  <c r="Z78" i="8"/>
  <c r="V77" i="8"/>
  <c r="Z77" i="8"/>
  <c r="V76" i="8"/>
  <c r="Z76" i="8"/>
  <c r="V75" i="8"/>
  <c r="Z75" i="8"/>
  <c r="V74" i="8"/>
  <c r="Z74" i="8"/>
  <c r="V73" i="8"/>
  <c r="Z73" i="8"/>
  <c r="V72" i="8"/>
  <c r="Z72" i="8"/>
  <c r="V71" i="8"/>
  <c r="Z71" i="8"/>
  <c r="V70" i="8"/>
  <c r="Z70" i="8"/>
  <c r="V69" i="8"/>
  <c r="Z69" i="8"/>
  <c r="V68" i="8"/>
  <c r="Z68" i="8"/>
  <c r="V67" i="8"/>
  <c r="Z67" i="8"/>
  <c r="V66" i="8"/>
  <c r="Z66" i="8"/>
  <c r="V65" i="8"/>
  <c r="Z65" i="8"/>
  <c r="V64" i="8"/>
  <c r="Z64" i="8"/>
  <c r="V63" i="8"/>
  <c r="Z63" i="8"/>
  <c r="V62" i="8"/>
  <c r="Z62" i="8"/>
  <c r="V61" i="8"/>
  <c r="Z61" i="8"/>
  <c r="V60" i="8"/>
  <c r="Z60" i="8"/>
  <c r="V59" i="8"/>
  <c r="Z59" i="8"/>
  <c r="V58" i="8"/>
  <c r="Z58" i="8"/>
  <c r="V57" i="8"/>
  <c r="Z57" i="8"/>
  <c r="V56" i="8"/>
  <c r="Z56" i="8"/>
  <c r="V55" i="8"/>
  <c r="Z55" i="8"/>
  <c r="V54" i="8"/>
  <c r="Z54" i="8"/>
  <c r="V53" i="8"/>
  <c r="Z53" i="8"/>
  <c r="V52" i="8"/>
  <c r="Z52" i="8"/>
  <c r="V51" i="8"/>
  <c r="Z51" i="8"/>
  <c r="V50" i="8"/>
  <c r="Z50" i="8"/>
  <c r="V49" i="8"/>
  <c r="Z49" i="8"/>
  <c r="V48" i="8"/>
  <c r="Z48" i="8"/>
  <c r="V47" i="8"/>
  <c r="Z47" i="8"/>
  <c r="V46" i="8"/>
  <c r="Z46" i="8"/>
  <c r="V45" i="8"/>
  <c r="Z45" i="8"/>
  <c r="V44" i="8"/>
  <c r="Z44" i="8"/>
  <c r="V43" i="8"/>
  <c r="Z43" i="8"/>
  <c r="V42" i="8"/>
  <c r="Z42" i="8"/>
  <c r="V41" i="8"/>
  <c r="Z41" i="8"/>
  <c r="V40" i="8"/>
  <c r="Z40" i="8"/>
  <c r="V39" i="8"/>
  <c r="Z39" i="8"/>
  <c r="V38" i="8"/>
  <c r="Z38" i="8"/>
  <c r="V37" i="8"/>
  <c r="Z37" i="8"/>
  <c r="V36" i="8"/>
  <c r="Z36" i="8"/>
  <c r="V35" i="8"/>
  <c r="Z35" i="8"/>
  <c r="V34" i="8"/>
  <c r="Z34" i="8"/>
  <c r="V33" i="8"/>
  <c r="Z33" i="8"/>
  <c r="V32" i="8"/>
  <c r="Z32" i="8"/>
  <c r="V31" i="8"/>
  <c r="Z31" i="8"/>
  <c r="V30" i="8"/>
  <c r="Z30" i="8"/>
  <c r="V29" i="8"/>
  <c r="Z29" i="8"/>
  <c r="V28" i="8"/>
  <c r="Z28" i="8"/>
  <c r="V27" i="8"/>
  <c r="Z27" i="8"/>
  <c r="V26" i="8"/>
  <c r="Z26" i="8"/>
  <c r="V25" i="8"/>
  <c r="Z25" i="8"/>
  <c r="V24" i="8"/>
  <c r="Z24" i="8"/>
  <c r="V23" i="8"/>
  <c r="Z23" i="8"/>
  <c r="V22" i="8"/>
  <c r="Z22" i="8"/>
  <c r="V21" i="8"/>
  <c r="Z21" i="8"/>
  <c r="V20" i="8"/>
  <c r="Z20" i="8"/>
  <c r="V19" i="8"/>
  <c r="Z19" i="8"/>
  <c r="V18" i="8"/>
  <c r="Z18" i="8"/>
  <c r="V17" i="8"/>
  <c r="Z17" i="8"/>
  <c r="V16" i="8"/>
  <c r="Z16" i="8"/>
  <c r="V15" i="8"/>
  <c r="Z15" i="8"/>
  <c r="V14" i="8"/>
  <c r="Z14" i="8"/>
  <c r="V13" i="8"/>
  <c r="Z13" i="8"/>
  <c r="V12" i="8"/>
  <c r="Z12" i="8"/>
  <c r="V11" i="8"/>
  <c r="Z11" i="8"/>
  <c r="V10" i="8"/>
  <c r="Z10" i="8"/>
  <c r="V9" i="8"/>
  <c r="Z9" i="8"/>
  <c r="V8" i="8"/>
  <c r="Z8" i="8"/>
  <c r="V7" i="8"/>
  <c r="Z7" i="8"/>
  <c r="V6" i="8"/>
  <c r="Z6" i="8"/>
  <c r="P5" i="8"/>
  <c r="C26" i="3"/>
  <c r="D13" i="3"/>
  <c r="Q152" i="8"/>
  <c r="U152" i="8"/>
  <c r="Q151" i="8"/>
  <c r="U151" i="8"/>
  <c r="Q150" i="8"/>
  <c r="U150" i="8"/>
  <c r="Q147" i="8"/>
  <c r="U147" i="8"/>
  <c r="Q146" i="8"/>
  <c r="U146" i="8"/>
  <c r="Q143" i="8"/>
  <c r="U143" i="8"/>
  <c r="Q142" i="8"/>
  <c r="U142" i="8"/>
  <c r="Q141" i="8"/>
  <c r="U141" i="8"/>
  <c r="Q137" i="8"/>
  <c r="U137" i="8"/>
  <c r="Q136" i="8"/>
  <c r="U136" i="8"/>
  <c r="Q122" i="8"/>
  <c r="U122" i="8"/>
  <c r="Q120" i="8"/>
  <c r="U120" i="8"/>
  <c r="Q118" i="8"/>
  <c r="U118" i="8"/>
  <c r="Q115" i="8"/>
  <c r="U115" i="8"/>
  <c r="Q114" i="8"/>
  <c r="U114" i="8"/>
  <c r="Q111" i="8"/>
  <c r="U111" i="8"/>
  <c r="Q110" i="8"/>
  <c r="U110" i="8"/>
  <c r="Q104" i="8"/>
  <c r="U104" i="8"/>
  <c r="Q102" i="8"/>
  <c r="U102" i="8"/>
  <c r="K70" i="6"/>
  <c r="J71" i="6" s="1"/>
  <c r="L70" i="6"/>
  <c r="U13" i="7"/>
  <c r="T9" i="7"/>
  <c r="R7" i="7"/>
  <c r="S8" i="7"/>
  <c r="U8" i="7"/>
  <c r="S13" i="7"/>
  <c r="R9" i="7"/>
  <c r="R13" i="7"/>
  <c r="C13" i="3"/>
  <c r="T8" i="7"/>
  <c r="R12" i="7"/>
  <c r="R10" i="7"/>
  <c r="R5" i="7"/>
  <c r="T11" i="7"/>
  <c r="U10" i="7"/>
  <c r="S9" i="7"/>
  <c r="S7" i="7"/>
  <c r="T5" i="7"/>
  <c r="T13" i="7"/>
  <c r="S11" i="7"/>
  <c r="D95" i="8" l="1"/>
  <c r="J95" i="8" s="1"/>
  <c r="D88" i="8"/>
  <c r="J88" i="8" s="1"/>
  <c r="C8" i="6"/>
  <c r="D86" i="8"/>
  <c r="J86" i="8" s="1"/>
  <c r="D87" i="8"/>
  <c r="J87" i="8" s="1"/>
  <c r="D15" i="8"/>
  <c r="J15" i="8" s="1"/>
  <c r="D40" i="8"/>
  <c r="J40" i="8" s="1"/>
  <c r="D45" i="8"/>
  <c r="J45" i="8" s="1"/>
  <c r="D46" i="8"/>
  <c r="J46" i="8" s="1"/>
  <c r="D57" i="8"/>
  <c r="J57" i="8" s="1"/>
  <c r="D6" i="8"/>
  <c r="J6" i="8" s="1"/>
  <c r="D11" i="8"/>
  <c r="J11" i="8" s="1"/>
  <c r="D13" i="8"/>
  <c r="J13" i="8" s="1"/>
  <c r="D18" i="8"/>
  <c r="J18" i="8" s="1"/>
  <c r="D35" i="8"/>
  <c r="J35" i="8" s="1"/>
  <c r="D39" i="8"/>
  <c r="J39" i="8" s="1"/>
  <c r="D60" i="8"/>
  <c r="J60" i="8" s="1"/>
  <c r="D67" i="8"/>
  <c r="J67" i="8" s="1"/>
  <c r="D9" i="8"/>
  <c r="J9" i="8" s="1"/>
  <c r="D69" i="8"/>
  <c r="J69" i="8" s="1"/>
  <c r="D71" i="8"/>
  <c r="J71" i="8" s="1"/>
  <c r="D72" i="8"/>
  <c r="J72" i="8" s="1"/>
  <c r="D76" i="8"/>
  <c r="J76" i="8" s="1"/>
  <c r="D77" i="8"/>
  <c r="J77" i="8" s="1"/>
  <c r="D82" i="8"/>
  <c r="J82" i="8" s="1"/>
  <c r="D83" i="8"/>
  <c r="J83" i="8" s="1"/>
  <c r="N123" i="6"/>
  <c r="B124" i="6"/>
  <c r="Q5" i="8"/>
  <c r="U5" i="8"/>
  <c r="E18" i="3" s="1"/>
  <c r="F18" i="3" s="1"/>
  <c r="V152" i="8"/>
  <c r="Z152" i="8"/>
  <c r="V151" i="8"/>
  <c r="Z151" i="8"/>
  <c r="V150" i="8"/>
  <c r="Z150" i="8"/>
  <c r="V147" i="8"/>
  <c r="Z147" i="8"/>
  <c r="V146" i="8"/>
  <c r="Z146" i="8"/>
  <c r="V143" i="8"/>
  <c r="Z143" i="8"/>
  <c r="V142" i="8"/>
  <c r="Z142" i="8"/>
  <c r="E12" i="3"/>
  <c r="F12" i="3" s="1"/>
  <c r="V141" i="8"/>
  <c r="Z141" i="8"/>
  <c r="V137" i="8"/>
  <c r="Z137" i="8"/>
  <c r="V136" i="8"/>
  <c r="Z136" i="8"/>
  <c r="V122" i="8"/>
  <c r="Z122" i="8"/>
  <c r="V120" i="8"/>
  <c r="Z120" i="8"/>
  <c r="V118" i="8"/>
  <c r="Z118" i="8"/>
  <c r="V115" i="8"/>
  <c r="Z115" i="8"/>
  <c r="V114" i="8"/>
  <c r="Z114" i="8"/>
  <c r="E19" i="3"/>
  <c r="F19" i="3" s="1"/>
  <c r="V111" i="8"/>
  <c r="Z111" i="8"/>
  <c r="V110" i="8"/>
  <c r="Z110" i="8"/>
  <c r="V104" i="8"/>
  <c r="Z104" i="8"/>
  <c r="E11" i="3"/>
  <c r="F11" i="3" s="1"/>
  <c r="V102" i="8"/>
  <c r="Z102" i="8"/>
  <c r="L71" i="6"/>
  <c r="K71" i="6"/>
  <c r="J72" i="6" s="1"/>
  <c r="W7" i="7"/>
  <c r="V7" i="7"/>
  <c r="W8" i="7"/>
  <c r="V8" i="7"/>
  <c r="W9" i="7"/>
  <c r="V9" i="7"/>
  <c r="V13" i="7"/>
  <c r="W13" i="7"/>
  <c r="V12" i="7"/>
  <c r="W12" i="7"/>
  <c r="W10" i="7"/>
  <c r="V10" i="7"/>
  <c r="W5" i="7"/>
  <c r="V5" i="7"/>
  <c r="W11" i="7"/>
  <c r="V11" i="7"/>
  <c r="D48" i="8" l="1"/>
  <c r="J48" i="8" s="1"/>
  <c r="D50" i="8"/>
  <c r="J50" i="8" s="1"/>
  <c r="D56" i="8"/>
  <c r="J56" i="8" s="1"/>
  <c r="D19" i="8"/>
  <c r="J19" i="8" s="1"/>
  <c r="L95" i="8"/>
  <c r="X95" i="8"/>
  <c r="L88" i="8"/>
  <c r="X88" i="8"/>
  <c r="L86" i="8"/>
  <c r="X86" i="8"/>
  <c r="L87" i="8"/>
  <c r="X87" i="8"/>
  <c r="D93" i="8"/>
  <c r="J93" i="8" s="1"/>
  <c r="D97" i="8"/>
  <c r="J97" i="8" s="1"/>
  <c r="L15" i="8"/>
  <c r="X15" i="8"/>
  <c r="L40" i="8"/>
  <c r="X40" i="8"/>
  <c r="L45" i="8"/>
  <c r="X45" i="8"/>
  <c r="L46" i="8"/>
  <c r="X46" i="8"/>
  <c r="L57" i="8"/>
  <c r="X57" i="8"/>
  <c r="L6" i="8"/>
  <c r="X6" i="8"/>
  <c r="L11" i="8"/>
  <c r="X11" i="8"/>
  <c r="L13" i="8"/>
  <c r="X13" i="8"/>
  <c r="L18" i="8"/>
  <c r="X18" i="8"/>
  <c r="L35" i="8"/>
  <c r="X35" i="8"/>
  <c r="L39" i="8"/>
  <c r="X39" i="8"/>
  <c r="L60" i="8"/>
  <c r="X60" i="8"/>
  <c r="L67" i="8"/>
  <c r="X67" i="8"/>
  <c r="L9" i="8"/>
  <c r="X9" i="8"/>
  <c r="L69" i="8"/>
  <c r="X69" i="8"/>
  <c r="L71" i="8"/>
  <c r="X71" i="8"/>
  <c r="L72" i="8"/>
  <c r="X72" i="8"/>
  <c r="L76" i="8"/>
  <c r="X76" i="8"/>
  <c r="L77" i="8"/>
  <c r="X77" i="8"/>
  <c r="L82" i="8"/>
  <c r="X82" i="8"/>
  <c r="L83" i="8"/>
  <c r="X83" i="8"/>
  <c r="N124" i="6"/>
  <c r="B125" i="6"/>
  <c r="E17" i="3"/>
  <c r="F17" i="3" s="1"/>
  <c r="E10" i="3"/>
  <c r="V5" i="8"/>
  <c r="D5" i="3" s="1"/>
  <c r="Z5" i="8"/>
  <c r="C23" i="3" s="1"/>
  <c r="C25" i="3" s="1"/>
  <c r="E5" i="3"/>
  <c r="C5" i="3"/>
  <c r="L72" i="6"/>
  <c r="K72" i="6"/>
  <c r="J73" i="6"/>
  <c r="D99" i="8"/>
  <c r="J99" i="8" s="1"/>
  <c r="D98" i="8"/>
  <c r="J98" i="8" s="1"/>
  <c r="D96" i="8"/>
  <c r="J96" i="8" s="1"/>
  <c r="D94" i="8"/>
  <c r="J94" i="8" s="1"/>
  <c r="D91" i="8"/>
  <c r="J91" i="8" s="1"/>
  <c r="D79" i="8"/>
  <c r="J79" i="8" s="1"/>
  <c r="D78" i="8"/>
  <c r="J78" i="8" s="1"/>
  <c r="D70" i="8"/>
  <c r="J70" i="8" s="1"/>
  <c r="D68" i="8"/>
  <c r="J68" i="8" s="1"/>
  <c r="D62" i="8"/>
  <c r="J62" i="8" s="1"/>
  <c r="D41" i="8"/>
  <c r="J41" i="8" s="1"/>
  <c r="D36" i="8"/>
  <c r="J36" i="8" s="1"/>
  <c r="D23" i="8"/>
  <c r="J23" i="8" s="1"/>
  <c r="D58" i="8"/>
  <c r="J58" i="8" s="1"/>
  <c r="D47" i="8"/>
  <c r="J47" i="8" s="1"/>
  <c r="D38" i="8"/>
  <c r="J38" i="8" s="1"/>
  <c r="D27" i="8"/>
  <c r="J27" i="8" s="1"/>
  <c r="D24" i="8"/>
  <c r="J24" i="8" s="1"/>
  <c r="D17" i="8"/>
  <c r="J17" i="8" s="1"/>
  <c r="D12" i="8"/>
  <c r="J12" i="8" s="1"/>
  <c r="D52" i="8"/>
  <c r="J52" i="8" s="1"/>
  <c r="D49" i="8"/>
  <c r="J49" i="8" s="1"/>
  <c r="D44" i="8"/>
  <c r="J44" i="8" s="1"/>
  <c r="D37" i="8"/>
  <c r="J37" i="8" s="1"/>
  <c r="D32" i="8"/>
  <c r="J32" i="8" s="1"/>
  <c r="D31" i="8"/>
  <c r="J31" i="8" s="1"/>
  <c r="D22" i="8"/>
  <c r="J22" i="8" s="1"/>
  <c r="D10" i="8"/>
  <c r="J10" i="8" s="1"/>
  <c r="D109" i="8"/>
  <c r="J109" i="8" s="1"/>
  <c r="D103" i="8"/>
  <c r="J103" i="8" s="1"/>
  <c r="D138" i="8"/>
  <c r="J138" i="8" s="1"/>
  <c r="D126" i="8"/>
  <c r="J126" i="8" s="1"/>
  <c r="D128" i="8"/>
  <c r="J128" i="8" s="1"/>
  <c r="D133" i="8"/>
  <c r="J133" i="8" s="1"/>
  <c r="D110" i="8"/>
  <c r="J110" i="8" s="1"/>
  <c r="D114" i="8"/>
  <c r="J114" i="8" s="1"/>
  <c r="D104" i="8"/>
  <c r="J104" i="8" s="1"/>
  <c r="D115" i="8"/>
  <c r="J115" i="8" s="1"/>
  <c r="D108" i="8"/>
  <c r="J108" i="8" s="1"/>
  <c r="D107" i="8"/>
  <c r="J107" i="8" s="1"/>
  <c r="D106" i="8"/>
  <c r="J106" i="8" s="1"/>
  <c r="D105" i="8"/>
  <c r="J105" i="8" s="1"/>
  <c r="D101" i="8"/>
  <c r="J101" i="8" s="1"/>
  <c r="D132" i="8"/>
  <c r="J132" i="8" s="1"/>
  <c r="D113" i="8"/>
  <c r="J113" i="8" s="1"/>
  <c r="D131" i="8"/>
  <c r="J131" i="8" s="1"/>
  <c r="D130" i="8"/>
  <c r="J130" i="8" s="1"/>
  <c r="D129" i="8"/>
  <c r="J129" i="8" s="1"/>
  <c r="D124" i="8"/>
  <c r="J124" i="8" s="1"/>
  <c r="D121" i="8"/>
  <c r="J121" i="8" s="1"/>
  <c r="D137" i="8"/>
  <c r="J137" i="8" s="1"/>
  <c r="D102" i="8"/>
  <c r="J102" i="8" s="1"/>
  <c r="D120" i="8"/>
  <c r="J120" i="8" s="1"/>
  <c r="D122" i="8"/>
  <c r="J122" i="8" s="1"/>
  <c r="D136" i="8"/>
  <c r="J136" i="8" s="1"/>
  <c r="D146" i="8"/>
  <c r="J146" i="8" s="1"/>
  <c r="D147" i="8"/>
  <c r="J147" i="8" s="1"/>
  <c r="D152" i="8"/>
  <c r="J152" i="8" s="1"/>
  <c r="D153" i="8"/>
  <c r="J153" i="8" s="1"/>
  <c r="D149" i="8"/>
  <c r="J149" i="8" s="1"/>
  <c r="D148" i="8"/>
  <c r="J148" i="8" s="1"/>
  <c r="D154" i="8"/>
  <c r="J154" i="8" s="1"/>
  <c r="D140" i="8"/>
  <c r="J140" i="8" s="1"/>
  <c r="D139" i="8"/>
  <c r="J139" i="8" s="1"/>
  <c r="D143" i="8"/>
  <c r="J143" i="8" s="1"/>
  <c r="D151" i="8"/>
  <c r="J151" i="8" s="1"/>
  <c r="D112" i="8"/>
  <c r="J112" i="8" s="1"/>
  <c r="D100" i="8"/>
  <c r="J100" i="8" s="1"/>
  <c r="D134" i="8"/>
  <c r="J134" i="8" s="1"/>
  <c r="D125" i="8"/>
  <c r="J125" i="8" s="1"/>
  <c r="D123" i="8"/>
  <c r="J123" i="8" s="1"/>
  <c r="D119" i="8"/>
  <c r="J119" i="8" s="1"/>
  <c r="D117" i="8"/>
  <c r="J117" i="8" s="1"/>
  <c r="D116" i="8"/>
  <c r="J116" i="8" s="1"/>
  <c r="D135" i="8"/>
  <c r="J135" i="8" s="1"/>
  <c r="D127" i="8"/>
  <c r="J127" i="8" s="1"/>
  <c r="D111" i="8"/>
  <c r="J111" i="8" s="1"/>
  <c r="D118" i="8"/>
  <c r="J118" i="8" s="1"/>
  <c r="D92" i="8"/>
  <c r="J92" i="8" s="1"/>
  <c r="D90" i="8"/>
  <c r="J90" i="8" s="1"/>
  <c r="D89" i="8"/>
  <c r="J89" i="8" s="1"/>
  <c r="D85" i="8"/>
  <c r="J85" i="8" s="1"/>
  <c r="D84" i="8"/>
  <c r="J84" i="8" s="1"/>
  <c r="D81" i="8"/>
  <c r="J81" i="8" s="1"/>
  <c r="D80" i="8"/>
  <c r="J80" i="8" s="1"/>
  <c r="D75" i="8"/>
  <c r="J75" i="8" s="1"/>
  <c r="D74" i="8"/>
  <c r="J74" i="8" s="1"/>
  <c r="D73" i="8"/>
  <c r="J73" i="8" s="1"/>
  <c r="D61" i="8"/>
  <c r="J61" i="8" s="1"/>
  <c r="D59" i="8"/>
  <c r="J59" i="8" s="1"/>
  <c r="D42" i="8"/>
  <c r="J42" i="8" s="1"/>
  <c r="D16" i="8"/>
  <c r="J16" i="8" s="1"/>
  <c r="D14" i="8"/>
  <c r="J14" i="8" s="1"/>
  <c r="D66" i="8"/>
  <c r="J66" i="8" s="1"/>
  <c r="D65" i="8"/>
  <c r="J65" i="8" s="1"/>
  <c r="D64" i="8"/>
  <c r="J64" i="8" s="1"/>
  <c r="D63" i="8"/>
  <c r="J63" i="8" s="1"/>
  <c r="D34" i="8"/>
  <c r="J34" i="8" s="1"/>
  <c r="D33" i="8"/>
  <c r="J33" i="8" s="1"/>
  <c r="D28" i="8"/>
  <c r="J28" i="8" s="1"/>
  <c r="D55" i="8"/>
  <c r="J55" i="8" s="1"/>
  <c r="D54" i="8"/>
  <c r="J54" i="8" s="1"/>
  <c r="D53" i="8"/>
  <c r="J53" i="8" s="1"/>
  <c r="D51" i="8"/>
  <c r="J51" i="8" s="1"/>
  <c r="D43" i="8"/>
  <c r="J43" i="8" s="1"/>
  <c r="D30" i="8"/>
  <c r="J30" i="8" s="1"/>
  <c r="D29" i="8"/>
  <c r="J29" i="8" s="1"/>
  <c r="D26" i="8"/>
  <c r="J26" i="8" s="1"/>
  <c r="D25" i="8"/>
  <c r="J25" i="8" s="1"/>
  <c r="D21" i="8"/>
  <c r="J21" i="8" s="1"/>
  <c r="D20" i="8"/>
  <c r="J20" i="8" s="1"/>
  <c r="D8" i="8"/>
  <c r="J8" i="8" s="1"/>
  <c r="D7" i="8"/>
  <c r="J7" i="8" s="1"/>
  <c r="D5" i="8"/>
  <c r="J5" i="8" s="1"/>
  <c r="D145" i="8"/>
  <c r="J145" i="8" s="1"/>
  <c r="D144" i="8"/>
  <c r="J144" i="8" s="1"/>
  <c r="D141" i="8"/>
  <c r="J141" i="8" s="1"/>
  <c r="D150" i="8"/>
  <c r="J150" i="8" s="1"/>
  <c r="D142" i="8"/>
  <c r="J142" i="8" s="1"/>
  <c r="L48" i="8" l="1"/>
  <c r="X48" i="8"/>
  <c r="L50" i="8"/>
  <c r="X50" i="8"/>
  <c r="L56" i="8"/>
  <c r="X56" i="8"/>
  <c r="L19" i="8"/>
  <c r="X19" i="8"/>
  <c r="O88" i="8"/>
  <c r="W88" i="8" s="1"/>
  <c r="AB88" i="8"/>
  <c r="AC88" i="8" s="1"/>
  <c r="AB86" i="8"/>
  <c r="AC86" i="8" s="1"/>
  <c r="O86" i="8"/>
  <c r="W86" i="8" s="1"/>
  <c r="Y86" i="8" s="1"/>
  <c r="AB87" i="8"/>
  <c r="AC87" i="8" s="1"/>
  <c r="O87" i="8"/>
  <c r="W87" i="8" s="1"/>
  <c r="Y87" i="8" s="1"/>
  <c r="X93" i="8"/>
  <c r="L93" i="8"/>
  <c r="X97" i="8"/>
  <c r="L97" i="8"/>
  <c r="AB95" i="8"/>
  <c r="AC95" i="8" s="1"/>
  <c r="O95" i="8"/>
  <c r="W95" i="8" s="1"/>
  <c r="Y95" i="8" s="1"/>
  <c r="AB15" i="8"/>
  <c r="AC15" i="8" s="1"/>
  <c r="O15" i="8"/>
  <c r="W15" i="8" s="1"/>
  <c r="Y15" i="8" s="1"/>
  <c r="AB40" i="8"/>
  <c r="AC40" i="8" s="1"/>
  <c r="O40" i="8"/>
  <c r="W40" i="8" s="1"/>
  <c r="Y40" i="8" s="1"/>
  <c r="AB45" i="8"/>
  <c r="AC45" i="8" s="1"/>
  <c r="O45" i="8"/>
  <c r="W45" i="8" s="1"/>
  <c r="Y45" i="8" s="1"/>
  <c r="AB46" i="8"/>
  <c r="AC46" i="8" s="1"/>
  <c r="O46" i="8"/>
  <c r="W46" i="8" s="1"/>
  <c r="Y46" i="8" s="1"/>
  <c r="AB48" i="8"/>
  <c r="AC48" i="8" s="1"/>
  <c r="O48" i="8"/>
  <c r="W48" i="8" s="1"/>
  <c r="Y48" i="8" s="1"/>
  <c r="W50" i="8"/>
  <c r="AB50" i="8"/>
  <c r="AC50" i="8" s="1"/>
  <c r="O50" i="8"/>
  <c r="O56" i="8"/>
  <c r="W56" i="8" s="1"/>
  <c r="Y56" i="8" s="1"/>
  <c r="AB56" i="8"/>
  <c r="AC56" i="8" s="1"/>
  <c r="AB57" i="8"/>
  <c r="AC57" i="8" s="1"/>
  <c r="O57" i="8"/>
  <c r="W57" i="8" s="1"/>
  <c r="Y57" i="8" s="1"/>
  <c r="O6" i="8"/>
  <c r="W6" i="8" s="1"/>
  <c r="Y6" i="8" s="1"/>
  <c r="AB6" i="8"/>
  <c r="AC6" i="8" s="1"/>
  <c r="AB11" i="8"/>
  <c r="AC11" i="8" s="1"/>
  <c r="O11" i="8"/>
  <c r="W11" i="8" s="1"/>
  <c r="Y11" i="8" s="1"/>
  <c r="O13" i="8"/>
  <c r="W13" i="8" s="1"/>
  <c r="Y13" i="8" s="1"/>
  <c r="AB13" i="8"/>
  <c r="AC13" i="8" s="1"/>
  <c r="AB18" i="8"/>
  <c r="AC18" i="8" s="1"/>
  <c r="O18" i="8"/>
  <c r="W18" i="8" s="1"/>
  <c r="Y18" i="8" s="1"/>
  <c r="AB19" i="8"/>
  <c r="AC19" i="8" s="1"/>
  <c r="O19" i="8"/>
  <c r="W19" i="8" s="1"/>
  <c r="Y19" i="8" s="1"/>
  <c r="O35" i="8"/>
  <c r="W35" i="8" s="1"/>
  <c r="Y35" i="8" s="1"/>
  <c r="AB35" i="8"/>
  <c r="AC35" i="8" s="1"/>
  <c r="O39" i="8"/>
  <c r="W39" i="8" s="1"/>
  <c r="Y39" i="8" s="1"/>
  <c r="AB39" i="8"/>
  <c r="AC39" i="8" s="1"/>
  <c r="AB60" i="8"/>
  <c r="AC60" i="8" s="1"/>
  <c r="O60" i="8"/>
  <c r="W60" i="8" s="1"/>
  <c r="Y60" i="8" s="1"/>
  <c r="AB67" i="8"/>
  <c r="AC67" i="8" s="1"/>
  <c r="O67" i="8"/>
  <c r="W67" i="8" s="1"/>
  <c r="Y67" i="8" s="1"/>
  <c r="AB9" i="8"/>
  <c r="AC9" i="8" s="1"/>
  <c r="O9" i="8"/>
  <c r="W9" i="8" s="1"/>
  <c r="Y9" i="8" s="1"/>
  <c r="AB69" i="8"/>
  <c r="AC69" i="8" s="1"/>
  <c r="O69" i="8"/>
  <c r="W69" i="8" s="1"/>
  <c r="Y69" i="8" s="1"/>
  <c r="AB71" i="8"/>
  <c r="AC71" i="8" s="1"/>
  <c r="O71" i="8"/>
  <c r="W71" i="8" s="1"/>
  <c r="Y71" i="8" s="1"/>
  <c r="AB72" i="8"/>
  <c r="AC72" i="8" s="1"/>
  <c r="O72" i="8"/>
  <c r="W72" i="8" s="1"/>
  <c r="Y72" i="8" s="1"/>
  <c r="AB76" i="8"/>
  <c r="AC76" i="8" s="1"/>
  <c r="O76" i="8"/>
  <c r="W76" i="8" s="1"/>
  <c r="Y76" i="8" s="1"/>
  <c r="AB77" i="8"/>
  <c r="AC77" i="8" s="1"/>
  <c r="O77" i="8"/>
  <c r="W77" i="8" s="1"/>
  <c r="Y77" i="8" s="1"/>
  <c r="AB82" i="8"/>
  <c r="AC82" i="8" s="1"/>
  <c r="O82" i="8"/>
  <c r="W82" i="8" s="1"/>
  <c r="Y82" i="8" s="1"/>
  <c r="AB83" i="8"/>
  <c r="AC83" i="8" s="1"/>
  <c r="O83" i="8"/>
  <c r="W83" i="8" s="1"/>
  <c r="Y83" i="8" s="1"/>
  <c r="N125" i="6"/>
  <c r="B126" i="6"/>
  <c r="F10" i="3"/>
  <c r="F13" i="3" s="1"/>
  <c r="E13" i="3"/>
  <c r="L73" i="6"/>
  <c r="K73" i="6"/>
  <c r="J74" i="6" s="1"/>
  <c r="L99" i="8"/>
  <c r="X99" i="8"/>
  <c r="L98" i="8"/>
  <c r="X98" i="8"/>
  <c r="L96" i="8"/>
  <c r="X96" i="8"/>
  <c r="L94" i="8"/>
  <c r="X94" i="8"/>
  <c r="L91" i="8"/>
  <c r="X91" i="8"/>
  <c r="L79" i="8"/>
  <c r="X79" i="8"/>
  <c r="L78" i="8"/>
  <c r="X78" i="8"/>
  <c r="L70" i="8"/>
  <c r="X70" i="8"/>
  <c r="L68" i="8"/>
  <c r="X68" i="8"/>
  <c r="L62" i="8"/>
  <c r="X62" i="8"/>
  <c r="L41" i="8"/>
  <c r="X41" i="8"/>
  <c r="L36" i="8"/>
  <c r="X36" i="8"/>
  <c r="L23" i="8"/>
  <c r="X23" i="8"/>
  <c r="L58" i="8"/>
  <c r="X58" i="8"/>
  <c r="L47" i="8"/>
  <c r="X47" i="8"/>
  <c r="L38" i="8"/>
  <c r="X38" i="8"/>
  <c r="L27" i="8"/>
  <c r="X27" i="8"/>
  <c r="L24" i="8"/>
  <c r="X24" i="8"/>
  <c r="L17" i="8"/>
  <c r="X17" i="8"/>
  <c r="L12" i="8"/>
  <c r="X12" i="8"/>
  <c r="L52" i="8"/>
  <c r="X52" i="8"/>
  <c r="L49" i="8"/>
  <c r="X49" i="8"/>
  <c r="L44" i="8"/>
  <c r="X44" i="8"/>
  <c r="L37" i="8"/>
  <c r="X37" i="8"/>
  <c r="L32" i="8"/>
  <c r="X32" i="8"/>
  <c r="L31" i="8"/>
  <c r="X31" i="8"/>
  <c r="L22" i="8"/>
  <c r="X22" i="8"/>
  <c r="L10" i="8"/>
  <c r="X10" i="8"/>
  <c r="L109" i="8"/>
  <c r="X109" i="8"/>
  <c r="L103" i="8"/>
  <c r="X103" i="8"/>
  <c r="L138" i="8"/>
  <c r="X138" i="8"/>
  <c r="L126" i="8"/>
  <c r="X126" i="8"/>
  <c r="L128" i="8"/>
  <c r="X128" i="8"/>
  <c r="L133" i="8"/>
  <c r="X133" i="8"/>
  <c r="L110" i="8"/>
  <c r="X110" i="8"/>
  <c r="L114" i="8"/>
  <c r="X114" i="8"/>
  <c r="L104" i="8"/>
  <c r="X104" i="8"/>
  <c r="L115" i="8"/>
  <c r="X115" i="8"/>
  <c r="L108" i="8"/>
  <c r="X108" i="8"/>
  <c r="L107" i="8"/>
  <c r="X107" i="8"/>
  <c r="L106" i="8"/>
  <c r="X106" i="8"/>
  <c r="L105" i="8"/>
  <c r="X105" i="8"/>
  <c r="L101" i="8"/>
  <c r="X101" i="8"/>
  <c r="L132" i="8"/>
  <c r="X132" i="8"/>
  <c r="L113" i="8"/>
  <c r="X113" i="8"/>
  <c r="L131" i="8"/>
  <c r="X131" i="8"/>
  <c r="L130" i="8"/>
  <c r="X130" i="8"/>
  <c r="L129" i="8"/>
  <c r="X129" i="8"/>
  <c r="L124" i="8"/>
  <c r="X124" i="8"/>
  <c r="L121" i="8"/>
  <c r="X121" i="8"/>
  <c r="L137" i="8"/>
  <c r="X137" i="8"/>
  <c r="L102" i="8"/>
  <c r="X102" i="8"/>
  <c r="L120" i="8"/>
  <c r="X120" i="8"/>
  <c r="L122" i="8"/>
  <c r="X122" i="8"/>
  <c r="L136" i="8"/>
  <c r="X136" i="8"/>
  <c r="L146" i="8"/>
  <c r="X146" i="8"/>
  <c r="L147" i="8"/>
  <c r="X147" i="8"/>
  <c r="L152" i="8"/>
  <c r="X152" i="8"/>
  <c r="X153" i="8"/>
  <c r="L153" i="8"/>
  <c r="L149" i="8"/>
  <c r="X149" i="8"/>
  <c r="L148" i="8"/>
  <c r="X148" i="8"/>
  <c r="L154" i="8"/>
  <c r="X154" i="8"/>
  <c r="L140" i="8"/>
  <c r="X140" i="8"/>
  <c r="L139" i="8"/>
  <c r="X139" i="8"/>
  <c r="L143" i="8"/>
  <c r="X143" i="8"/>
  <c r="L151" i="8"/>
  <c r="X151" i="8"/>
  <c r="L112" i="8"/>
  <c r="X112" i="8"/>
  <c r="L100" i="8"/>
  <c r="X100" i="8"/>
  <c r="L134" i="8"/>
  <c r="X134" i="8"/>
  <c r="L125" i="8"/>
  <c r="X125" i="8"/>
  <c r="L123" i="8"/>
  <c r="X123" i="8"/>
  <c r="L119" i="8"/>
  <c r="X119" i="8"/>
  <c r="L117" i="8"/>
  <c r="X117" i="8"/>
  <c r="L116" i="8"/>
  <c r="X116" i="8"/>
  <c r="L135" i="8"/>
  <c r="X135" i="8"/>
  <c r="L127" i="8"/>
  <c r="X127" i="8"/>
  <c r="L111" i="8"/>
  <c r="X111" i="8"/>
  <c r="L118" i="8"/>
  <c r="X118" i="8"/>
  <c r="L92" i="8"/>
  <c r="X92" i="8"/>
  <c r="L90" i="8"/>
  <c r="X90" i="8"/>
  <c r="L89" i="8"/>
  <c r="X89" i="8"/>
  <c r="L85" i="8"/>
  <c r="X85" i="8"/>
  <c r="L84" i="8"/>
  <c r="X84" i="8"/>
  <c r="L81" i="8"/>
  <c r="X81" i="8"/>
  <c r="L80" i="8"/>
  <c r="X80" i="8"/>
  <c r="L75" i="8"/>
  <c r="X75" i="8"/>
  <c r="L74" i="8"/>
  <c r="X74" i="8"/>
  <c r="L73" i="8"/>
  <c r="X73" i="8"/>
  <c r="L61" i="8"/>
  <c r="X61" i="8"/>
  <c r="L59" i="8"/>
  <c r="X59" i="8"/>
  <c r="L42" i="8"/>
  <c r="X42" i="8"/>
  <c r="L16" i="8"/>
  <c r="X16" i="8"/>
  <c r="L14" i="8"/>
  <c r="X14" i="8"/>
  <c r="L66" i="8"/>
  <c r="X66" i="8"/>
  <c r="L65" i="8"/>
  <c r="X65" i="8"/>
  <c r="L64" i="8"/>
  <c r="X64" i="8"/>
  <c r="L63" i="8"/>
  <c r="X63" i="8"/>
  <c r="L34" i="8"/>
  <c r="X34" i="8"/>
  <c r="L33" i="8"/>
  <c r="X33" i="8"/>
  <c r="L28" i="8"/>
  <c r="X28" i="8"/>
  <c r="L55" i="8"/>
  <c r="X55" i="8"/>
  <c r="L54" i="8"/>
  <c r="X54" i="8"/>
  <c r="L53" i="8"/>
  <c r="X53" i="8"/>
  <c r="L51" i="8"/>
  <c r="X51" i="8"/>
  <c r="L43" i="8"/>
  <c r="X43" i="8"/>
  <c r="L30" i="8"/>
  <c r="X30" i="8"/>
  <c r="L29" i="8"/>
  <c r="X29" i="8"/>
  <c r="L26" i="8"/>
  <c r="X26" i="8"/>
  <c r="L25" i="8"/>
  <c r="X25" i="8"/>
  <c r="L21" i="8"/>
  <c r="X21" i="8"/>
  <c r="L20" i="8"/>
  <c r="X20" i="8"/>
  <c r="L8" i="8"/>
  <c r="X8" i="8"/>
  <c r="L7" i="8"/>
  <c r="X7" i="8"/>
  <c r="L5" i="8"/>
  <c r="X5" i="8"/>
  <c r="L145" i="8"/>
  <c r="X145" i="8"/>
  <c r="L144" i="8"/>
  <c r="X144" i="8"/>
  <c r="L141" i="8"/>
  <c r="X141" i="8"/>
  <c r="L150" i="8"/>
  <c r="X150" i="8"/>
  <c r="L142" i="8"/>
  <c r="X142" i="8"/>
  <c r="Y88" i="8"/>
  <c r="O93" i="8" l="1"/>
  <c r="W93" i="8" s="1"/>
  <c r="Y93" i="8" s="1"/>
  <c r="AB93" i="8"/>
  <c r="AC93" i="8" s="1"/>
  <c r="O97" i="8"/>
  <c r="W97" i="8" s="1"/>
  <c r="Y97" i="8" s="1"/>
  <c r="AB97" i="8"/>
  <c r="AC97" i="8" s="1"/>
  <c r="Y50" i="8"/>
  <c r="N126" i="6"/>
  <c r="B127" i="6"/>
  <c r="L74" i="6"/>
  <c r="K74" i="6"/>
  <c r="J75" i="6"/>
  <c r="AB99" i="8"/>
  <c r="AC99" i="8" s="1"/>
  <c r="O99" i="8"/>
  <c r="W99" i="8" s="1"/>
  <c r="AB98" i="8"/>
  <c r="AC98" i="8" s="1"/>
  <c r="O98" i="8"/>
  <c r="W98" i="8" s="1"/>
  <c r="Y98" i="8" s="1"/>
  <c r="AB96" i="8"/>
  <c r="AC96" i="8" s="1"/>
  <c r="O96" i="8"/>
  <c r="W96" i="8" s="1"/>
  <c r="Y96" i="8" s="1"/>
  <c r="W94" i="8"/>
  <c r="AB94" i="8"/>
  <c r="AC94" i="8" s="1"/>
  <c r="O94" i="8"/>
  <c r="AB91" i="8"/>
  <c r="AC91" i="8" s="1"/>
  <c r="O91" i="8"/>
  <c r="W91" i="8" s="1"/>
  <c r="Y91" i="8" s="1"/>
  <c r="W79" i="8"/>
  <c r="AB79" i="8"/>
  <c r="AC79" i="8" s="1"/>
  <c r="O79" i="8"/>
  <c r="AB78" i="8"/>
  <c r="AC78" i="8" s="1"/>
  <c r="O78" i="8"/>
  <c r="W78" i="8" s="1"/>
  <c r="AB70" i="8"/>
  <c r="AC70" i="8" s="1"/>
  <c r="O70" i="8"/>
  <c r="W70" i="8" s="1"/>
  <c r="Y70" i="8" s="1"/>
  <c r="W68" i="8"/>
  <c r="AB68" i="8"/>
  <c r="AC68" i="8" s="1"/>
  <c r="O68" i="8"/>
  <c r="W62" i="8"/>
  <c r="AB62" i="8"/>
  <c r="AC62" i="8" s="1"/>
  <c r="O62" i="8"/>
  <c r="W41" i="8"/>
  <c r="AB41" i="8"/>
  <c r="AC41" i="8" s="1"/>
  <c r="O41" i="8"/>
  <c r="AB36" i="8"/>
  <c r="AC36" i="8" s="1"/>
  <c r="O36" i="8"/>
  <c r="W36" i="8" s="1"/>
  <c r="Y36" i="8" s="1"/>
  <c r="W23" i="8"/>
  <c r="AB23" i="8"/>
  <c r="AC23" i="8" s="1"/>
  <c r="O23" i="8"/>
  <c r="W58" i="8"/>
  <c r="AB58" i="8"/>
  <c r="AC58" i="8" s="1"/>
  <c r="O58" i="8"/>
  <c r="W47" i="8"/>
  <c r="AB47" i="8"/>
  <c r="AC47" i="8" s="1"/>
  <c r="O47" i="8"/>
  <c r="W38" i="8"/>
  <c r="AB38" i="8"/>
  <c r="AC38" i="8" s="1"/>
  <c r="O38" i="8"/>
  <c r="AB27" i="8"/>
  <c r="AC27" i="8" s="1"/>
  <c r="O27" i="8"/>
  <c r="W27" i="8" s="1"/>
  <c r="Y27" i="8" s="1"/>
  <c r="AB24" i="8"/>
  <c r="AC24" i="8" s="1"/>
  <c r="O24" i="8"/>
  <c r="W24" i="8" s="1"/>
  <c r="Y24" i="8" s="1"/>
  <c r="AB17" i="8"/>
  <c r="AC17" i="8" s="1"/>
  <c r="O17" i="8"/>
  <c r="W17" i="8" s="1"/>
  <c r="Y17" i="8" s="1"/>
  <c r="AB12" i="8"/>
  <c r="AC12" i="8" s="1"/>
  <c r="O12" i="8"/>
  <c r="W12" i="8" s="1"/>
  <c r="Y12" i="8" s="1"/>
  <c r="W52" i="8"/>
  <c r="AB52" i="8"/>
  <c r="AC52" i="8" s="1"/>
  <c r="O52" i="8"/>
  <c r="AB49" i="8"/>
  <c r="AC49" i="8" s="1"/>
  <c r="O49" i="8"/>
  <c r="W49" i="8" s="1"/>
  <c r="W44" i="8"/>
  <c r="AB44" i="8"/>
  <c r="AC44" i="8" s="1"/>
  <c r="O44" i="8"/>
  <c r="AB37" i="8"/>
  <c r="AC37" i="8" s="1"/>
  <c r="O37" i="8"/>
  <c r="W37" i="8" s="1"/>
  <c r="AB32" i="8"/>
  <c r="AC32" i="8" s="1"/>
  <c r="O32" i="8"/>
  <c r="W32" i="8" s="1"/>
  <c r="Y32" i="8" s="1"/>
  <c r="AB31" i="8"/>
  <c r="AC31" i="8" s="1"/>
  <c r="O31" i="8"/>
  <c r="W31" i="8" s="1"/>
  <c r="Y31" i="8" s="1"/>
  <c r="W22" i="8"/>
  <c r="AB22" i="8"/>
  <c r="AC22" i="8" s="1"/>
  <c r="O22" i="8"/>
  <c r="W10" i="8"/>
  <c r="AB10" i="8"/>
  <c r="AC10" i="8" s="1"/>
  <c r="O10" i="8"/>
  <c r="AB109" i="8"/>
  <c r="AC109" i="8" s="1"/>
  <c r="O109" i="8"/>
  <c r="W109" i="8" s="1"/>
  <c r="Y109" i="8" s="1"/>
  <c r="AB103" i="8"/>
  <c r="AC103" i="8" s="1"/>
  <c r="O103" i="8"/>
  <c r="W103" i="8" s="1"/>
  <c r="Y103" i="8" s="1"/>
  <c r="AB138" i="8"/>
  <c r="AC138" i="8" s="1"/>
  <c r="O138" i="8"/>
  <c r="W138" i="8" s="1"/>
  <c r="Y138" i="8" s="1"/>
  <c r="AB126" i="8"/>
  <c r="AC126" i="8" s="1"/>
  <c r="O126" i="8"/>
  <c r="W126" i="8" s="1"/>
  <c r="Y126" i="8" s="1"/>
  <c r="AB128" i="8"/>
  <c r="AC128" i="8" s="1"/>
  <c r="O128" i="8"/>
  <c r="W128" i="8" s="1"/>
  <c r="Y128" i="8" s="1"/>
  <c r="AB133" i="8"/>
  <c r="AC133" i="8" s="1"/>
  <c r="O133" i="8"/>
  <c r="W133" i="8" s="1"/>
  <c r="Y133" i="8" s="1"/>
  <c r="AB110" i="8"/>
  <c r="AC110" i="8" s="1"/>
  <c r="O110" i="8"/>
  <c r="W110" i="8" s="1"/>
  <c r="Y110" i="8" s="1"/>
  <c r="AB114" i="8"/>
  <c r="AC114" i="8" s="1"/>
  <c r="O114" i="8"/>
  <c r="W114" i="8" s="1"/>
  <c r="Y114" i="8" s="1"/>
  <c r="AB104" i="8"/>
  <c r="AC104" i="8" s="1"/>
  <c r="O104" i="8"/>
  <c r="W104" i="8" s="1"/>
  <c r="Y104" i="8" s="1"/>
  <c r="AB115" i="8"/>
  <c r="AC115" i="8" s="1"/>
  <c r="O115" i="8"/>
  <c r="W115" i="8" s="1"/>
  <c r="Y115" i="8" s="1"/>
  <c r="AB108" i="8"/>
  <c r="AC108" i="8" s="1"/>
  <c r="O108" i="8"/>
  <c r="W108" i="8" s="1"/>
  <c r="Y108" i="8" s="1"/>
  <c r="AB107" i="8"/>
  <c r="AC107" i="8" s="1"/>
  <c r="O107" i="8"/>
  <c r="W107" i="8" s="1"/>
  <c r="Y107" i="8" s="1"/>
  <c r="AB106" i="8"/>
  <c r="AC106" i="8" s="1"/>
  <c r="O106" i="8"/>
  <c r="W106" i="8" s="1"/>
  <c r="Y106" i="8" s="1"/>
  <c r="AB105" i="8"/>
  <c r="AC105" i="8" s="1"/>
  <c r="O105" i="8"/>
  <c r="W105" i="8" s="1"/>
  <c r="Y105" i="8" s="1"/>
  <c r="AB101" i="8"/>
  <c r="AC101" i="8" s="1"/>
  <c r="O101" i="8"/>
  <c r="W101" i="8" s="1"/>
  <c r="AB132" i="8"/>
  <c r="AC132" i="8" s="1"/>
  <c r="O132" i="8"/>
  <c r="W132" i="8" s="1"/>
  <c r="Y132" i="8" s="1"/>
  <c r="AB113" i="8"/>
  <c r="AC113" i="8" s="1"/>
  <c r="O113" i="8"/>
  <c r="W113" i="8" s="1"/>
  <c r="Y113" i="8" s="1"/>
  <c r="AB131" i="8"/>
  <c r="AC131" i="8" s="1"/>
  <c r="O131" i="8"/>
  <c r="W131" i="8" s="1"/>
  <c r="Y131" i="8" s="1"/>
  <c r="AB130" i="8"/>
  <c r="AC130" i="8" s="1"/>
  <c r="O130" i="8"/>
  <c r="W130" i="8" s="1"/>
  <c r="Y130" i="8" s="1"/>
  <c r="AB129" i="8"/>
  <c r="AC129" i="8" s="1"/>
  <c r="O129" i="8"/>
  <c r="W129" i="8" s="1"/>
  <c r="Y129" i="8" s="1"/>
  <c r="AB124" i="8"/>
  <c r="AC124" i="8" s="1"/>
  <c r="O124" i="8"/>
  <c r="W124" i="8" s="1"/>
  <c r="Y124" i="8" s="1"/>
  <c r="AB121" i="8"/>
  <c r="AC121" i="8" s="1"/>
  <c r="O121" i="8"/>
  <c r="W121" i="8" s="1"/>
  <c r="Y121" i="8" s="1"/>
  <c r="AB137" i="8"/>
  <c r="AC137" i="8" s="1"/>
  <c r="O137" i="8"/>
  <c r="W137" i="8" s="1"/>
  <c r="Y137" i="8" s="1"/>
  <c r="AB102" i="8"/>
  <c r="AC102" i="8" s="1"/>
  <c r="O102" i="8"/>
  <c r="W102" i="8" s="1"/>
  <c r="Y102" i="8" s="1"/>
  <c r="AB120" i="8"/>
  <c r="AC120" i="8" s="1"/>
  <c r="O120" i="8"/>
  <c r="W120" i="8" s="1"/>
  <c r="Y120" i="8" s="1"/>
  <c r="AB122" i="8"/>
  <c r="AC122" i="8" s="1"/>
  <c r="O122" i="8"/>
  <c r="W122" i="8" s="1"/>
  <c r="Y122" i="8" s="1"/>
  <c r="AB136" i="8"/>
  <c r="AC136" i="8" s="1"/>
  <c r="O136" i="8"/>
  <c r="W136" i="8" s="1"/>
  <c r="Y136" i="8" s="1"/>
  <c r="AB146" i="8"/>
  <c r="AC146" i="8" s="1"/>
  <c r="O146" i="8"/>
  <c r="W146" i="8" s="1"/>
  <c r="Y146" i="8" s="1"/>
  <c r="W147" i="8"/>
  <c r="AB147" i="8"/>
  <c r="AC147" i="8" s="1"/>
  <c r="O147" i="8"/>
  <c r="W152" i="8"/>
  <c r="AB152" i="8"/>
  <c r="AC152" i="8" s="1"/>
  <c r="O152" i="8"/>
  <c r="W153" i="8"/>
  <c r="AB153" i="8"/>
  <c r="AC153" i="8" s="1"/>
  <c r="O153" i="8"/>
  <c r="AB149" i="8"/>
  <c r="AC149" i="8" s="1"/>
  <c r="O149" i="8"/>
  <c r="W149" i="8" s="1"/>
  <c r="Y149" i="8" s="1"/>
  <c r="AB148" i="8"/>
  <c r="AC148" i="8" s="1"/>
  <c r="O148" i="8"/>
  <c r="W148" i="8" s="1"/>
  <c r="Y148" i="8" s="1"/>
  <c r="W154" i="8"/>
  <c r="AB154" i="8"/>
  <c r="AC154" i="8" s="1"/>
  <c r="O154" i="8"/>
  <c r="AB140" i="8"/>
  <c r="AC140" i="8" s="1"/>
  <c r="O140" i="8"/>
  <c r="W140" i="8" s="1"/>
  <c r="Y140" i="8" s="1"/>
  <c r="AB139" i="8"/>
  <c r="AC139" i="8" s="1"/>
  <c r="O139" i="8"/>
  <c r="W139" i="8" s="1"/>
  <c r="AB143" i="8"/>
  <c r="AC143" i="8" s="1"/>
  <c r="O143" i="8"/>
  <c r="W143" i="8" s="1"/>
  <c r="Y143" i="8" s="1"/>
  <c r="AB151" i="8"/>
  <c r="AC151" i="8" s="1"/>
  <c r="O151" i="8"/>
  <c r="W151" i="8" s="1"/>
  <c r="Y151" i="8" s="1"/>
  <c r="AB112" i="8"/>
  <c r="AC112" i="8" s="1"/>
  <c r="O112" i="8"/>
  <c r="W112" i="8" s="1"/>
  <c r="Y112" i="8" s="1"/>
  <c r="AB100" i="8"/>
  <c r="AC100" i="8" s="1"/>
  <c r="O100" i="8"/>
  <c r="W100" i="8" s="1"/>
  <c r="AB134" i="8"/>
  <c r="AC134" i="8" s="1"/>
  <c r="O134" i="8"/>
  <c r="W134" i="8" s="1"/>
  <c r="Y134" i="8" s="1"/>
  <c r="AB125" i="8"/>
  <c r="AC125" i="8" s="1"/>
  <c r="O125" i="8"/>
  <c r="W125" i="8" s="1"/>
  <c r="Y125" i="8" s="1"/>
  <c r="W123" i="8"/>
  <c r="AB123" i="8"/>
  <c r="AC123" i="8" s="1"/>
  <c r="O123" i="8"/>
  <c r="W119" i="8"/>
  <c r="AB119" i="8"/>
  <c r="AC119" i="8" s="1"/>
  <c r="O119" i="8"/>
  <c r="W117" i="8"/>
  <c r="AB117" i="8"/>
  <c r="AC117" i="8" s="1"/>
  <c r="O117" i="8"/>
  <c r="W116" i="8"/>
  <c r="AB116" i="8"/>
  <c r="AC116" i="8" s="1"/>
  <c r="O116" i="8"/>
  <c r="W135" i="8"/>
  <c r="AB135" i="8"/>
  <c r="AC135" i="8" s="1"/>
  <c r="O135" i="8"/>
  <c r="W127" i="8"/>
  <c r="AB127" i="8"/>
  <c r="AC127" i="8" s="1"/>
  <c r="O127" i="8"/>
  <c r="AB111" i="8"/>
  <c r="AC111" i="8" s="1"/>
  <c r="O111" i="8"/>
  <c r="W111" i="8" s="1"/>
  <c r="Y111" i="8" s="1"/>
  <c r="AB118" i="8"/>
  <c r="AC118" i="8" s="1"/>
  <c r="O118" i="8"/>
  <c r="W118" i="8" s="1"/>
  <c r="Y118" i="8" s="1"/>
  <c r="AB92" i="8"/>
  <c r="AC92" i="8" s="1"/>
  <c r="O92" i="8"/>
  <c r="W92" i="8" s="1"/>
  <c r="Y92" i="8" s="1"/>
  <c r="AB90" i="8"/>
  <c r="AC90" i="8" s="1"/>
  <c r="O90" i="8"/>
  <c r="W90" i="8" s="1"/>
  <c r="Y90" i="8" s="1"/>
  <c r="AB89" i="8"/>
  <c r="AC89" i="8" s="1"/>
  <c r="O89" i="8"/>
  <c r="W89" i="8" s="1"/>
  <c r="Y89" i="8" s="1"/>
  <c r="AB85" i="8"/>
  <c r="AC85" i="8" s="1"/>
  <c r="O85" i="8"/>
  <c r="W85" i="8" s="1"/>
  <c r="Y85" i="8" s="1"/>
  <c r="AB84" i="8"/>
  <c r="AC84" i="8" s="1"/>
  <c r="O84" i="8"/>
  <c r="W84" i="8" s="1"/>
  <c r="Y84" i="8" s="1"/>
  <c r="AB81" i="8"/>
  <c r="AC81" i="8" s="1"/>
  <c r="O81" i="8"/>
  <c r="W81" i="8" s="1"/>
  <c r="Y81" i="8" s="1"/>
  <c r="AB80" i="8"/>
  <c r="AC80" i="8" s="1"/>
  <c r="O80" i="8"/>
  <c r="W80" i="8" s="1"/>
  <c r="Y80" i="8" s="1"/>
  <c r="AB75" i="8"/>
  <c r="AC75" i="8" s="1"/>
  <c r="O75" i="8"/>
  <c r="W75" i="8" s="1"/>
  <c r="Y75" i="8" s="1"/>
  <c r="AB74" i="8"/>
  <c r="AC74" i="8" s="1"/>
  <c r="O74" i="8"/>
  <c r="W74" i="8" s="1"/>
  <c r="Y74" i="8" s="1"/>
  <c r="AB73" i="8"/>
  <c r="AC73" i="8" s="1"/>
  <c r="O73" i="8"/>
  <c r="W73" i="8" s="1"/>
  <c r="Y73" i="8" s="1"/>
  <c r="AB61" i="8"/>
  <c r="AC61" i="8" s="1"/>
  <c r="O61" i="8"/>
  <c r="W61" i="8" s="1"/>
  <c r="Y61" i="8" s="1"/>
  <c r="AB59" i="8"/>
  <c r="AC59" i="8" s="1"/>
  <c r="O59" i="8"/>
  <c r="W59" i="8" s="1"/>
  <c r="Y59" i="8" s="1"/>
  <c r="AB42" i="8"/>
  <c r="AC42" i="8" s="1"/>
  <c r="O42" i="8"/>
  <c r="W42" i="8" s="1"/>
  <c r="Y42" i="8" s="1"/>
  <c r="AB16" i="8"/>
  <c r="AC16" i="8" s="1"/>
  <c r="O16" i="8"/>
  <c r="W16" i="8" s="1"/>
  <c r="Y16" i="8" s="1"/>
  <c r="AB14" i="8"/>
  <c r="AC14" i="8" s="1"/>
  <c r="O14" i="8"/>
  <c r="W14" i="8" s="1"/>
  <c r="Y14" i="8" s="1"/>
  <c r="AB66" i="8"/>
  <c r="AC66" i="8" s="1"/>
  <c r="O66" i="8"/>
  <c r="W66" i="8" s="1"/>
  <c r="Y66" i="8" s="1"/>
  <c r="AB65" i="8"/>
  <c r="AC65" i="8" s="1"/>
  <c r="O65" i="8"/>
  <c r="W65" i="8" s="1"/>
  <c r="Y65" i="8" s="1"/>
  <c r="AB64" i="8"/>
  <c r="AC64" i="8" s="1"/>
  <c r="O64" i="8"/>
  <c r="W64" i="8" s="1"/>
  <c r="Y64" i="8" s="1"/>
  <c r="AB63" i="8"/>
  <c r="AC63" i="8" s="1"/>
  <c r="O63" i="8"/>
  <c r="W63" i="8" s="1"/>
  <c r="Y63" i="8" s="1"/>
  <c r="AB34" i="8"/>
  <c r="AC34" i="8" s="1"/>
  <c r="O34" i="8"/>
  <c r="W34" i="8" s="1"/>
  <c r="Y34" i="8" s="1"/>
  <c r="AB33" i="8"/>
  <c r="AC33" i="8" s="1"/>
  <c r="O33" i="8"/>
  <c r="W33" i="8" s="1"/>
  <c r="Y33" i="8" s="1"/>
  <c r="AB28" i="8"/>
  <c r="AC28" i="8" s="1"/>
  <c r="O28" i="8"/>
  <c r="W28" i="8" s="1"/>
  <c r="Y28" i="8" s="1"/>
  <c r="AB55" i="8"/>
  <c r="AC55" i="8" s="1"/>
  <c r="O55" i="8"/>
  <c r="W55" i="8" s="1"/>
  <c r="Y55" i="8" s="1"/>
  <c r="AB54" i="8"/>
  <c r="AC54" i="8" s="1"/>
  <c r="O54" i="8"/>
  <c r="W54" i="8" s="1"/>
  <c r="Y54" i="8" s="1"/>
  <c r="AB53" i="8"/>
  <c r="AC53" i="8" s="1"/>
  <c r="O53" i="8"/>
  <c r="W53" i="8" s="1"/>
  <c r="Y53" i="8" s="1"/>
  <c r="AB51" i="8"/>
  <c r="AC51" i="8" s="1"/>
  <c r="O51" i="8"/>
  <c r="W51" i="8" s="1"/>
  <c r="Y51" i="8" s="1"/>
  <c r="AB43" i="8"/>
  <c r="AC43" i="8" s="1"/>
  <c r="O43" i="8"/>
  <c r="W43" i="8" s="1"/>
  <c r="Y43" i="8" s="1"/>
  <c r="AB30" i="8"/>
  <c r="AC30" i="8" s="1"/>
  <c r="O30" i="8"/>
  <c r="W30" i="8" s="1"/>
  <c r="Y30" i="8" s="1"/>
  <c r="AB29" i="8"/>
  <c r="AC29" i="8" s="1"/>
  <c r="O29" i="8"/>
  <c r="W29" i="8" s="1"/>
  <c r="Y29" i="8" s="1"/>
  <c r="AB26" i="8"/>
  <c r="AC26" i="8" s="1"/>
  <c r="O26" i="8"/>
  <c r="W26" i="8" s="1"/>
  <c r="Y26" i="8" s="1"/>
  <c r="AB25" i="8"/>
  <c r="AC25" i="8" s="1"/>
  <c r="O25" i="8"/>
  <c r="W25" i="8" s="1"/>
  <c r="Y25" i="8" s="1"/>
  <c r="AB21" i="8"/>
  <c r="AC21" i="8" s="1"/>
  <c r="O21" i="8"/>
  <c r="W21" i="8" s="1"/>
  <c r="Y21" i="8" s="1"/>
  <c r="AB20" i="8"/>
  <c r="AC20" i="8" s="1"/>
  <c r="O20" i="8"/>
  <c r="W20" i="8" s="1"/>
  <c r="Y20" i="8" s="1"/>
  <c r="AB8" i="8"/>
  <c r="AC8" i="8" s="1"/>
  <c r="O8" i="8"/>
  <c r="W8" i="8" s="1"/>
  <c r="Y8" i="8" s="1"/>
  <c r="AB7" i="8"/>
  <c r="AC7" i="8" s="1"/>
  <c r="O7" i="8"/>
  <c r="W7" i="8" s="1"/>
  <c r="Y7" i="8" s="1"/>
  <c r="AB5" i="8"/>
  <c r="AC5" i="8" s="1"/>
  <c r="O5" i="8"/>
  <c r="W5" i="8" s="1"/>
  <c r="AB145" i="8"/>
  <c r="AC145" i="8" s="1"/>
  <c r="O145" i="8"/>
  <c r="W145" i="8" s="1"/>
  <c r="Y145" i="8" s="1"/>
  <c r="AB144" i="8"/>
  <c r="AC144" i="8" s="1"/>
  <c r="O144" i="8"/>
  <c r="W144" i="8" s="1"/>
  <c r="Y144" i="8" s="1"/>
  <c r="AB141" i="8"/>
  <c r="AC141" i="8" s="1"/>
  <c r="O141" i="8"/>
  <c r="W141" i="8" s="1"/>
  <c r="Y141" i="8" s="1"/>
  <c r="AB150" i="8"/>
  <c r="AC150" i="8" s="1"/>
  <c r="O150" i="8"/>
  <c r="W150" i="8" s="1"/>
  <c r="Y150" i="8" s="1"/>
  <c r="AB142" i="8"/>
  <c r="AC142" i="8" s="1"/>
  <c r="O142" i="8"/>
  <c r="W142" i="8" s="1"/>
  <c r="Y142" i="8" s="1"/>
  <c r="Y58" i="8" l="1"/>
  <c r="Y49" i="8"/>
  <c r="N127" i="6"/>
  <c r="B128" i="6"/>
  <c r="L75" i="6"/>
  <c r="K75" i="6"/>
  <c r="J76" i="6" s="1"/>
  <c r="G19" i="3"/>
  <c r="Y10" i="8"/>
  <c r="G18" i="3"/>
  <c r="Y101" i="8"/>
  <c r="G12" i="3"/>
  <c r="Y139" i="8"/>
  <c r="G11" i="3"/>
  <c r="Y100" i="8"/>
  <c r="G17" i="3"/>
  <c r="G10" i="3"/>
  <c r="F5" i="3"/>
  <c r="G5" i="3"/>
  <c r="Y5" i="8"/>
  <c r="I30" i="3"/>
  <c r="I24" i="3"/>
  <c r="I27" i="3"/>
  <c r="I33" i="3"/>
  <c r="I25" i="3"/>
  <c r="I26" i="3"/>
  <c r="I29" i="3"/>
  <c r="I32" i="3"/>
  <c r="I28" i="3"/>
  <c r="I31" i="3"/>
  <c r="Y99" i="8"/>
  <c r="Y94" i="8"/>
  <c r="Y79" i="8"/>
  <c r="Y78" i="8"/>
  <c r="Y68" i="8"/>
  <c r="Y62" i="8"/>
  <c r="Y41" i="8"/>
  <c r="Y23" i="8"/>
  <c r="Y47" i="8"/>
  <c r="Y38" i="8"/>
  <c r="Y52" i="8"/>
  <c r="Y44" i="8"/>
  <c r="Y37" i="8"/>
  <c r="Y22" i="8"/>
  <c r="Y147" i="8"/>
  <c r="Y152" i="8"/>
  <c r="Y153" i="8"/>
  <c r="Y154" i="8"/>
  <c r="Y123" i="8"/>
  <c r="Y119" i="8"/>
  <c r="Y117" i="8"/>
  <c r="Y116" i="8"/>
  <c r="Y135" i="8"/>
  <c r="Y127" i="8"/>
  <c r="G13" i="3" l="1"/>
  <c r="N128" i="6"/>
  <c r="B129" i="6"/>
  <c r="N129" i="6" s="1"/>
  <c r="L76" i="6"/>
  <c r="K76" i="6"/>
  <c r="J77" i="6" s="1"/>
  <c r="J30" i="3"/>
  <c r="K30" i="3"/>
  <c r="L30" i="3"/>
  <c r="M30" i="3"/>
  <c r="J24" i="3"/>
  <c r="K24" i="3"/>
  <c r="L24" i="3"/>
  <c r="M24" i="3"/>
  <c r="J27" i="3"/>
  <c r="K27" i="3"/>
  <c r="L27" i="3"/>
  <c r="M27" i="3"/>
  <c r="J33" i="3"/>
  <c r="K33" i="3"/>
  <c r="M33" i="3"/>
  <c r="L33" i="3"/>
  <c r="J25" i="3"/>
  <c r="L25" i="3"/>
  <c r="K25" i="3"/>
  <c r="M25" i="3"/>
  <c r="K26" i="3"/>
  <c r="L26" i="3"/>
  <c r="M26" i="3"/>
  <c r="J26" i="3"/>
  <c r="M29" i="3"/>
  <c r="K29" i="3"/>
  <c r="L29" i="3"/>
  <c r="J29" i="3"/>
  <c r="K32" i="3"/>
  <c r="J32" i="3"/>
  <c r="M32" i="3"/>
  <c r="L32" i="3"/>
  <c r="K28" i="3"/>
  <c r="M28" i="3"/>
  <c r="J28" i="3"/>
  <c r="L28" i="3"/>
  <c r="J31" i="3"/>
  <c r="L31" i="3"/>
  <c r="K31" i="3"/>
  <c r="M31" i="3"/>
  <c r="L77" i="6" l="1"/>
  <c r="K77" i="6"/>
  <c r="J78" i="6" s="1"/>
  <c r="L78" i="6" l="1"/>
  <c r="K78" i="6"/>
  <c r="J79" i="6" s="1"/>
  <c r="L79" i="6" l="1"/>
  <c r="K79" i="6"/>
  <c r="J80" i="6"/>
  <c r="L80" i="6" l="1"/>
  <c r="K80" i="6"/>
  <c r="J81" i="6"/>
  <c r="L81" i="6" l="1"/>
  <c r="K81" i="6"/>
  <c r="J82" i="6" s="1"/>
  <c r="L82" i="6" l="1"/>
  <c r="K82" i="6"/>
  <c r="J83" i="6" s="1"/>
  <c r="L83" i="6" l="1"/>
  <c r="K83" i="6"/>
  <c r="J84" i="6" s="1"/>
  <c r="L84" i="6" l="1"/>
  <c r="K84" i="6"/>
  <c r="J85" i="6" s="1"/>
  <c r="L85" i="6" l="1"/>
  <c r="K85" i="6"/>
  <c r="J86" i="6"/>
  <c r="L86" i="6" l="1"/>
  <c r="K86" i="6"/>
  <c r="J87" i="6" s="1"/>
  <c r="L87" i="6" l="1"/>
  <c r="K87" i="6"/>
  <c r="J88" i="6" s="1"/>
  <c r="L88" i="6" l="1"/>
  <c r="K88" i="6"/>
  <c r="J89" i="6" s="1"/>
  <c r="L89" i="6" l="1"/>
  <c r="K89" i="6"/>
  <c r="J90" i="6" s="1"/>
  <c r="L90" i="6" l="1"/>
  <c r="K90" i="6"/>
  <c r="J91" i="6" s="1"/>
  <c r="L91" i="6" l="1"/>
  <c r="K91" i="6"/>
  <c r="J92" i="6" s="1"/>
  <c r="L92" i="6" l="1"/>
  <c r="K92" i="6"/>
  <c r="J93" i="6" s="1"/>
  <c r="L93" i="6" l="1"/>
  <c r="K93" i="6"/>
  <c r="J94" i="6" s="1"/>
  <c r="L94" i="6" l="1"/>
  <c r="K94" i="6"/>
  <c r="J95" i="6" s="1"/>
  <c r="L95" i="6" l="1"/>
  <c r="K95" i="6"/>
  <c r="J96" i="6" s="1"/>
  <c r="L96" i="6" l="1"/>
  <c r="K96" i="6"/>
  <c r="J97" i="6" s="1"/>
  <c r="L97" i="6" l="1"/>
  <c r="K97" i="6"/>
  <c r="J98" i="6" s="1"/>
  <c r="L98" i="6" l="1"/>
  <c r="K98" i="6"/>
  <c r="J99" i="6"/>
  <c r="L99" i="6" l="1"/>
  <c r="K99" i="6"/>
  <c r="J100" i="6" s="1"/>
  <c r="L100" i="6" l="1"/>
  <c r="K100" i="6"/>
  <c r="J101" i="6"/>
  <c r="L101" i="6" l="1"/>
  <c r="K101" i="6"/>
  <c r="J102" i="6" s="1"/>
  <c r="L102" i="6" l="1"/>
  <c r="K102" i="6"/>
  <c r="J103" i="6"/>
  <c r="L103" i="6" l="1"/>
  <c r="K103" i="6"/>
  <c r="J104" i="6"/>
  <c r="L104" i="6" l="1"/>
  <c r="K104" i="6"/>
  <c r="J105" i="6"/>
  <c r="L105" i="6" l="1"/>
  <c r="K105" i="6"/>
  <c r="M116" i="6" l="1"/>
  <c r="T116" i="6" s="1"/>
  <c r="Z116" i="6" s="1"/>
  <c r="M106" i="6"/>
  <c r="M117" i="6"/>
  <c r="T117" i="6" s="1"/>
  <c r="Z117" i="6" s="1"/>
  <c r="M113" i="6"/>
  <c r="T113" i="6" s="1"/>
  <c r="Z113" i="6" s="1"/>
  <c r="M111" i="6"/>
  <c r="T111" i="6" s="1"/>
  <c r="Z111" i="6" s="1"/>
  <c r="M110" i="6"/>
  <c r="T110" i="6" s="1"/>
  <c r="Z110" i="6" s="1"/>
  <c r="M107" i="6"/>
  <c r="T107" i="6" s="1"/>
  <c r="Z107" i="6" s="1"/>
  <c r="M109" i="6"/>
  <c r="T109" i="6" s="1"/>
  <c r="Z109" i="6" s="1"/>
  <c r="M114" i="6"/>
  <c r="T114" i="6" s="1"/>
  <c r="Z114" i="6" s="1"/>
  <c r="M112" i="6"/>
  <c r="T112" i="6" s="1"/>
  <c r="Z112" i="6" s="1"/>
  <c r="M115" i="6"/>
  <c r="T115" i="6" s="1"/>
  <c r="Z115" i="6" s="1"/>
  <c r="M108" i="6"/>
  <c r="T108" i="6" s="1"/>
  <c r="Z108" i="6" s="1"/>
  <c r="J106" i="6"/>
  <c r="N9" i="6" l="1"/>
  <c r="T106" i="6"/>
  <c r="K106" i="6"/>
  <c r="J107" i="6" s="1"/>
  <c r="L106" i="6"/>
  <c r="Z106" i="6" l="1"/>
  <c r="M9" i="6" s="1"/>
  <c r="Q9" i="6"/>
  <c r="L9" i="6"/>
  <c r="O9" i="6" s="1"/>
  <c r="L107" i="6"/>
  <c r="K107" i="6"/>
  <c r="J108" i="6" s="1"/>
  <c r="L108" i="6" l="1"/>
  <c r="K108" i="6"/>
  <c r="J109" i="6" s="1"/>
  <c r="L109" i="6" l="1"/>
  <c r="K109" i="6"/>
  <c r="J110" i="6" s="1"/>
  <c r="L110" i="6" l="1"/>
  <c r="K110" i="6"/>
  <c r="J111" i="6" s="1"/>
  <c r="L111" i="6" l="1"/>
  <c r="K111" i="6"/>
  <c r="J112" i="6" s="1"/>
  <c r="L112" i="6" l="1"/>
  <c r="K112" i="6"/>
  <c r="J113" i="6" s="1"/>
  <c r="J114" i="6" l="1"/>
  <c r="L113" i="6"/>
  <c r="K113" i="6"/>
  <c r="L114" i="6" l="1"/>
  <c r="K114" i="6"/>
  <c r="J115" i="6" s="1"/>
  <c r="L115" i="6" l="1"/>
  <c r="K115" i="6"/>
  <c r="J116" i="6" s="1"/>
  <c r="L116" i="6" l="1"/>
  <c r="K116" i="6"/>
  <c r="J117" i="6" s="1"/>
  <c r="L117" i="6" l="1"/>
  <c r="K117" i="6"/>
  <c r="M127" i="6" s="1"/>
  <c r="M124" i="6" l="1"/>
  <c r="M122" i="6"/>
  <c r="M119" i="6"/>
  <c r="M128" i="6"/>
  <c r="M126" i="6"/>
  <c r="M121" i="6"/>
  <c r="M125" i="6"/>
  <c r="M123" i="6"/>
  <c r="M120" i="6"/>
  <c r="M118" i="6"/>
  <c r="M129" i="6"/>
</calcChain>
</file>

<file path=xl/sharedStrings.xml><?xml version="1.0" encoding="utf-8"?>
<sst xmlns="http://schemas.openxmlformats.org/spreadsheetml/2006/main" count="16953" uniqueCount="587">
  <si>
    <t>Inventory Planning &amp; Demand Forecasting Model</t>
  </si>
  <si>
    <t>UK online gift retailer (UCI Online Retail II, real data) · 150 top SKUs · 103 weeks Dec-2009 to Nov-2011 · built for learning</t>
  </si>
  <si>
    <t>What it answers</t>
  </si>
  <si>
    <t>How much stock should we hold for each product, and when should we reorder, so we don't run out or overstock?</t>
  </si>
  <si>
    <t>How to use it</t>
  </si>
  <si>
    <t>1) Change the yellow cells on the Inputs sheet (service level, lead time, costs). Every sheet recalculates.
2) Pick a product in the drop-down on the Forecast sheet to see its four forecasts and their accuracy.
3) Read the results on Summary and Charts; the full SKU list with reorder points is on Policy.</t>
  </si>
  <si>
    <t>Colour code</t>
  </si>
  <si>
    <t>Yellow cell, blue text = an input you can change.  Grey cells = data from the CSVs (don't type over).  Everything else = a formula. Click any cell and read the formula bar.</t>
  </si>
  <si>
    <t>SHEETS</t>
  </si>
  <si>
    <t>Inputs</t>
  </si>
  <si>
    <t>All assumptions in one place: service level (and z), lead time, holding and ordering cost, unit cost, current stock, class limits.</t>
  </si>
  <si>
    <t>ABC_XYZ</t>
  </si>
  <si>
    <t>ABC by value (cumulative share, SUMIFS), XYZ by demand variability (CV = STDEV.S / AVERAGE), the 9-box matrix (COUNTIFS).</t>
  </si>
  <si>
    <t>Forecast</t>
  </si>
  <si>
    <t>One SKU at a time (drop-down): naive, moving average, simple exponential smoothing and Holt-Winters written out week by week, plus Excel's own FORECAST.ETS. 12-week backtest with WAPE, MAPE and bias.</t>
  </si>
  <si>
    <t>Backtest</t>
  </si>
  <si>
    <t>Errors of all four methods for all 150 SKUs (from notebook 02), summed by ABC-XYZ class with SUMIFS. Picks the best method per class.</t>
  </si>
  <si>
    <t>Policy</t>
  </si>
  <si>
    <t>Every SKU: safety stock, reorder point, EOQ, min/max, weeks of cover, current vs recommended stock, stock-out risk, order suggestion.</t>
  </si>
  <si>
    <t>Summary</t>
  </si>
  <si>
    <t>Headline numbers, results by class, the service level vs cost trade-off and the top-10 reorder list.</t>
  </si>
  <si>
    <t>Charts</t>
  </si>
  <si>
    <t>Forecast vs actual for the selected SKU, stock by class, the trade-off curve, the 9-box and the Pareto curve.</t>
  </si>
  <si>
    <t>Demand, SKU_Data, Model_Params, Forecast_Future</t>
  </si>
  <si>
    <t>Data sheets (grey): weekly demand, SKU facts, fitted smoothing parameters, future forecasts.</t>
  </si>
  <si>
    <t>KEY FORMULAS</t>
  </si>
  <si>
    <t>Safety stock</t>
  </si>
  <si>
    <t>Safety stock = z × σ(weekly demand) × √(lead time in weeks), z = NORM.S.INV(service level)</t>
  </si>
  <si>
    <t>Reorder point (Min)</t>
  </si>
  <si>
    <t>ROP = forecast demand during the lead time + safety stock</t>
  </si>
  <si>
    <t>EOQ</t>
  </si>
  <si>
    <t>EOQ = √(2 × annual demand × ordering cost ÷ (holding cost % × unit cost))</t>
  </si>
  <si>
    <t>Max</t>
  </si>
  <si>
    <t>Max = reorder point + EOQ.   Average stock = safety stock + EOQ ÷ 2.   Weeks of cover = stock ÷ average weekly demand</t>
  </si>
  <si>
    <t>ASSUMPTIONS</t>
  </si>
  <si>
    <t>The data has no lead times, costs or stock levels, so these are assumptions (see Inputs and the README): lead time 3 weeks, holding cost 25% a year, £50 per order, unit cost 60% of selling price, current stock = 8 weeks of average demand.</t>
  </si>
  <si>
    <t>Inputs (change the yellow cells)</t>
  </si>
  <si>
    <t>Everything in the model reads from this sheet. Named ranges in column E make the formulas readable.</t>
  </si>
  <si>
    <t>Assumption</t>
  </si>
  <si>
    <t>Value</t>
  </si>
  <si>
    <t>What it means / why this value</t>
  </si>
  <si>
    <t>Name in formulas</t>
  </si>
  <si>
    <t>Target service level</t>
  </si>
  <si>
    <t>Chance of NOT running out during a lead time. 95% is the brief's default.</t>
  </si>
  <si>
    <t>ServiceLevel</t>
  </si>
  <si>
    <t>z (safety factor)</t>
  </si>
  <si>
    <t>z = NORM.S.INV(service level). 95% gives 1.645.</t>
  </si>
  <si>
    <t>Z</t>
  </si>
  <si>
    <t>Service level for A items (optional)</t>
  </si>
  <si>
    <t>Leave blank to use the target above. Try 98% for A, 90% for C.</t>
  </si>
  <si>
    <t>SL_A</t>
  </si>
  <si>
    <t>Service level for B items (optional)</t>
  </si>
  <si>
    <t>SL_B</t>
  </si>
  <si>
    <t>Service level for C items (optional)</t>
  </si>
  <si>
    <t>SL_C</t>
  </si>
  <si>
    <t>Lead time (weeks)</t>
  </si>
  <si>
    <t>Order to delivery. Brief range 2-4 weeks; most stock is imported.</t>
  </si>
  <si>
    <t>LeadTime</t>
  </si>
  <si>
    <t>Holding cost (% of unit cost per year)</t>
  </si>
  <si>
    <t>Storage, capital, insurance, damage, obsolescence. Brief range 20-25%.</t>
  </si>
  <si>
    <t>HoldingRate</t>
  </si>
  <si>
    <t>Ordering cost (£ per order)</t>
  </si>
  <si>
    <t>Admin, freight booking and receiving for one purchase order line.</t>
  </si>
  <si>
    <t>OrderCost</t>
  </si>
  <si>
    <t>Unit cost (% of selling price)</t>
  </si>
  <si>
    <t>The data only has selling prices; 60% = a 40% gross margin.</t>
  </si>
  <si>
    <t>CostRatio</t>
  </si>
  <si>
    <t>Current stock (weeks of average demand)</t>
  </si>
  <si>
    <t>No stock data, so assume today's blanket rule: 8 weeks of cover for every SKU.</t>
  </si>
  <si>
    <t>CurrentCover</t>
  </si>
  <si>
    <t>Weeks per year</t>
  </si>
  <si>
    <t>WeeksPerYear</t>
  </si>
  <si>
    <t>ABC: A = first ...% of value</t>
  </si>
  <si>
    <t>Cumulative share of sales value. Classic split 80 / 15 / 5.</t>
  </si>
  <si>
    <t>A_Limit</t>
  </si>
  <si>
    <t>ABC: B = up to ...% of value</t>
  </si>
  <si>
    <t>The rest is C.</t>
  </si>
  <si>
    <t>B_Limit</t>
  </si>
  <si>
    <t>XYZ: X = CV up to</t>
  </si>
  <si>
    <t>CV = std dev / average of weekly demand. Weekly data is noisy, so the limits are higher than the monthly 0.5 / 1.0.</t>
  </si>
  <si>
    <t>X_Limit</t>
  </si>
  <si>
    <t>XYZ: Y = CV up to</t>
  </si>
  <si>
    <t>Above this = Z (erratic).</t>
  </si>
  <si>
    <t>Y_Limit</t>
  </si>
  <si>
    <t>Seasonal if Christmas uplift at least</t>
  </si>
  <si>
    <t>Uplift = avg demand Sep-Nov 2010 / avg over the training weeks. Seasonal SKUs may use Holt-Winters.</t>
  </si>
  <si>
    <t>SeasonalLimit</t>
  </si>
  <si>
    <t>Class service levels (used by the Policy sheet: blank override = target service level)</t>
  </si>
  <si>
    <t>Class</t>
  </si>
  <si>
    <t>Service level used</t>
  </si>
  <si>
    <t>z used</t>
  </si>
  <si>
    <t>A</t>
  </si>
  <si>
    <t>B</t>
  </si>
  <si>
    <t>C</t>
  </si>
  <si>
    <t>Summary: current vs recommended stock</t>
  </si>
  <si>
    <t>All numbers update when you change Inputs. £ values are at cost (unit cost = selling price × unit cost %).</t>
  </si>
  <si>
    <t>Current stock value</t>
  </si>
  <si>
    <t>Recommended avg stock</t>
  </si>
  <si>
    <t>Working capital freed</t>
  </si>
  <si>
    <t>Stock reduction</t>
  </si>
  <si>
    <t>SKUs to reorder now</t>
  </si>
  <si>
    <t>SKUs overstocked</t>
  </si>
  <si>
    <t>By ABC class</t>
  </si>
  <si>
    <t>Service level vs cost trade-off (all SKUs at the same service level)</t>
  </si>
  <si>
    <t>SKUs</t>
  </si>
  <si>
    <t>Current stock (£)</t>
  </si>
  <si>
    <t>Recommended (£)</t>
  </si>
  <si>
    <t>Freed (£)</t>
  </si>
  <si>
    <t>Reorder now</t>
  </si>
  <si>
    <t>Service level</t>
  </si>
  <si>
    <t>z</t>
  </si>
  <si>
    <t>Safety stock (£)</t>
  </si>
  <si>
    <t>Holding cost / yr (£)</t>
  </si>
  <si>
    <t>Extra £ vs row above</t>
  </si>
  <si>
    <t>Total</t>
  </si>
  <si>
    <t>By XYZ class (the blanket rule over-stocks steady items and under-stocks erratic ones)</t>
  </si>
  <si>
    <t>X</t>
  </si>
  <si>
    <t>Y</t>
  </si>
  <si>
    <t>Going from 95% to 99% needs about 40% more safety stock: each extra point of service costs more than the last.</t>
  </si>
  <si>
    <t>Yearly running cost of the recommended policy</t>
  </si>
  <si>
    <t>Top 10 SKUs to reorder now (biggest shortfall below the reorder point, LARGE + INDEX/MATCH)</t>
  </si>
  <si>
    <t>Holding cost / year</t>
  </si>
  <si>
    <t>EOQ is where these two are equal: order more often → less stock but more orders.</t>
  </si>
  <si>
    <t>Stock code</t>
  </si>
  <si>
    <t>Shortfall (£)</t>
  </si>
  <si>
    <t>Order qty</t>
  </si>
  <si>
    <t>Stock-out risk</t>
  </si>
  <si>
    <t>Ordering cost / year</t>
  </si>
  <si>
    <t>Safety stock value</t>
  </si>
  <si>
    <t>All charts read live from the model sheets. The first one follows the SKU picked on the Forecast sheet.</t>
  </si>
  <si>
    <t>ABC-XYZ classification</t>
  </si>
  <si>
    <t>ABC = value (cumulative share of net sales, last 52 weeks). XYZ = predictability (CV of weekly demand, last 52 weeks). Limits come from Inputs.</t>
  </si>
  <si>
    <t>Description</t>
  </si>
  <si>
    <t>Net sales 52w (£)</t>
  </si>
  <si>
    <t>Value rank</t>
  </si>
  <si>
    <t>Cumulative value share</t>
  </si>
  <si>
    <t>ABC</t>
  </si>
  <si>
    <t>Avg weekly demand</t>
  </si>
  <si>
    <t>Std dev weekly</t>
  </si>
  <si>
    <t>CV</t>
  </si>
  <si>
    <t>XYZ</t>
  </si>
  <si>
    <t>Christmas uplift</t>
  </si>
  <si>
    <t>Seasonal?</t>
  </si>
  <si>
    <t>Avg selling price (£)</t>
  </si>
  <si>
    <t>Same as SQL/ Python?</t>
  </si>
  <si>
    <t>9-box matrix: number of SKUs (COUNTIFS)</t>
  </si>
  <si>
    <t>X (steady)</t>
  </si>
  <si>
    <t>Y (variable)</t>
  </si>
  <si>
    <t>Z (erratic)</t>
  </si>
  <si>
    <t>9-box matrix: share of sales value (SUMIFS)</t>
  </si>
  <si>
    <t>How to read it</t>
  </si>
  <si>
    <t>AX = valuable and steady: easy to forecast, keep lean stock.</t>
  </si>
  <si>
    <t>AZ = valuable but erratic: the risky box; needs the most safety stock and attention.</t>
  </si>
  <si>
    <t>CZ = low value and erratic: candidates for make-to-order or delisting.</t>
  </si>
  <si>
    <t>Check vs SQL/Python (default limits only):</t>
  </si>
  <si>
    <t>Forecast one SKU: four methods, backtest and accuracy</t>
  </si>
  <si>
    <t>Pick a stock code in C4. Train = weeks 1-91 (fit), Test = weeks 92-103 (Sep-Nov 2011, the backtest), Future = weeks 104-115.</t>
  </si>
  <si>
    <t>Stock code (pick one)</t>
  </si>
  <si>
    <t>85123A</t>
  </si>
  <si>
    <t>Moving-average window (weeks)</t>
  </si>
  <si>
    <t>Backtest accuracy (test weeks 92-103)</t>
  </si>
  <si>
    <t>How the columns work</t>
  </si>
  <si>
    <t>SES α (fitted)</t>
  </si>
  <si>
    <t>Method</t>
  </si>
  <si>
    <t>WAPE</t>
  </si>
  <si>
    <t>MAPE</t>
  </si>
  <si>
    <t>Bias</t>
  </si>
  <si>
    <t>Score</t>
  </si>
  <si>
    <t>Check</t>
  </si>
  <si>
    <t>SES level: level = α × actual + (1 − α) × last level. The forecast is the last level, flat for every future week.</t>
  </si>
  <si>
    <t>ABC-XYZ class</t>
  </si>
  <si>
    <t>SES α override (optional)</t>
  </si>
  <si>
    <t>Naive</t>
  </si>
  <si>
    <t>Naive: the last actual (week 91 for the backtest, week 103 for the future). Moving average: average of the last N weeks.</t>
  </si>
  <si>
    <t>Seasonal? (Christmas uplift)</t>
  </si>
  <si>
    <t>SES α used</t>
  </si>
  <si>
    <t>Moving average</t>
  </si>
  <si>
    <t>Holt-Winters start: level = average of weeks 1-52, trend = 0, season = 9-week centred average − level (smooths out noise).</t>
  </si>
  <si>
    <t>Method chosen for its class</t>
  </si>
  <si>
    <t>Holt-Winters α / β / γ</t>
  </si>
  <si>
    <t>SES</t>
  </si>
  <si>
    <t>Then each week: level = α(actual − season a year ago) + (1−α)(last level + last trend); trend = β(level change) + (1−β)last trend;</t>
  </si>
  <si>
    <t>Holt-Winters</t>
  </si>
  <si>
    <t>season = γ(actual − level) + (1−γ)(season a year ago). Forecast = level + trend × weeks ahead + season a year ago (never below 0).</t>
  </si>
  <si>
    <t>Excel FORECAST.ETS</t>
  </si>
  <si>
    <t>(Excel's own)</t>
  </si>
  <si>
    <t>Excel FORECAST.ETS: Excel's built-in Holt-Winters (AAA) with seasonality 52; it picks its own parameters, so it differs a little.</t>
  </si>
  <si>
    <t>The window and α override only change this sheet (the Backtest and Policy sheets use the fitted values and an 8-week window).</t>
  </si>
  <si>
    <t>#N/A cells are on purpose (no forecast in training weeks / no actuals in future weeks): charts skip #N/A instead of drawing zeros.</t>
  </si>
  <si>
    <t>Matches the Python batch run? (needs window 8 and fitted α)</t>
  </si>
  <si>
    <t>Wk</t>
  </si>
  <si>
    <t>Week starting</t>
  </si>
  <si>
    <t>Period</t>
  </si>
  <si>
    <t>Actual demand</t>
  </si>
  <si>
    <t>SES level</t>
  </si>
  <si>
    <t>SES forecast</t>
  </si>
  <si>
    <t>Naive forecast</t>
  </si>
  <si>
    <t>Moving avg forecast</t>
  </si>
  <si>
    <t>HW smoothed (yr 1)</t>
  </si>
  <si>
    <t>HW level</t>
  </si>
  <si>
    <t>HW trend</t>
  </si>
  <si>
    <t>HW season</t>
  </si>
  <si>
    <t>Holt-Winters forecast</t>
  </si>
  <si>
    <t>|err| Naive</t>
  </si>
  <si>
    <t>|err| MA</t>
  </si>
  <si>
    <t>|err| SES</t>
  </si>
  <si>
    <t>|err| HW</t>
  </si>
  <si>
    <t>|err| ETS</t>
  </si>
  <si>
    <t>APE Naive</t>
  </si>
  <si>
    <t>APE MA</t>
  </si>
  <si>
    <t>APE SES</t>
  </si>
  <si>
    <t>APE HW</t>
  </si>
  <si>
    <t>APE ETS</t>
  </si>
  <si>
    <t>Train</t>
  </si>
  <si>
    <t>Test</t>
  </si>
  <si>
    <t>Future</t>
  </si>
  <si>
    <t>Backtest: which forecast method works best for each class?</t>
  </si>
  <si>
    <t>Columns A-F: errors of each method per SKU over the 12 test weeks (from notebook 02). Columns I onward: SUMIFS by class, score = WAPE + |bias|, lowest wins.</t>
  </si>
  <si>
    <t>WAPE = Σ|error| / Σactual     Bias = Σerror / Σactual (negative = forecast too low)     Score = WAPE + |bias|</t>
  </si>
  <si>
    <t>Actual units (12 wks)</t>
  </si>
  <si>
    <t>Sum |error|</t>
  </si>
  <si>
    <t>Sum error</t>
  </si>
  <si>
    <t>WAPE Naive</t>
  </si>
  <si>
    <t>WAPE Moving average</t>
  </si>
  <si>
    <t>WAPE SES</t>
  </si>
  <si>
    <t>WAPE Holt-Winters</t>
  </si>
  <si>
    <t>Bias Naive</t>
  </si>
  <si>
    <t>Bias Moving average</t>
  </si>
  <si>
    <t>Bias SES</t>
  </si>
  <si>
    <t>Bias Holt-Winters</t>
  </si>
  <si>
    <t>Score Naive</t>
  </si>
  <si>
    <t>Score Moving average</t>
  </si>
  <si>
    <t>Score SES</t>
  </si>
  <si>
    <t>Score Holt-Winters</t>
  </si>
  <si>
    <t>Best method</t>
  </si>
  <si>
    <t>Best non-seasonal method</t>
  </si>
  <si>
    <t>22423</t>
  </si>
  <si>
    <t>AX</t>
  </si>
  <si>
    <t>AY</t>
  </si>
  <si>
    <t>AZ</t>
  </si>
  <si>
    <t>BX</t>
  </si>
  <si>
    <t>BY</t>
  </si>
  <si>
    <t>BZ</t>
  </si>
  <si>
    <t>CX</t>
  </si>
  <si>
    <t>CY</t>
  </si>
  <si>
    <t>47566</t>
  </si>
  <si>
    <t>CZ</t>
  </si>
  <si>
    <t>All</t>
  </si>
  <si>
    <t>85099B</t>
  </si>
  <si>
    <t>Why choose per class and not per SKU? 12 weeks is a short test, so one SKU's 'best' method is often luck. Pooling the SKUs of a class gives a more stable choice. Holt-Winters is only used for seasonal SKUs; a non-seasonal SKU in a Holt-Winters class gets the best non-seasonal method.</t>
  </si>
  <si>
    <t>84879</t>
  </si>
  <si>
    <t>22086</t>
  </si>
  <si>
    <t>79321</t>
  </si>
  <si>
    <t>22502</t>
  </si>
  <si>
    <t>22197</t>
  </si>
  <si>
    <t>22386</t>
  </si>
  <si>
    <t>21137</t>
  </si>
  <si>
    <t>20725</t>
  </si>
  <si>
    <t>82484</t>
  </si>
  <si>
    <t>85099F</t>
  </si>
  <si>
    <t>22469</t>
  </si>
  <si>
    <t>22178</t>
  </si>
  <si>
    <t>21931</t>
  </si>
  <si>
    <t>22112</t>
  </si>
  <si>
    <t>22114</t>
  </si>
  <si>
    <t>22470</t>
  </si>
  <si>
    <t>22411</t>
  </si>
  <si>
    <t>22355</t>
  </si>
  <si>
    <t>20685</t>
  </si>
  <si>
    <t>85099C</t>
  </si>
  <si>
    <t>22629</t>
  </si>
  <si>
    <t>22457</t>
  </si>
  <si>
    <t>21915</t>
  </si>
  <si>
    <t>48138</t>
  </si>
  <si>
    <t>84946</t>
  </si>
  <si>
    <t>22326</t>
  </si>
  <si>
    <t>22666</t>
  </si>
  <si>
    <t>21621</t>
  </si>
  <si>
    <t>48187</t>
  </si>
  <si>
    <t>84347</t>
  </si>
  <si>
    <t>15056N</t>
  </si>
  <si>
    <t>21731</t>
  </si>
  <si>
    <t>21623</t>
  </si>
  <si>
    <t>21929</t>
  </si>
  <si>
    <t>22090</t>
  </si>
  <si>
    <t>22111</t>
  </si>
  <si>
    <t>21181</t>
  </si>
  <si>
    <t>84997D</t>
  </si>
  <si>
    <t>22189</t>
  </si>
  <si>
    <t>21733</t>
  </si>
  <si>
    <t>21175</t>
  </si>
  <si>
    <t>22138</t>
  </si>
  <si>
    <t>22383</t>
  </si>
  <si>
    <t>48194</t>
  </si>
  <si>
    <t>82482</t>
  </si>
  <si>
    <t>20727</t>
  </si>
  <si>
    <t>22139</t>
  </si>
  <si>
    <t>20713</t>
  </si>
  <si>
    <t>22630</t>
  </si>
  <si>
    <t>21523</t>
  </si>
  <si>
    <t>20712</t>
  </si>
  <si>
    <t>85066</t>
  </si>
  <si>
    <t>20728</t>
  </si>
  <si>
    <t>84029E</t>
  </si>
  <si>
    <t>21212</t>
  </si>
  <si>
    <t>21928</t>
  </si>
  <si>
    <t>82494L</t>
  </si>
  <si>
    <t>20724</t>
  </si>
  <si>
    <t>22659</t>
  </si>
  <si>
    <t>48185</t>
  </si>
  <si>
    <t>84997B</t>
  </si>
  <si>
    <t>22501</t>
  </si>
  <si>
    <t>20914</t>
  </si>
  <si>
    <t>15036</t>
  </si>
  <si>
    <t>20726</t>
  </si>
  <si>
    <t>22467</t>
  </si>
  <si>
    <t>22382</t>
  </si>
  <si>
    <t>21166</t>
  </si>
  <si>
    <t>21843</t>
  </si>
  <si>
    <t>22328</t>
  </si>
  <si>
    <t>21485</t>
  </si>
  <si>
    <t>82486</t>
  </si>
  <si>
    <t>22384</t>
  </si>
  <si>
    <t>84997C</t>
  </si>
  <si>
    <t>22492</t>
  </si>
  <si>
    <t>21754</t>
  </si>
  <si>
    <t>22077</t>
  </si>
  <si>
    <t>22385</t>
  </si>
  <si>
    <t>82583</t>
  </si>
  <si>
    <t>15056BL</t>
  </si>
  <si>
    <t>20719</t>
  </si>
  <si>
    <t>84978</t>
  </si>
  <si>
    <t>71477</t>
  </si>
  <si>
    <t>22624</t>
  </si>
  <si>
    <t>22379</t>
  </si>
  <si>
    <t>84029G</t>
  </si>
  <si>
    <t>21232</t>
  </si>
  <si>
    <t>22084</t>
  </si>
  <si>
    <t>84078A</t>
  </si>
  <si>
    <t>22507</t>
  </si>
  <si>
    <t>48184</t>
  </si>
  <si>
    <t>22622</t>
  </si>
  <si>
    <t>85152</t>
  </si>
  <si>
    <t>22625</t>
  </si>
  <si>
    <t>21930</t>
  </si>
  <si>
    <t>22083</t>
  </si>
  <si>
    <t>82483</t>
  </si>
  <si>
    <t>22551</t>
  </si>
  <si>
    <t>84077</t>
  </si>
  <si>
    <t>21524</t>
  </si>
  <si>
    <t>22554</t>
  </si>
  <si>
    <t>22558</t>
  </si>
  <si>
    <t>22171</t>
  </si>
  <si>
    <t>22499</t>
  </si>
  <si>
    <t>22427</t>
  </si>
  <si>
    <t>20750</t>
  </si>
  <si>
    <t>21755</t>
  </si>
  <si>
    <t>20971</t>
  </si>
  <si>
    <t>22158</t>
  </si>
  <si>
    <t>22607</t>
  </si>
  <si>
    <t>48188</t>
  </si>
  <si>
    <t>47590B</t>
  </si>
  <si>
    <t>21977</t>
  </si>
  <si>
    <t>22568</t>
  </si>
  <si>
    <t>22087</t>
  </si>
  <si>
    <t>21790</t>
  </si>
  <si>
    <t>22149</t>
  </si>
  <si>
    <t>22424</t>
  </si>
  <si>
    <t>22188</t>
  </si>
  <si>
    <t>20723</t>
  </si>
  <si>
    <t>21217</t>
  </si>
  <si>
    <t>21430</t>
  </si>
  <si>
    <t>20749</t>
  </si>
  <si>
    <t>21936</t>
  </si>
  <si>
    <t>21080</t>
  </si>
  <si>
    <t>22692</t>
  </si>
  <si>
    <t>21108</t>
  </si>
  <si>
    <t>20711</t>
  </si>
  <si>
    <t>21216</t>
  </si>
  <si>
    <t>22662</t>
  </si>
  <si>
    <t>22193</t>
  </si>
  <si>
    <t>85014B</t>
  </si>
  <si>
    <t>22041</t>
  </si>
  <si>
    <t>21340</t>
  </si>
  <si>
    <t>22605</t>
  </si>
  <si>
    <t>22356</t>
  </si>
  <si>
    <t>71459</t>
  </si>
  <si>
    <t>22570</t>
  </si>
  <si>
    <t>21481</t>
  </si>
  <si>
    <t>84997A</t>
  </si>
  <si>
    <t>47590A</t>
  </si>
  <si>
    <t>84755</t>
  </si>
  <si>
    <t>82600</t>
  </si>
  <si>
    <t>48173C</t>
  </si>
  <si>
    <t>22617</t>
  </si>
  <si>
    <t>21791</t>
  </si>
  <si>
    <t>Inventory policy per SKU (recalculates from Inputs)</t>
  </si>
  <si>
    <t>Safety stock = z × σ × √lead time · Reorder point = forecast lead-time demand + safety stock · EOQ = √(2DS / hC) · Max = ROP + EOQ</t>
  </si>
  <si>
    <t>Forecast method</t>
  </si>
  <si>
    <t>σ weekly</t>
  </si>
  <si>
    <t>Unit cost (£)</t>
  </si>
  <si>
    <t>Lead-time demand (forecast)</t>
  </si>
  <si>
    <t>Reorder point = Min</t>
  </si>
  <si>
    <t>Annual demand</t>
  </si>
  <si>
    <t>Avg stock (recommended)</t>
  </si>
  <si>
    <t>Weeks of cover (rec.)</t>
  </si>
  <si>
    <t>Current stock (assumed)</t>
  </si>
  <si>
    <t>Weeks of cover (now)</t>
  </si>
  <si>
    <t>Current stock value (£)</t>
  </si>
  <si>
    <t>Recommended stock value (£)</t>
  </si>
  <si>
    <t>Working capital freed (£)</t>
  </si>
  <si>
    <t>Status</t>
  </si>
  <si>
    <t>Stock-out risk if no order now</t>
  </si>
  <si>
    <t>Suggested order qty</t>
  </si>
  <si>
    <t>Ordering cost / yr (£)</t>
  </si>
  <si>
    <t>Shortfall value (£)</t>
  </si>
  <si>
    <t>Rank helper</t>
  </si>
  <si>
    <t>Weekly demand per SKU (units, net of returns)  ·  DATA</t>
  </si>
  <si>
    <t>From notebook 01. Row 3 = week number, row 4 = week starting (Monday). Train = weeks 1-91, Test = 92-103, last 52 weeks = 52-103.</t>
  </si>
  <si>
    <t>week starting →</t>
  </si>
  <si>
    <t>REGENCY CAKESTAND 3 TIER</t>
  </si>
  <si>
    <t>WHITE HANGING HEART T-LIGHT HOLDER</t>
  </si>
  <si>
    <t>PARTY BUNTING</t>
  </si>
  <si>
    <t>JUMBO BAG RED RETROSPOT</t>
  </si>
  <si>
    <t>ASSORTED COLOUR BIRD ORNAMENT</t>
  </si>
  <si>
    <t>PAPER CHAIN KIT 50'S CHRISTMAS</t>
  </si>
  <si>
    <t>CHILLI LIGHTS</t>
  </si>
  <si>
    <t>PICNIC BASKET WICKER SMALL</t>
  </si>
  <si>
    <t>SMALL POPCORN HOLDER</t>
  </si>
  <si>
    <t>JUMBO BAG PINK POLKADOT</t>
  </si>
  <si>
    <t>BLACK RECORD COVER FRAME</t>
  </si>
  <si>
    <t>LUNCH BAG RED RETROSPOT</t>
  </si>
  <si>
    <t>WOOD BLACK BOARD ANT WHITE FINISH</t>
  </si>
  <si>
    <t>JUMBO BAG STRAWBERRY</t>
  </si>
  <si>
    <t>HEART OF WICKER SMALL</t>
  </si>
  <si>
    <t>VICTORIAN GLASS HANGING T-LIGHT</t>
  </si>
  <si>
    <t>JUMBO STORAGE BAG SUKI</t>
  </si>
  <si>
    <t>CHOCOLATE HOT WATER BOTTLE</t>
  </si>
  <si>
    <t>HOT WATER BOTTLE TEA AND SYMPATHY</t>
  </si>
  <si>
    <t>HEART OF WICKER LARGE</t>
  </si>
  <si>
    <t>JUMBO SHOPPER VINTAGE RED PAISLEY</t>
  </si>
  <si>
    <t>CHARLOTTE BAG SUKI DESIGN</t>
  </si>
  <si>
    <t>DOORMAT RED RETROSPOT</t>
  </si>
  <si>
    <t>JUMBO  BAG BAROQUE BLACK WHITE</t>
  </si>
  <si>
    <t>SPACEBOY LUNCH BOX</t>
  </si>
  <si>
    <t>NATURAL SLATE HEART CHALKBOARD</t>
  </si>
  <si>
    <t>RED  HARMONICA IN BOX</t>
  </si>
  <si>
    <t>DOORMAT UNION FLAG</t>
  </si>
  <si>
    <t>ANTIQUE SILVER TEA GLASS ETCHED</t>
  </si>
  <si>
    <t>ROUND SNACK BOXES SET OF4 WOODLAND</t>
  </si>
  <si>
    <t>RECIPE BOX PANTRY YELLOW DESIGN</t>
  </si>
  <si>
    <t>VINTAGE UNION JACK BUNTING</t>
  </si>
  <si>
    <t>DOORMAT NEW ENGLAND</t>
  </si>
  <si>
    <t>ROTATING SILVER ANGELS T-LIGHT HLDR</t>
  </si>
  <si>
    <t>EDWARDIAN PARASOL NATURAL</t>
  </si>
  <si>
    <t>RED TOADSTOOL LED NIGHT LIGHT</t>
  </si>
  <si>
    <t>VINTAGE UNION JACK MEMOBOARD</t>
  </si>
  <si>
    <t>JUMBO BAG PINK VINTAGE PAISLEY</t>
  </si>
  <si>
    <t>PAPER BUNTING RETROSPOT</t>
  </si>
  <si>
    <t>SCOTTIE DOG HOT WATER BOTTLE</t>
  </si>
  <si>
    <t>PLEASE ONE PERSON METAL SIGN</t>
  </si>
  <si>
    <t>PINK 3 PIECE MINI DOTS CUTLERY SET</t>
  </si>
  <si>
    <t>CREAM HEART CARD HOLDER</t>
  </si>
  <si>
    <t>RED HANGING HEART T-LIGHT HOLDER</t>
  </si>
  <si>
    <t>GIN + TONIC DIET METAL SIGN</t>
  </si>
  <si>
    <t>BAKING SET 9 PIECE RETROSPOT</t>
  </si>
  <si>
    <t>LUNCH BAG SUKI  DESIGN</t>
  </si>
  <si>
    <t>DOORMAT HEARTS</t>
  </si>
  <si>
    <t>WOODEN PICTURE FRAME WHITE FINISH</t>
  </si>
  <si>
    <t>LUNCH BAG  BLACK SKULL.</t>
  </si>
  <si>
    <t>RETROSPOT TEA SET CERAMIC 11 PC</t>
  </si>
  <si>
    <t>JUMBO BAG OWLS</t>
  </si>
  <si>
    <t>DOLLY GIRL LUNCH BOX</t>
  </si>
  <si>
    <t>DOORMAT FANCY FONT HOME SWEET HOME</t>
  </si>
  <si>
    <t>JUMBO BAG WOODLAND ANIMALS</t>
  </si>
  <si>
    <t>CREAM SWEETHEART MINI CHEST</t>
  </si>
  <si>
    <t>LUNCH BAG CARS BLUE</t>
  </si>
  <si>
    <t>RED WOOLLY HOTTIE WHITE HEART.</t>
  </si>
  <si>
    <t>PACK OF 72 RETROSPOT CAKE CASES</t>
  </si>
  <si>
    <t>JUMBO BAG SCANDINAVIAN PAISLEY</t>
  </si>
  <si>
    <t>WOODEN FRAME ANTIQUE WHITE</t>
  </si>
  <si>
    <t>RED RETROSPOT CHARLOTTE BAG</t>
  </si>
  <si>
    <t>LUNCH BOX I LOVE LONDON</t>
  </si>
  <si>
    <t>DOORMAT FAIRY CAKE</t>
  </si>
  <si>
    <t>RED 3 PIECE MINI DOTS CUTLERY SET</t>
  </si>
  <si>
    <t>PICNIC BASKET WICKER LARGE</t>
  </si>
  <si>
    <t>SET/5 RED RETROSPOT LID GLASS BOWLS</t>
  </si>
  <si>
    <t>ASSORTED COLOURS SILK FAN</t>
  </si>
  <si>
    <t>LUNCH BAG WOODLAND</t>
  </si>
  <si>
    <t>GUMBALL COAT RACK</t>
  </si>
  <si>
    <t>LUNCH BAG SPACEBOY DESIGN</t>
  </si>
  <si>
    <t>COOK WITH WINE METAL SIGN</t>
  </si>
  <si>
    <t>RED RETROSPOT CAKE STAND</t>
  </si>
  <si>
    <t>ROUND SNACK BOXES SET OF 4 FRUITS</t>
  </si>
  <si>
    <t>RETROSPOT HEART HOT WATER BOTTLE</t>
  </si>
  <si>
    <t>WOOD S/3 CABINET ANT WHITE FINISH</t>
  </si>
  <si>
    <t>LUNCH BAG PINK POLKADOT</t>
  </si>
  <si>
    <t>BLUE 3 PIECE MINI DOTS CUTLERY SET</t>
  </si>
  <si>
    <t>MINI PAINT SET VINTAGE</t>
  </si>
  <si>
    <t>HOME BUILDING BLOCK WORD</t>
  </si>
  <si>
    <t>6 RIBBONS RUSTIC CHARM</t>
  </si>
  <si>
    <t>JUMBO BAG SPACEBOY DESIGN</t>
  </si>
  <si>
    <t>HOT BATHS METAL SIGN</t>
  </si>
  <si>
    <t>EDWARDIAN PARASOL BLACK</t>
  </si>
  <si>
    <t>WOODLAND CHARLOTTE BAG</t>
  </si>
  <si>
    <t>HANGING HEART JAR T-LIGHT HOLDER</t>
  </si>
  <si>
    <t>COLOUR GLASS. STAR T-LIGHT HOLDER</t>
  </si>
  <si>
    <t>IVORY KITCHEN SCALES</t>
  </si>
  <si>
    <t>RECYCLING BAG RETROSPOT</t>
  </si>
  <si>
    <t>KNITTED UNION FLAG HOT WATER BOTTLE</t>
  </si>
  <si>
    <t>STRAWBERRY CERAMIC TRINKET BOX</t>
  </si>
  <si>
    <t>PAPER CHAIN KIT EMPIRE</t>
  </si>
  <si>
    <t>SET/4 WHITE RETRO STORAGE CUBES</t>
  </si>
  <si>
    <t>MEMO BOARD RETROSPOT  DESIGN</t>
  </si>
  <si>
    <t>DOORMAT ENGLISH ROSE</t>
  </si>
  <si>
    <t>BOX OF VINTAGE ALPHABET BLOCKS</t>
  </si>
  <si>
    <t>HAND OVER THE CHOCOLATE   SIGN</t>
  </si>
  <si>
    <t>RED KITCHEN SCALES</t>
  </si>
  <si>
    <t>JUMBO STORAGE BAG SKULLS</t>
  </si>
  <si>
    <t>PAPER CHAIN KIT RETROSPOT</t>
  </si>
  <si>
    <t>WOOD 2 DRAWER CABINET WHITE FINISH</t>
  </si>
  <si>
    <t>PLASTERS IN TIN SPACEBOY</t>
  </si>
  <si>
    <t>WORLD WAR 2 GLIDERS ASSTD DESIGNS</t>
  </si>
  <si>
    <t>DOORMAT SPOTTY HOME SWEET HOME</t>
  </si>
  <si>
    <t>PLASTERS IN TIN WOODLAND ANIMALS</t>
  </si>
  <si>
    <t>CLOTHES PEGS RETROSPOT PACK 24</t>
  </si>
  <si>
    <t>3 HOOK PHOTO SHELF ANTIQUE WHITE</t>
  </si>
  <si>
    <t>WOODEN UNION JACK BUNTING</t>
  </si>
  <si>
    <t>ENAMEL FLOWER JUG CREAM</t>
  </si>
  <si>
    <t>RED RETROSPOT MINI CASES</t>
  </si>
  <si>
    <t>LOVE BUILDING BLOCK WORD</t>
  </si>
  <si>
    <t>PINK BLUE FELT CRAFT TRINKET BOX</t>
  </si>
  <si>
    <t>3 HEARTS HANGING DECORATION RUSTIC</t>
  </si>
  <si>
    <t>WOODEN ROUNDERS GARDEN SET</t>
  </si>
  <si>
    <t>DOORMAT WELCOME PUPPIES</t>
  </si>
  <si>
    <t>PINK HAPPY BIRTHDAY BUNTING</t>
  </si>
  <si>
    <t>PACK OF 60 PINK PAISLEY CAKE CASES</t>
  </si>
  <si>
    <t>FELTCRAFT CUSHION OWL</t>
  </si>
  <si>
    <t>PAPER BUNTING WHITE LACE</t>
  </si>
  <si>
    <t>VINTAGE SNAP CARDS</t>
  </si>
  <si>
    <t>FELTCRAFT 6 FLOWER FRIENDS</t>
  </si>
  <si>
    <t>ENAMEL BREAD BIN CREAM</t>
  </si>
  <si>
    <t>BLACK HEART CARD HOLDER</t>
  </si>
  <si>
    <t>STRAWBERRY CHARLOTTE BAG</t>
  </si>
  <si>
    <t>RED RETROSPOT ROUND CAKE TINS</t>
  </si>
  <si>
    <t>SET/3 RED GINGHAM ROSE STORAGE BOX</t>
  </si>
  <si>
    <t>ASSORTED COLOUR MINI CASES</t>
  </si>
  <si>
    <t>RED RETROSPOT PICNIC BAG</t>
  </si>
  <si>
    <t>SET/20 RED RETROSPOT PAPER NAPKINS</t>
  </si>
  <si>
    <t>DOORMAT WELCOME TO OUR HOME</t>
  </si>
  <si>
    <t>FAIRY CAKE FLANNEL ASSORTED COLOUR</t>
  </si>
  <si>
    <t>JUMBO BAG TOYS</t>
  </si>
  <si>
    <t>SET 3 RETROSPOT TEA,COFFEE,SUGAR</t>
  </si>
  <si>
    <t>LUNCH BAG DOLLY GIRL DESIGN</t>
  </si>
  <si>
    <t>RED DINER WALL CLOCK</t>
  </si>
  <si>
    <t>RED RETROSPOT UMBRELLA</t>
  </si>
  <si>
    <t>RECORD FRAME 7" SINGLE SIZE</t>
  </si>
  <si>
    <t>CLASSIC METAL BIRDCAGE PLANT HOLDER</t>
  </si>
  <si>
    <t>WOODEN CROQUET GARDEN SET</t>
  </si>
  <si>
    <t>CHARLOTTE BAG PINK POLKADOT</t>
  </si>
  <si>
    <t>HANGING JAM JAR T-LIGHT HOLDER</t>
  </si>
  <si>
    <t>FELTCRAFT CUSHION RABBIT</t>
  </si>
  <si>
    <t>FAWN BLUE HOT WATER BOTTLE</t>
  </si>
  <si>
    <t>GREEN 3 PIECE MINI DOTS CUTLERY SET</t>
  </si>
  <si>
    <t>BLUE HAPPY BIRTHDAY BUNTING</t>
  </si>
  <si>
    <t>COLOUR GLASS T-LIGHT HOLDER HANGING</t>
  </si>
  <si>
    <t>NO SINGING METAL SIGN</t>
  </si>
  <si>
    <t>DOORMAT BLACK FLOCK</t>
  </si>
  <si>
    <t>BAKING SET SPACEBOY DESIGN</t>
  </si>
  <si>
    <t>VINTAGE HEADS AND TAILS CARD GAME</t>
  </si>
  <si>
    <t>SKU facts  ·  DATA</t>
  </si>
  <si>
    <t>From notebook 01 (last 52 weeks). abc_xyz_python is only used to check that the Excel formulas give the same classes.</t>
  </si>
  <si>
    <t>Sales value 52w (£)</t>
  </si>
  <si>
    <t>Units sold 52w</t>
  </si>
  <si>
    <t>Net sales value 52w (£)</t>
  </si>
  <si>
    <t>abc_xyz_python</t>
  </si>
  <si>
    <t>Fitted smoothing parameters  ·  DATA</t>
  </si>
  <si>
    <t>From notebook 02: for each SKU the α (SES) and α, β, γ (Holt-Winters) with the lowest one-step error on the training weeks 1-91.</t>
  </si>
  <si>
    <t>SES α</t>
  </si>
  <si>
    <t>HW α (level)</t>
  </si>
  <si>
    <t>HW β (trend)</t>
  </si>
  <si>
    <t>HW γ (season)</t>
  </si>
  <si>
    <t>Future forecasts, weeks 104-115 (28-Nov-2011 to 13-Feb-2012)  ·  DATA</t>
  </si>
  <si>
    <t>From notebook 02: all four methods for every SKU, fitted on all 103 weeks. The Policy sheet adds up the first 'lead time' weeks with SUMIFS.</t>
  </si>
  <si>
    <t>Weeks ahead</t>
  </si>
  <si>
    <t>Week no</t>
  </si>
  <si>
    <t>Forecast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</si>
</sst>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0"/>
    <numFmt numFmtId="166" formatCode="\£#,##0.00"/>
    <numFmt numFmtId="167" formatCode="dd\-mmm\-yy"/>
    <numFmt numFmtId="168" formatCode="\£#,##0"/>
    <numFmt numFmtId="169" formatCode="#,##0.0"/>
    <numFmt numFmtId="170" formatCode="\+0%;\-0%;0%"/>
    <numFmt numFmtId="171" formatCode="0.000000"/>
  </numFmts>
  <fonts count="8" x14ac:knownFonts="1">
    <font>
      <sz val="11"/>
      <color theme="1"/>
      <name val="Calibri"/>
      <family val="2"/>
      <scheme val="minor"/>
    </font>
    <font>
      <sz val="15"/>
      <color rgb="FF13233A"/>
      <name val="Segoe UI Semibold"/>
    </font>
    <font>
      <i/>
      <sz val="9"/>
      <color rgb="FF6B6A66"/>
      <name val="Segoe UI"/>
    </font>
    <font>
      <sz val="10"/>
      <name val="Segoe UI Semibold"/>
    </font>
    <font>
      <sz val="10"/>
      <name val="Segoe UI"/>
    </font>
    <font>
      <sz val="10"/>
      <color rgb="FFFFFFFF"/>
      <name val="Segoe UI Semibold"/>
    </font>
    <font>
      <sz val="10"/>
      <color rgb="FF0B5CAD"/>
      <name val="Segoe UI Semibold"/>
    </font>
    <font>
      <sz val="16"/>
      <color rgb="FF13233A"/>
      <name val="Segoe UI Semibold"/>
    </font>
  </fonts>
  <fills count="8">
    <fill>
      <patternFill patternType="none"/>
    </fill>
    <fill>
      <patternFill patternType="gray125"/>
    </fill>
    <fill>
      <patternFill patternType="solid">
        <fgColor rgb="FFDDE7F3"/>
      </patternFill>
    </fill>
    <fill>
      <patternFill patternType="solid">
        <fgColor rgb="FF13233A"/>
      </patternFill>
    </fill>
    <fill>
      <patternFill patternType="solid">
        <fgColor rgb="FFFFF6D5"/>
      </patternFill>
    </fill>
    <fill>
      <patternFill patternType="solid">
        <fgColor rgb="FFF2F1EC"/>
      </patternFill>
    </fill>
    <fill>
      <patternFill patternType="solid">
        <fgColor rgb="FFEEF3FA"/>
      </patternFill>
    </fill>
    <fill>
      <patternFill patternType="solid">
        <fgColor rgb="FFFFF6E8"/>
      </patternFill>
    </fill>
  </fills>
  <borders count="3">
    <border>
      <left/>
      <right/>
      <top/>
      <bottom/>
      <diagonal/>
    </border>
    <border>
      <left style="thin">
        <color rgb="FFD9D9D4"/>
      </left>
      <right style="thin">
        <color rgb="FFD9D9D4"/>
      </right>
      <top style="thin">
        <color rgb="FFD9D9D4"/>
      </top>
      <bottom style="thin">
        <color rgb="FFD9D9D4"/>
      </bottom>
      <diagonal/>
    </border>
    <border>
      <left/>
      <right style="thin">
        <color rgb="FFD9D9D4"/>
      </right>
      <top style="thin">
        <color rgb="FFD9D9D4"/>
      </top>
      <bottom style="thin">
        <color rgb="FFD9D9D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/>
    <xf numFmtId="0" fontId="3" fillId="2" borderId="0" xfId="0" applyFont="1" applyFill="1"/>
    <xf numFmtId="0" fontId="4" fillId="2" borderId="0" xfId="0" applyFont="1" applyFill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6" fillId="4" borderId="1" xfId="0" applyNumberFormat="1" applyFont="1" applyFill="1" applyBorder="1"/>
    <xf numFmtId="0" fontId="4" fillId="0" borderId="1" xfId="0" applyFont="1" applyBorder="1" applyAlignment="1">
      <alignment vertical="top" wrapText="1"/>
    </xf>
    <xf numFmtId="0" fontId="2" fillId="0" borderId="1" xfId="0" applyFont="1" applyBorder="1"/>
    <xf numFmtId="165" fontId="3" fillId="0" borderId="1" xfId="0" applyNumberFormat="1" applyFont="1" applyBorder="1"/>
    <xf numFmtId="1" fontId="6" fillId="4" borderId="1" xfId="0" applyNumberFormat="1" applyFont="1" applyFill="1" applyBorder="1"/>
    <xf numFmtId="9" fontId="6" fillId="4" borderId="1" xfId="0" applyNumberFormat="1" applyFont="1" applyFill="1" applyBorder="1"/>
    <xf numFmtId="166" fontId="6" fillId="4" borderId="1" xfId="0" applyNumberFormat="1" applyFont="1" applyFill="1" applyBorder="1"/>
    <xf numFmtId="1" fontId="3" fillId="0" borderId="1" xfId="0" applyNumberFormat="1" applyFont="1" applyBorder="1"/>
    <xf numFmtId="2" fontId="6" fillId="4" borderId="1" xfId="0" applyNumberFormat="1" applyFont="1" applyFill="1" applyBorder="1"/>
    <xf numFmtId="0" fontId="3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2" fillId="6" borderId="0" xfId="0" applyFont="1" applyFill="1" applyAlignment="1">
      <alignment horizontal="center" vertical="center" wrapText="1"/>
    </xf>
    <xf numFmtId="168" fontId="7" fillId="6" borderId="0" xfId="0" applyNumberFormat="1" applyFont="1" applyFill="1" applyAlignment="1">
      <alignment horizontal="center" vertical="center" wrapText="1"/>
    </xf>
    <xf numFmtId="164" fontId="7" fillId="6" borderId="0" xfId="0" applyNumberFormat="1" applyFont="1" applyFill="1" applyAlignment="1">
      <alignment horizontal="center" vertical="center" wrapText="1"/>
    </xf>
    <xf numFmtId="1" fontId="7" fillId="6" borderId="0" xfId="0" applyNumberFormat="1" applyFont="1" applyFill="1" applyAlignment="1">
      <alignment horizontal="center" vertical="center" wrapText="1"/>
    </xf>
    <xf numFmtId="1" fontId="4" fillId="0" borderId="1" xfId="0" applyNumberFormat="1" applyFont="1" applyBorder="1"/>
    <xf numFmtId="168" fontId="4" fillId="0" borderId="1" xfId="0" applyNumberFormat="1" applyFont="1" applyBorder="1"/>
    <xf numFmtId="168" fontId="3" fillId="0" borderId="1" xfId="0" applyNumberFormat="1" applyFont="1" applyBorder="1"/>
    <xf numFmtId="3" fontId="4" fillId="0" borderId="1" xfId="0" applyNumberFormat="1" applyFont="1" applyBorder="1"/>
    <xf numFmtId="9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169" fontId="4" fillId="0" borderId="1" xfId="0" applyNumberFormat="1" applyFont="1" applyBorder="1"/>
    <xf numFmtId="2" fontId="4" fillId="0" borderId="1" xfId="0" applyNumberFormat="1" applyFont="1" applyBorder="1"/>
    <xf numFmtId="166" fontId="4" fillId="0" borderId="1" xfId="0" applyNumberFormat="1" applyFont="1" applyBorder="1"/>
    <xf numFmtId="164" fontId="3" fillId="0" borderId="1" xfId="0" applyNumberFormat="1" applyFont="1" applyBorder="1"/>
    <xf numFmtId="0" fontId="6" fillId="4" borderId="1" xfId="0" applyFont="1" applyFill="1" applyBorder="1"/>
    <xf numFmtId="170" fontId="4" fillId="0" borderId="1" xfId="0" applyNumberFormat="1" applyFont="1" applyBorder="1"/>
    <xf numFmtId="2" fontId="3" fillId="0" borderId="1" xfId="0" applyNumberFormat="1" applyFont="1" applyBorder="1"/>
    <xf numFmtId="0" fontId="3" fillId="6" borderId="1" xfId="0" applyFont="1" applyFill="1" applyBorder="1"/>
    <xf numFmtId="0" fontId="5" fillId="3" borderId="0" xfId="0" applyFont="1" applyFill="1"/>
    <xf numFmtId="1" fontId="2" fillId="0" borderId="1" xfId="0" applyNumberFormat="1" applyFont="1" applyBorder="1"/>
    <xf numFmtId="167" fontId="4" fillId="0" borderId="1" xfId="0" applyNumberFormat="1" applyFont="1" applyBorder="1"/>
    <xf numFmtId="3" fontId="3" fillId="0" borderId="1" xfId="0" applyNumberFormat="1" applyFont="1" applyBorder="1"/>
    <xf numFmtId="169" fontId="2" fillId="0" borderId="1" xfId="0" applyNumberFormat="1" applyFont="1" applyBorder="1"/>
    <xf numFmtId="1" fontId="2" fillId="6" borderId="1" xfId="0" applyNumberFormat="1" applyFont="1" applyFill="1" applyBorder="1"/>
    <xf numFmtId="167" fontId="4" fillId="6" borderId="1" xfId="0" applyNumberFormat="1" applyFont="1" applyFill="1" applyBorder="1"/>
    <xf numFmtId="0" fontId="4" fillId="6" borderId="1" xfId="0" applyFont="1" applyFill="1" applyBorder="1"/>
    <xf numFmtId="3" fontId="3" fillId="6" borderId="1" xfId="0" applyNumberFormat="1" applyFont="1" applyFill="1" applyBorder="1"/>
    <xf numFmtId="169" fontId="4" fillId="6" borderId="1" xfId="0" applyNumberFormat="1" applyFont="1" applyFill="1" applyBorder="1"/>
    <xf numFmtId="0" fontId="0" fillId="6" borderId="0" xfId="0" applyFill="1"/>
    <xf numFmtId="2" fontId="4" fillId="6" borderId="1" xfId="0" applyNumberFormat="1" applyFont="1" applyFill="1" applyBorder="1"/>
    <xf numFmtId="1" fontId="2" fillId="7" borderId="1" xfId="0" applyNumberFormat="1" applyFont="1" applyFill="1" applyBorder="1"/>
    <xf numFmtId="167" fontId="4" fillId="7" borderId="1" xfId="0" applyNumberFormat="1" applyFont="1" applyFill="1" applyBorder="1"/>
    <xf numFmtId="0" fontId="4" fillId="7" borderId="1" xfId="0" applyFont="1" applyFill="1" applyBorder="1"/>
    <xf numFmtId="3" fontId="3" fillId="7" borderId="1" xfId="0" applyNumberFormat="1" applyFont="1" applyFill="1" applyBorder="1"/>
    <xf numFmtId="0" fontId="0" fillId="7" borderId="0" xfId="0" applyFill="1"/>
    <xf numFmtId="169" fontId="4" fillId="7" borderId="1" xfId="0" applyNumberFormat="1" applyFont="1" applyFill="1" applyBorder="1"/>
    <xf numFmtId="0" fontId="4" fillId="5" borderId="0" xfId="0" applyFont="1" applyFill="1"/>
    <xf numFmtId="169" fontId="4" fillId="5" borderId="0" xfId="0" applyNumberFormat="1" applyFont="1" applyFill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/>
    <xf numFmtId="170" fontId="3" fillId="0" borderId="1" xfId="0" applyNumberFormat="1" applyFont="1" applyBorder="1"/>
    <xf numFmtId="171" fontId="4" fillId="0" borderId="1" xfId="0" applyNumberFormat="1" applyFont="1" applyBorder="1"/>
    <xf numFmtId="167" fontId="2" fillId="0" borderId="0" xfId="0" applyNumberFormat="1" applyFont="1" applyAlignment="1">
      <alignment horizontal="center" vertical="center" wrapText="1"/>
    </xf>
    <xf numFmtId="0" fontId="0" fillId="5" borderId="0" xfId="0" applyFill="1"/>
    <xf numFmtId="168" fontId="4" fillId="5" borderId="0" xfId="0" applyNumberFormat="1" applyFont="1" applyFill="1"/>
    <xf numFmtId="3" fontId="4" fillId="5" borderId="0" xfId="0" applyNumberFormat="1" applyFont="1" applyFill="1"/>
    <xf numFmtId="0" fontId="3" fillId="0" borderId="1" xfId="0" applyFont="1" applyBorder="1"/>
    <xf numFmtId="0" fontId="0" fillId="0" borderId="2" xfId="0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9">
    <dxf>
      <fill>
        <patternFill patternType="solid">
          <fgColor rgb="FFD8EDDC"/>
        </patternFill>
      </fill>
    </dxf>
    <dxf>
      <fill>
        <patternFill patternType="solid">
          <fgColor rgb="FFFCE8C8"/>
        </patternFill>
      </fill>
    </dxf>
    <dxf>
      <fill>
        <patternFill patternType="solid">
          <fgColor rgb="FFF6D3CF"/>
        </patternFill>
      </fill>
    </dxf>
    <dxf>
      <font>
        <color rgb="FFB4361F"/>
      </font>
    </dxf>
    <dxf>
      <font>
        <b/>
      </font>
      <fill>
        <patternFill patternType="solid">
          <fgColor rgb="FFCFE3D4"/>
        </patternFill>
      </fill>
    </dxf>
    <dxf>
      <font>
        <color rgb="FFBFBFBF"/>
      </font>
    </dxf>
    <dxf>
      <fill>
        <patternFill patternType="solid">
          <fgColor rgb="FFCFE3D4"/>
        </patternFill>
      </fill>
    </dxf>
    <dxf>
      <font>
        <b/>
        <color rgb="FFB4361F"/>
      </font>
    </dxf>
    <dxf>
      <font>
        <b/>
        <color rgb="FFB4361F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Selected SKU: weekly demand vs forecasts, units (weeks 60-115)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</c:v>
          </c:tx>
          <c:spPr>
            <a:ln w="28000">
              <a:solidFill>
                <a:srgbClr val="13233A"/>
              </a:solidFill>
              <a:prstDash val="solid"/>
            </a:ln>
          </c:spPr>
          <c:marker>
            <c:symbol val="none"/>
          </c:marker>
          <c:cat>
            <c:numRef>
              <c:f>Forecast!$B$74:$B$129</c:f>
              <c:numCache>
                <c:formatCode>dd\-mmm\-yy</c:formatCode>
                <c:ptCount val="56"/>
                <c:pt idx="0">
                  <c:v>40567</c:v>
                </c:pt>
                <c:pt idx="1">
                  <c:v>40574</c:v>
                </c:pt>
                <c:pt idx="2">
                  <c:v>40581</c:v>
                </c:pt>
                <c:pt idx="3">
                  <c:v>40588</c:v>
                </c:pt>
                <c:pt idx="4">
                  <c:v>40595</c:v>
                </c:pt>
                <c:pt idx="5">
                  <c:v>40602</c:v>
                </c:pt>
                <c:pt idx="6">
                  <c:v>40609</c:v>
                </c:pt>
                <c:pt idx="7">
                  <c:v>40616</c:v>
                </c:pt>
                <c:pt idx="8">
                  <c:v>40623</c:v>
                </c:pt>
                <c:pt idx="9">
                  <c:v>40630</c:v>
                </c:pt>
                <c:pt idx="10">
                  <c:v>40637</c:v>
                </c:pt>
                <c:pt idx="11">
                  <c:v>40644</c:v>
                </c:pt>
                <c:pt idx="12">
                  <c:v>40651</c:v>
                </c:pt>
                <c:pt idx="13">
                  <c:v>40658</c:v>
                </c:pt>
                <c:pt idx="14">
                  <c:v>40665</c:v>
                </c:pt>
                <c:pt idx="15">
                  <c:v>40672</c:v>
                </c:pt>
                <c:pt idx="16">
                  <c:v>40679</c:v>
                </c:pt>
                <c:pt idx="17">
                  <c:v>40686</c:v>
                </c:pt>
                <c:pt idx="18">
                  <c:v>40693</c:v>
                </c:pt>
                <c:pt idx="19">
                  <c:v>40700</c:v>
                </c:pt>
                <c:pt idx="20">
                  <c:v>40707</c:v>
                </c:pt>
                <c:pt idx="21">
                  <c:v>40714</c:v>
                </c:pt>
                <c:pt idx="22">
                  <c:v>40721</c:v>
                </c:pt>
                <c:pt idx="23">
                  <c:v>40728</c:v>
                </c:pt>
                <c:pt idx="24">
                  <c:v>40735</c:v>
                </c:pt>
                <c:pt idx="25">
                  <c:v>40742</c:v>
                </c:pt>
                <c:pt idx="26">
                  <c:v>40749</c:v>
                </c:pt>
                <c:pt idx="27">
                  <c:v>40756</c:v>
                </c:pt>
                <c:pt idx="28">
                  <c:v>40763</c:v>
                </c:pt>
                <c:pt idx="29">
                  <c:v>40770</c:v>
                </c:pt>
                <c:pt idx="30">
                  <c:v>40777</c:v>
                </c:pt>
                <c:pt idx="31">
                  <c:v>40784</c:v>
                </c:pt>
                <c:pt idx="32">
                  <c:v>40791</c:v>
                </c:pt>
                <c:pt idx="33">
                  <c:v>40798</c:v>
                </c:pt>
                <c:pt idx="34">
                  <c:v>40805</c:v>
                </c:pt>
                <c:pt idx="35">
                  <c:v>40812</c:v>
                </c:pt>
                <c:pt idx="36">
                  <c:v>40819</c:v>
                </c:pt>
                <c:pt idx="37">
                  <c:v>40826</c:v>
                </c:pt>
                <c:pt idx="38">
                  <c:v>40833</c:v>
                </c:pt>
                <c:pt idx="39">
                  <c:v>40840</c:v>
                </c:pt>
                <c:pt idx="40">
                  <c:v>40847</c:v>
                </c:pt>
                <c:pt idx="41">
                  <c:v>40854</c:v>
                </c:pt>
                <c:pt idx="42">
                  <c:v>40861</c:v>
                </c:pt>
                <c:pt idx="43">
                  <c:v>40868</c:v>
                </c:pt>
                <c:pt idx="44">
                  <c:v>40875</c:v>
                </c:pt>
                <c:pt idx="45">
                  <c:v>40882</c:v>
                </c:pt>
                <c:pt idx="46">
                  <c:v>40889</c:v>
                </c:pt>
                <c:pt idx="47">
                  <c:v>40896</c:v>
                </c:pt>
                <c:pt idx="48">
                  <c:v>40903</c:v>
                </c:pt>
                <c:pt idx="49">
                  <c:v>40910</c:v>
                </c:pt>
                <c:pt idx="50">
                  <c:v>40917</c:v>
                </c:pt>
                <c:pt idx="51">
                  <c:v>40924</c:v>
                </c:pt>
                <c:pt idx="52">
                  <c:v>40931</c:v>
                </c:pt>
                <c:pt idx="53">
                  <c:v>40938</c:v>
                </c:pt>
                <c:pt idx="54">
                  <c:v>40945</c:v>
                </c:pt>
                <c:pt idx="55">
                  <c:v>40952</c:v>
                </c:pt>
              </c:numCache>
            </c:numRef>
          </c:cat>
          <c:val>
            <c:numRef>
              <c:f>Forecast!$D$74:$D$129</c:f>
              <c:numCache>
                <c:formatCode>#,##0</c:formatCode>
                <c:ptCount val="56"/>
                <c:pt idx="0">
                  <c:v>540</c:v>
                </c:pt>
                <c:pt idx="1">
                  <c:v>586</c:v>
                </c:pt>
                <c:pt idx="2">
                  <c:v>516</c:v>
                </c:pt>
                <c:pt idx="3">
                  <c:v>365</c:v>
                </c:pt>
                <c:pt idx="4">
                  <c:v>401</c:v>
                </c:pt>
                <c:pt idx="5">
                  <c:v>380</c:v>
                </c:pt>
                <c:pt idx="6">
                  <c:v>446</c:v>
                </c:pt>
                <c:pt idx="7">
                  <c:v>463</c:v>
                </c:pt>
                <c:pt idx="8">
                  <c:v>365</c:v>
                </c:pt>
                <c:pt idx="9">
                  <c:v>574</c:v>
                </c:pt>
                <c:pt idx="10">
                  <c:v>368</c:v>
                </c:pt>
                <c:pt idx="11">
                  <c:v>474</c:v>
                </c:pt>
                <c:pt idx="12">
                  <c:v>492</c:v>
                </c:pt>
                <c:pt idx="13">
                  <c:v>375</c:v>
                </c:pt>
                <c:pt idx="14">
                  <c:v>1144</c:v>
                </c:pt>
                <c:pt idx="15">
                  <c:v>880</c:v>
                </c:pt>
                <c:pt idx="16">
                  <c:v>794</c:v>
                </c:pt>
                <c:pt idx="17">
                  <c:v>1023</c:v>
                </c:pt>
                <c:pt idx="18">
                  <c:v>629</c:v>
                </c:pt>
                <c:pt idx="19">
                  <c:v>372</c:v>
                </c:pt>
                <c:pt idx="20">
                  <c:v>390</c:v>
                </c:pt>
                <c:pt idx="21">
                  <c:v>236</c:v>
                </c:pt>
                <c:pt idx="22">
                  <c:v>258</c:v>
                </c:pt>
                <c:pt idx="23">
                  <c:v>263</c:v>
                </c:pt>
                <c:pt idx="24">
                  <c:v>1198</c:v>
                </c:pt>
                <c:pt idx="25">
                  <c:v>720</c:v>
                </c:pt>
                <c:pt idx="26">
                  <c:v>780</c:v>
                </c:pt>
                <c:pt idx="27">
                  <c:v>438</c:v>
                </c:pt>
                <c:pt idx="28">
                  <c:v>470</c:v>
                </c:pt>
                <c:pt idx="29">
                  <c:v>296</c:v>
                </c:pt>
                <c:pt idx="30">
                  <c:v>775</c:v>
                </c:pt>
                <c:pt idx="31">
                  <c:v>388</c:v>
                </c:pt>
                <c:pt idx="32">
                  <c:v>449</c:v>
                </c:pt>
                <c:pt idx="33">
                  <c:v>662</c:v>
                </c:pt>
                <c:pt idx="34">
                  <c:v>697</c:v>
                </c:pt>
                <c:pt idx="35">
                  <c:v>404</c:v>
                </c:pt>
                <c:pt idx="36">
                  <c:v>162</c:v>
                </c:pt>
                <c:pt idx="37">
                  <c:v>683</c:v>
                </c:pt>
                <c:pt idx="38">
                  <c:v>233</c:v>
                </c:pt>
                <c:pt idx="39">
                  <c:v>447</c:v>
                </c:pt>
                <c:pt idx="40">
                  <c:v>1705</c:v>
                </c:pt>
                <c:pt idx="41">
                  <c:v>594</c:v>
                </c:pt>
                <c:pt idx="42">
                  <c:v>1321</c:v>
                </c:pt>
                <c:pt idx="43">
                  <c:v>903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4-4CF0-952F-4F16B4DF5FCD}"/>
            </c:ext>
          </c:extLst>
        </c:ser>
        <c:ser>
          <c:idx val="1"/>
          <c:order val="1"/>
          <c:tx>
            <c:v>SES</c:v>
          </c:tx>
          <c:spPr>
            <a:ln w="19000">
              <a:solidFill>
                <a:srgbClr val="8A8A85"/>
              </a:solidFill>
              <a:prstDash val="dash"/>
            </a:ln>
          </c:spPr>
          <c:marker>
            <c:symbol val="none"/>
          </c:marker>
          <c:cat>
            <c:numRef>
              <c:f>Forecast!$B$74:$B$129</c:f>
              <c:numCache>
                <c:formatCode>dd\-mmm\-yy</c:formatCode>
                <c:ptCount val="56"/>
                <c:pt idx="0">
                  <c:v>40567</c:v>
                </c:pt>
                <c:pt idx="1">
                  <c:v>40574</c:v>
                </c:pt>
                <c:pt idx="2">
                  <c:v>40581</c:v>
                </c:pt>
                <c:pt idx="3">
                  <c:v>40588</c:v>
                </c:pt>
                <c:pt idx="4">
                  <c:v>40595</c:v>
                </c:pt>
                <c:pt idx="5">
                  <c:v>40602</c:v>
                </c:pt>
                <c:pt idx="6">
                  <c:v>40609</c:v>
                </c:pt>
                <c:pt idx="7">
                  <c:v>40616</c:v>
                </c:pt>
                <c:pt idx="8">
                  <c:v>40623</c:v>
                </c:pt>
                <c:pt idx="9">
                  <c:v>40630</c:v>
                </c:pt>
                <c:pt idx="10">
                  <c:v>40637</c:v>
                </c:pt>
                <c:pt idx="11">
                  <c:v>40644</c:v>
                </c:pt>
                <c:pt idx="12">
                  <c:v>40651</c:v>
                </c:pt>
                <c:pt idx="13">
                  <c:v>40658</c:v>
                </c:pt>
                <c:pt idx="14">
                  <c:v>40665</c:v>
                </c:pt>
                <c:pt idx="15">
                  <c:v>40672</c:v>
                </c:pt>
                <c:pt idx="16">
                  <c:v>40679</c:v>
                </c:pt>
                <c:pt idx="17">
                  <c:v>40686</c:v>
                </c:pt>
                <c:pt idx="18">
                  <c:v>40693</c:v>
                </c:pt>
                <c:pt idx="19">
                  <c:v>40700</c:v>
                </c:pt>
                <c:pt idx="20">
                  <c:v>40707</c:v>
                </c:pt>
                <c:pt idx="21">
                  <c:v>40714</c:v>
                </c:pt>
                <c:pt idx="22">
                  <c:v>40721</c:v>
                </c:pt>
                <c:pt idx="23">
                  <c:v>40728</c:v>
                </c:pt>
                <c:pt idx="24">
                  <c:v>40735</c:v>
                </c:pt>
                <c:pt idx="25">
                  <c:v>40742</c:v>
                </c:pt>
                <c:pt idx="26">
                  <c:v>40749</c:v>
                </c:pt>
                <c:pt idx="27">
                  <c:v>40756</c:v>
                </c:pt>
                <c:pt idx="28">
                  <c:v>40763</c:v>
                </c:pt>
                <c:pt idx="29">
                  <c:v>40770</c:v>
                </c:pt>
                <c:pt idx="30">
                  <c:v>40777</c:v>
                </c:pt>
                <c:pt idx="31">
                  <c:v>40784</c:v>
                </c:pt>
                <c:pt idx="32">
                  <c:v>40791</c:v>
                </c:pt>
                <c:pt idx="33">
                  <c:v>40798</c:v>
                </c:pt>
                <c:pt idx="34">
                  <c:v>40805</c:v>
                </c:pt>
                <c:pt idx="35">
                  <c:v>40812</c:v>
                </c:pt>
                <c:pt idx="36">
                  <c:v>40819</c:v>
                </c:pt>
                <c:pt idx="37">
                  <c:v>40826</c:v>
                </c:pt>
                <c:pt idx="38">
                  <c:v>40833</c:v>
                </c:pt>
                <c:pt idx="39">
                  <c:v>40840</c:v>
                </c:pt>
                <c:pt idx="40">
                  <c:v>40847</c:v>
                </c:pt>
                <c:pt idx="41">
                  <c:v>40854</c:v>
                </c:pt>
                <c:pt idx="42">
                  <c:v>40861</c:v>
                </c:pt>
                <c:pt idx="43">
                  <c:v>40868</c:v>
                </c:pt>
                <c:pt idx="44">
                  <c:v>40875</c:v>
                </c:pt>
                <c:pt idx="45">
                  <c:v>40882</c:v>
                </c:pt>
                <c:pt idx="46">
                  <c:v>40889</c:v>
                </c:pt>
                <c:pt idx="47">
                  <c:v>40896</c:v>
                </c:pt>
                <c:pt idx="48">
                  <c:v>40903</c:v>
                </c:pt>
                <c:pt idx="49">
                  <c:v>40910</c:v>
                </c:pt>
                <c:pt idx="50">
                  <c:v>40917</c:v>
                </c:pt>
                <c:pt idx="51">
                  <c:v>40924</c:v>
                </c:pt>
                <c:pt idx="52">
                  <c:v>40931</c:v>
                </c:pt>
                <c:pt idx="53">
                  <c:v>40938</c:v>
                </c:pt>
                <c:pt idx="54">
                  <c:v>40945</c:v>
                </c:pt>
                <c:pt idx="55">
                  <c:v>40952</c:v>
                </c:pt>
              </c:numCache>
            </c:numRef>
          </c:cat>
          <c:val>
            <c:numRef>
              <c:f>Forecast!$F$74:$F$129</c:f>
              <c:numCache>
                <c:formatCode>#,##0.0</c:formatCode>
                <c:ptCount val="5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491.4205908708812</c:v>
                </c:pt>
                <c:pt idx="33">
                  <c:v>491.4205908708812</c:v>
                </c:pt>
                <c:pt idx="34">
                  <c:v>491.4205908708812</c:v>
                </c:pt>
                <c:pt idx="35">
                  <c:v>491.4205908708812</c:v>
                </c:pt>
                <c:pt idx="36">
                  <c:v>491.4205908708812</c:v>
                </c:pt>
                <c:pt idx="37">
                  <c:v>491.4205908708812</c:v>
                </c:pt>
                <c:pt idx="38">
                  <c:v>491.4205908708812</c:v>
                </c:pt>
                <c:pt idx="39">
                  <c:v>491.4205908708812</c:v>
                </c:pt>
                <c:pt idx="40">
                  <c:v>491.4205908708812</c:v>
                </c:pt>
                <c:pt idx="41">
                  <c:v>491.4205908708812</c:v>
                </c:pt>
                <c:pt idx="42">
                  <c:v>491.4205908708812</c:v>
                </c:pt>
                <c:pt idx="43">
                  <c:v>491.4205908708812</c:v>
                </c:pt>
                <c:pt idx="44">
                  <c:v>988.16318862081812</c:v>
                </c:pt>
                <c:pt idx="45">
                  <c:v>988.16318862081812</c:v>
                </c:pt>
                <c:pt idx="46">
                  <c:v>988.16318862081812</c:v>
                </c:pt>
                <c:pt idx="47">
                  <c:v>988.16318862081812</c:v>
                </c:pt>
                <c:pt idx="48">
                  <c:v>988.16318862081812</c:v>
                </c:pt>
                <c:pt idx="49">
                  <c:v>988.16318862081812</c:v>
                </c:pt>
                <c:pt idx="50">
                  <c:v>988.16318862081812</c:v>
                </c:pt>
                <c:pt idx="51">
                  <c:v>988.16318862081812</c:v>
                </c:pt>
                <c:pt idx="52">
                  <c:v>988.16318862081812</c:v>
                </c:pt>
                <c:pt idx="53">
                  <c:v>988.16318862081812</c:v>
                </c:pt>
                <c:pt idx="54">
                  <c:v>988.16318862081812</c:v>
                </c:pt>
                <c:pt idx="55">
                  <c:v>988.16318862081812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4-4CF0-952F-4F16B4DF5FCD}"/>
            </c:ext>
          </c:extLst>
        </c:ser>
        <c:ser>
          <c:idx val="2"/>
          <c:order val="2"/>
          <c:tx>
            <c:v>Naive</c:v>
          </c:tx>
          <c:spPr>
            <a:ln w="19000">
              <a:solidFill>
                <a:srgbClr val="B4B2A9"/>
              </a:solidFill>
              <a:prstDash val="sysDot"/>
            </a:ln>
          </c:spPr>
          <c:marker>
            <c:symbol val="none"/>
          </c:marker>
          <c:cat>
            <c:numRef>
              <c:f>Forecast!$B$74:$B$129</c:f>
              <c:numCache>
                <c:formatCode>dd\-mmm\-yy</c:formatCode>
                <c:ptCount val="56"/>
                <c:pt idx="0">
                  <c:v>40567</c:v>
                </c:pt>
                <c:pt idx="1">
                  <c:v>40574</c:v>
                </c:pt>
                <c:pt idx="2">
                  <c:v>40581</c:v>
                </c:pt>
                <c:pt idx="3">
                  <c:v>40588</c:v>
                </c:pt>
                <c:pt idx="4">
                  <c:v>40595</c:v>
                </c:pt>
                <c:pt idx="5">
                  <c:v>40602</c:v>
                </c:pt>
                <c:pt idx="6">
                  <c:v>40609</c:v>
                </c:pt>
                <c:pt idx="7">
                  <c:v>40616</c:v>
                </c:pt>
                <c:pt idx="8">
                  <c:v>40623</c:v>
                </c:pt>
                <c:pt idx="9">
                  <c:v>40630</c:v>
                </c:pt>
                <c:pt idx="10">
                  <c:v>40637</c:v>
                </c:pt>
                <c:pt idx="11">
                  <c:v>40644</c:v>
                </c:pt>
                <c:pt idx="12">
                  <c:v>40651</c:v>
                </c:pt>
                <c:pt idx="13">
                  <c:v>40658</c:v>
                </c:pt>
                <c:pt idx="14">
                  <c:v>40665</c:v>
                </c:pt>
                <c:pt idx="15">
                  <c:v>40672</c:v>
                </c:pt>
                <c:pt idx="16">
                  <c:v>40679</c:v>
                </c:pt>
                <c:pt idx="17">
                  <c:v>40686</c:v>
                </c:pt>
                <c:pt idx="18">
                  <c:v>40693</c:v>
                </c:pt>
                <c:pt idx="19">
                  <c:v>40700</c:v>
                </c:pt>
                <c:pt idx="20">
                  <c:v>40707</c:v>
                </c:pt>
                <c:pt idx="21">
                  <c:v>40714</c:v>
                </c:pt>
                <c:pt idx="22">
                  <c:v>40721</c:v>
                </c:pt>
                <c:pt idx="23">
                  <c:v>40728</c:v>
                </c:pt>
                <c:pt idx="24">
                  <c:v>40735</c:v>
                </c:pt>
                <c:pt idx="25">
                  <c:v>40742</c:v>
                </c:pt>
                <c:pt idx="26">
                  <c:v>40749</c:v>
                </c:pt>
                <c:pt idx="27">
                  <c:v>40756</c:v>
                </c:pt>
                <c:pt idx="28">
                  <c:v>40763</c:v>
                </c:pt>
                <c:pt idx="29">
                  <c:v>40770</c:v>
                </c:pt>
                <c:pt idx="30">
                  <c:v>40777</c:v>
                </c:pt>
                <c:pt idx="31">
                  <c:v>40784</c:v>
                </c:pt>
                <c:pt idx="32">
                  <c:v>40791</c:v>
                </c:pt>
                <c:pt idx="33">
                  <c:v>40798</c:v>
                </c:pt>
                <c:pt idx="34">
                  <c:v>40805</c:v>
                </c:pt>
                <c:pt idx="35">
                  <c:v>40812</c:v>
                </c:pt>
                <c:pt idx="36">
                  <c:v>40819</c:v>
                </c:pt>
                <c:pt idx="37">
                  <c:v>40826</c:v>
                </c:pt>
                <c:pt idx="38">
                  <c:v>40833</c:v>
                </c:pt>
                <c:pt idx="39">
                  <c:v>40840</c:v>
                </c:pt>
                <c:pt idx="40">
                  <c:v>40847</c:v>
                </c:pt>
                <c:pt idx="41">
                  <c:v>40854</c:v>
                </c:pt>
                <c:pt idx="42">
                  <c:v>40861</c:v>
                </c:pt>
                <c:pt idx="43">
                  <c:v>40868</c:v>
                </c:pt>
                <c:pt idx="44">
                  <c:v>40875</c:v>
                </c:pt>
                <c:pt idx="45">
                  <c:v>40882</c:v>
                </c:pt>
                <c:pt idx="46">
                  <c:v>40889</c:v>
                </c:pt>
                <c:pt idx="47">
                  <c:v>40896</c:v>
                </c:pt>
                <c:pt idx="48">
                  <c:v>40903</c:v>
                </c:pt>
                <c:pt idx="49">
                  <c:v>40910</c:v>
                </c:pt>
                <c:pt idx="50">
                  <c:v>40917</c:v>
                </c:pt>
                <c:pt idx="51">
                  <c:v>40924</c:v>
                </c:pt>
                <c:pt idx="52">
                  <c:v>40931</c:v>
                </c:pt>
                <c:pt idx="53">
                  <c:v>40938</c:v>
                </c:pt>
                <c:pt idx="54">
                  <c:v>40945</c:v>
                </c:pt>
                <c:pt idx="55">
                  <c:v>40952</c:v>
                </c:pt>
              </c:numCache>
            </c:numRef>
          </c:cat>
          <c:val>
            <c:numRef>
              <c:f>Forecast!$G$74:$G$129</c:f>
              <c:numCache>
                <c:formatCode>#,##0.0</c:formatCode>
                <c:ptCount val="5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388</c:v>
                </c:pt>
                <c:pt idx="33">
                  <c:v>388</c:v>
                </c:pt>
                <c:pt idx="34">
                  <c:v>388</c:v>
                </c:pt>
                <c:pt idx="35">
                  <c:v>388</c:v>
                </c:pt>
                <c:pt idx="36">
                  <c:v>388</c:v>
                </c:pt>
                <c:pt idx="37">
                  <c:v>388</c:v>
                </c:pt>
                <c:pt idx="38">
                  <c:v>388</c:v>
                </c:pt>
                <c:pt idx="39">
                  <c:v>388</c:v>
                </c:pt>
                <c:pt idx="40">
                  <c:v>388</c:v>
                </c:pt>
                <c:pt idx="41">
                  <c:v>388</c:v>
                </c:pt>
                <c:pt idx="42">
                  <c:v>388</c:v>
                </c:pt>
                <c:pt idx="43">
                  <c:v>388</c:v>
                </c:pt>
                <c:pt idx="44">
                  <c:v>903</c:v>
                </c:pt>
                <c:pt idx="45">
                  <c:v>903</c:v>
                </c:pt>
                <c:pt idx="46">
                  <c:v>903</c:v>
                </c:pt>
                <c:pt idx="47">
                  <c:v>903</c:v>
                </c:pt>
                <c:pt idx="48">
                  <c:v>903</c:v>
                </c:pt>
                <c:pt idx="49">
                  <c:v>903</c:v>
                </c:pt>
                <c:pt idx="50">
                  <c:v>903</c:v>
                </c:pt>
                <c:pt idx="51">
                  <c:v>903</c:v>
                </c:pt>
                <c:pt idx="52">
                  <c:v>903</c:v>
                </c:pt>
                <c:pt idx="53">
                  <c:v>903</c:v>
                </c:pt>
                <c:pt idx="54">
                  <c:v>903</c:v>
                </c:pt>
                <c:pt idx="55">
                  <c:v>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4-4CF0-952F-4F16B4DF5FCD}"/>
            </c:ext>
          </c:extLst>
        </c:ser>
        <c:ser>
          <c:idx val="3"/>
          <c:order val="3"/>
          <c:tx>
            <c:v>Moving average</c:v>
          </c:tx>
          <c:spPr>
            <a:ln w="19000">
              <a:solidFill>
                <a:srgbClr val="1BAF7A"/>
              </a:solidFill>
              <a:prstDash val="solid"/>
            </a:ln>
          </c:spPr>
          <c:marker>
            <c:symbol val="none"/>
          </c:marker>
          <c:cat>
            <c:numRef>
              <c:f>Forecast!$B$74:$B$129</c:f>
              <c:numCache>
                <c:formatCode>dd\-mmm\-yy</c:formatCode>
                <c:ptCount val="56"/>
                <c:pt idx="0">
                  <c:v>40567</c:v>
                </c:pt>
                <c:pt idx="1">
                  <c:v>40574</c:v>
                </c:pt>
                <c:pt idx="2">
                  <c:v>40581</c:v>
                </c:pt>
                <c:pt idx="3">
                  <c:v>40588</c:v>
                </c:pt>
                <c:pt idx="4">
                  <c:v>40595</c:v>
                </c:pt>
                <c:pt idx="5">
                  <c:v>40602</c:v>
                </c:pt>
                <c:pt idx="6">
                  <c:v>40609</c:v>
                </c:pt>
                <c:pt idx="7">
                  <c:v>40616</c:v>
                </c:pt>
                <c:pt idx="8">
                  <c:v>40623</c:v>
                </c:pt>
                <c:pt idx="9">
                  <c:v>40630</c:v>
                </c:pt>
                <c:pt idx="10">
                  <c:v>40637</c:v>
                </c:pt>
                <c:pt idx="11">
                  <c:v>40644</c:v>
                </c:pt>
                <c:pt idx="12">
                  <c:v>40651</c:v>
                </c:pt>
                <c:pt idx="13">
                  <c:v>40658</c:v>
                </c:pt>
                <c:pt idx="14">
                  <c:v>40665</c:v>
                </c:pt>
                <c:pt idx="15">
                  <c:v>40672</c:v>
                </c:pt>
                <c:pt idx="16">
                  <c:v>40679</c:v>
                </c:pt>
                <c:pt idx="17">
                  <c:v>40686</c:v>
                </c:pt>
                <c:pt idx="18">
                  <c:v>40693</c:v>
                </c:pt>
                <c:pt idx="19">
                  <c:v>40700</c:v>
                </c:pt>
                <c:pt idx="20">
                  <c:v>40707</c:v>
                </c:pt>
                <c:pt idx="21">
                  <c:v>40714</c:v>
                </c:pt>
                <c:pt idx="22">
                  <c:v>40721</c:v>
                </c:pt>
                <c:pt idx="23">
                  <c:v>40728</c:v>
                </c:pt>
                <c:pt idx="24">
                  <c:v>40735</c:v>
                </c:pt>
                <c:pt idx="25">
                  <c:v>40742</c:v>
                </c:pt>
                <c:pt idx="26">
                  <c:v>40749</c:v>
                </c:pt>
                <c:pt idx="27">
                  <c:v>40756</c:v>
                </c:pt>
                <c:pt idx="28">
                  <c:v>40763</c:v>
                </c:pt>
                <c:pt idx="29">
                  <c:v>40770</c:v>
                </c:pt>
                <c:pt idx="30">
                  <c:v>40777</c:v>
                </c:pt>
                <c:pt idx="31">
                  <c:v>40784</c:v>
                </c:pt>
                <c:pt idx="32">
                  <c:v>40791</c:v>
                </c:pt>
                <c:pt idx="33">
                  <c:v>40798</c:v>
                </c:pt>
                <c:pt idx="34">
                  <c:v>40805</c:v>
                </c:pt>
                <c:pt idx="35">
                  <c:v>40812</c:v>
                </c:pt>
                <c:pt idx="36">
                  <c:v>40819</c:v>
                </c:pt>
                <c:pt idx="37">
                  <c:v>40826</c:v>
                </c:pt>
                <c:pt idx="38">
                  <c:v>40833</c:v>
                </c:pt>
                <c:pt idx="39">
                  <c:v>40840</c:v>
                </c:pt>
                <c:pt idx="40">
                  <c:v>40847</c:v>
                </c:pt>
                <c:pt idx="41">
                  <c:v>40854</c:v>
                </c:pt>
                <c:pt idx="42">
                  <c:v>40861</c:v>
                </c:pt>
                <c:pt idx="43">
                  <c:v>40868</c:v>
                </c:pt>
                <c:pt idx="44">
                  <c:v>40875</c:v>
                </c:pt>
                <c:pt idx="45">
                  <c:v>40882</c:v>
                </c:pt>
                <c:pt idx="46">
                  <c:v>40889</c:v>
                </c:pt>
                <c:pt idx="47">
                  <c:v>40896</c:v>
                </c:pt>
                <c:pt idx="48">
                  <c:v>40903</c:v>
                </c:pt>
                <c:pt idx="49">
                  <c:v>40910</c:v>
                </c:pt>
                <c:pt idx="50">
                  <c:v>40917</c:v>
                </c:pt>
                <c:pt idx="51">
                  <c:v>40924</c:v>
                </c:pt>
                <c:pt idx="52">
                  <c:v>40931</c:v>
                </c:pt>
                <c:pt idx="53">
                  <c:v>40938</c:v>
                </c:pt>
                <c:pt idx="54">
                  <c:v>40945</c:v>
                </c:pt>
                <c:pt idx="55">
                  <c:v>40952</c:v>
                </c:pt>
              </c:numCache>
            </c:numRef>
          </c:cat>
          <c:val>
            <c:numRef>
              <c:f>Forecast!$H$74:$H$129</c:f>
              <c:numCache>
                <c:formatCode>#,##0.0</c:formatCode>
                <c:ptCount val="5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633.125</c:v>
                </c:pt>
                <c:pt idx="33">
                  <c:v>633.125</c:v>
                </c:pt>
                <c:pt idx="34">
                  <c:v>633.125</c:v>
                </c:pt>
                <c:pt idx="35">
                  <c:v>633.125</c:v>
                </c:pt>
                <c:pt idx="36">
                  <c:v>633.125</c:v>
                </c:pt>
                <c:pt idx="37">
                  <c:v>633.125</c:v>
                </c:pt>
                <c:pt idx="38">
                  <c:v>633.125</c:v>
                </c:pt>
                <c:pt idx="39">
                  <c:v>633.125</c:v>
                </c:pt>
                <c:pt idx="40">
                  <c:v>633.125</c:v>
                </c:pt>
                <c:pt idx="41">
                  <c:v>633.125</c:v>
                </c:pt>
                <c:pt idx="42">
                  <c:v>633.125</c:v>
                </c:pt>
                <c:pt idx="43">
                  <c:v>633.125</c:v>
                </c:pt>
                <c:pt idx="44">
                  <c:v>756</c:v>
                </c:pt>
                <c:pt idx="45">
                  <c:v>756</c:v>
                </c:pt>
                <c:pt idx="46">
                  <c:v>756</c:v>
                </c:pt>
                <c:pt idx="47">
                  <c:v>756</c:v>
                </c:pt>
                <c:pt idx="48">
                  <c:v>756</c:v>
                </c:pt>
                <c:pt idx="49">
                  <c:v>756</c:v>
                </c:pt>
                <c:pt idx="50">
                  <c:v>756</c:v>
                </c:pt>
                <c:pt idx="51">
                  <c:v>756</c:v>
                </c:pt>
                <c:pt idx="52">
                  <c:v>756</c:v>
                </c:pt>
                <c:pt idx="53">
                  <c:v>756</c:v>
                </c:pt>
                <c:pt idx="54">
                  <c:v>756</c:v>
                </c:pt>
                <c:pt idx="55">
                  <c:v>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4-4CF0-952F-4F16B4DF5FCD}"/>
            </c:ext>
          </c:extLst>
        </c:ser>
        <c:ser>
          <c:idx val="4"/>
          <c:order val="4"/>
          <c:tx>
            <c:v>Holt-Winters</c:v>
          </c:tx>
          <c:spPr>
            <a:ln w="19000">
              <a:solidFill>
                <a:srgbClr val="EB6834"/>
              </a:solidFill>
              <a:prstDash val="solid"/>
            </a:ln>
          </c:spPr>
          <c:marker>
            <c:symbol val="none"/>
          </c:marker>
          <c:cat>
            <c:numRef>
              <c:f>Forecast!$B$74:$B$129</c:f>
              <c:numCache>
                <c:formatCode>dd\-mmm\-yy</c:formatCode>
                <c:ptCount val="56"/>
                <c:pt idx="0">
                  <c:v>40567</c:v>
                </c:pt>
                <c:pt idx="1">
                  <c:v>40574</c:v>
                </c:pt>
                <c:pt idx="2">
                  <c:v>40581</c:v>
                </c:pt>
                <c:pt idx="3">
                  <c:v>40588</c:v>
                </c:pt>
                <c:pt idx="4">
                  <c:v>40595</c:v>
                </c:pt>
                <c:pt idx="5">
                  <c:v>40602</c:v>
                </c:pt>
                <c:pt idx="6">
                  <c:v>40609</c:v>
                </c:pt>
                <c:pt idx="7">
                  <c:v>40616</c:v>
                </c:pt>
                <c:pt idx="8">
                  <c:v>40623</c:v>
                </c:pt>
                <c:pt idx="9">
                  <c:v>40630</c:v>
                </c:pt>
                <c:pt idx="10">
                  <c:v>40637</c:v>
                </c:pt>
                <c:pt idx="11">
                  <c:v>40644</c:v>
                </c:pt>
                <c:pt idx="12">
                  <c:v>40651</c:v>
                </c:pt>
                <c:pt idx="13">
                  <c:v>40658</c:v>
                </c:pt>
                <c:pt idx="14">
                  <c:v>40665</c:v>
                </c:pt>
                <c:pt idx="15">
                  <c:v>40672</c:v>
                </c:pt>
                <c:pt idx="16">
                  <c:v>40679</c:v>
                </c:pt>
                <c:pt idx="17">
                  <c:v>40686</c:v>
                </c:pt>
                <c:pt idx="18">
                  <c:v>40693</c:v>
                </c:pt>
                <c:pt idx="19">
                  <c:v>40700</c:v>
                </c:pt>
                <c:pt idx="20">
                  <c:v>40707</c:v>
                </c:pt>
                <c:pt idx="21">
                  <c:v>40714</c:v>
                </c:pt>
                <c:pt idx="22">
                  <c:v>40721</c:v>
                </c:pt>
                <c:pt idx="23">
                  <c:v>40728</c:v>
                </c:pt>
                <c:pt idx="24">
                  <c:v>40735</c:v>
                </c:pt>
                <c:pt idx="25">
                  <c:v>40742</c:v>
                </c:pt>
                <c:pt idx="26">
                  <c:v>40749</c:v>
                </c:pt>
                <c:pt idx="27">
                  <c:v>40756</c:v>
                </c:pt>
                <c:pt idx="28">
                  <c:v>40763</c:v>
                </c:pt>
                <c:pt idx="29">
                  <c:v>40770</c:v>
                </c:pt>
                <c:pt idx="30">
                  <c:v>40777</c:v>
                </c:pt>
                <c:pt idx="31">
                  <c:v>40784</c:v>
                </c:pt>
                <c:pt idx="32">
                  <c:v>40791</c:v>
                </c:pt>
                <c:pt idx="33">
                  <c:v>40798</c:v>
                </c:pt>
                <c:pt idx="34">
                  <c:v>40805</c:v>
                </c:pt>
                <c:pt idx="35">
                  <c:v>40812</c:v>
                </c:pt>
                <c:pt idx="36">
                  <c:v>40819</c:v>
                </c:pt>
                <c:pt idx="37">
                  <c:v>40826</c:v>
                </c:pt>
                <c:pt idx="38">
                  <c:v>40833</c:v>
                </c:pt>
                <c:pt idx="39">
                  <c:v>40840</c:v>
                </c:pt>
                <c:pt idx="40">
                  <c:v>40847</c:v>
                </c:pt>
                <c:pt idx="41">
                  <c:v>40854</c:v>
                </c:pt>
                <c:pt idx="42">
                  <c:v>40861</c:v>
                </c:pt>
                <c:pt idx="43">
                  <c:v>40868</c:v>
                </c:pt>
                <c:pt idx="44">
                  <c:v>40875</c:v>
                </c:pt>
                <c:pt idx="45">
                  <c:v>40882</c:v>
                </c:pt>
                <c:pt idx="46">
                  <c:v>40889</c:v>
                </c:pt>
                <c:pt idx="47">
                  <c:v>40896</c:v>
                </c:pt>
                <c:pt idx="48">
                  <c:v>40903</c:v>
                </c:pt>
                <c:pt idx="49">
                  <c:v>40910</c:v>
                </c:pt>
                <c:pt idx="50">
                  <c:v>40917</c:v>
                </c:pt>
                <c:pt idx="51">
                  <c:v>40924</c:v>
                </c:pt>
                <c:pt idx="52">
                  <c:v>40931</c:v>
                </c:pt>
                <c:pt idx="53">
                  <c:v>40938</c:v>
                </c:pt>
                <c:pt idx="54">
                  <c:v>40945</c:v>
                </c:pt>
                <c:pt idx="55">
                  <c:v>40952</c:v>
                </c:pt>
              </c:numCache>
            </c:numRef>
          </c:cat>
          <c:val>
            <c:numRef>
              <c:f>Forecast!$M$74:$M$129</c:f>
              <c:numCache>
                <c:formatCode>#,##0.0</c:formatCode>
                <c:ptCount val="5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557.08412370771396</c:v>
                </c:pt>
                <c:pt idx="33">
                  <c:v>522.13992391876218</c:v>
                </c:pt>
                <c:pt idx="34">
                  <c:v>413.64016857425474</c:v>
                </c:pt>
                <c:pt idx="35">
                  <c:v>442.69596878530297</c:v>
                </c:pt>
                <c:pt idx="36">
                  <c:v>486.64065788523988</c:v>
                </c:pt>
                <c:pt idx="37">
                  <c:v>555.80756920739918</c:v>
                </c:pt>
                <c:pt idx="38">
                  <c:v>528.97448052955838</c:v>
                </c:pt>
                <c:pt idx="39">
                  <c:v>620.58583629616226</c:v>
                </c:pt>
                <c:pt idx="40">
                  <c:v>692.53052539609939</c:v>
                </c:pt>
                <c:pt idx="41">
                  <c:v>696.5863256071475</c:v>
                </c:pt>
                <c:pt idx="42">
                  <c:v>689.97545915152887</c:v>
                </c:pt>
                <c:pt idx="43">
                  <c:v>610.58681491813275</c:v>
                </c:pt>
                <c:pt idx="44">
                  <c:v>548.35447160770627</c:v>
                </c:pt>
                <c:pt idx="45">
                  <c:v>711.26244926026106</c:v>
                </c:pt>
                <c:pt idx="46">
                  <c:v>646.93709357948228</c:v>
                </c:pt>
                <c:pt idx="47">
                  <c:v>668.81173789870365</c:v>
                </c:pt>
                <c:pt idx="48">
                  <c:v>679.56138221792503</c:v>
                </c:pt>
                <c:pt idx="49">
                  <c:v>614.56102653714629</c:v>
                </c:pt>
                <c:pt idx="50">
                  <c:v>323.26900418970104</c:v>
                </c:pt>
                <c:pt idx="51">
                  <c:v>247.86587073114453</c:v>
                </c:pt>
                <c:pt idx="52">
                  <c:v>329.79607060592139</c:v>
                </c:pt>
                <c:pt idx="53">
                  <c:v>416.17071492514276</c:v>
                </c:pt>
                <c:pt idx="54">
                  <c:v>305.76758146658636</c:v>
                </c:pt>
                <c:pt idx="55">
                  <c:v>361.80889245247431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4-4CF0-952F-4F16B4DF5FCD}"/>
            </c:ext>
          </c:extLst>
        </c:ser>
        <c:ser>
          <c:idx val="5"/>
          <c:order val="5"/>
          <c:tx>
            <c:v>Excel ETS</c:v>
          </c:tx>
          <c:spPr>
            <a:ln w="19000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numRef>
              <c:f>Forecast!$B$74:$B$129</c:f>
              <c:numCache>
                <c:formatCode>dd\-mmm\-yy</c:formatCode>
                <c:ptCount val="56"/>
                <c:pt idx="0">
                  <c:v>40567</c:v>
                </c:pt>
                <c:pt idx="1">
                  <c:v>40574</c:v>
                </c:pt>
                <c:pt idx="2">
                  <c:v>40581</c:v>
                </c:pt>
                <c:pt idx="3">
                  <c:v>40588</c:v>
                </c:pt>
                <c:pt idx="4">
                  <c:v>40595</c:v>
                </c:pt>
                <c:pt idx="5">
                  <c:v>40602</c:v>
                </c:pt>
                <c:pt idx="6">
                  <c:v>40609</c:v>
                </c:pt>
                <c:pt idx="7">
                  <c:v>40616</c:v>
                </c:pt>
                <c:pt idx="8">
                  <c:v>40623</c:v>
                </c:pt>
                <c:pt idx="9">
                  <c:v>40630</c:v>
                </c:pt>
                <c:pt idx="10">
                  <c:v>40637</c:v>
                </c:pt>
                <c:pt idx="11">
                  <c:v>40644</c:v>
                </c:pt>
                <c:pt idx="12">
                  <c:v>40651</c:v>
                </c:pt>
                <c:pt idx="13">
                  <c:v>40658</c:v>
                </c:pt>
                <c:pt idx="14">
                  <c:v>40665</c:v>
                </c:pt>
                <c:pt idx="15">
                  <c:v>40672</c:v>
                </c:pt>
                <c:pt idx="16">
                  <c:v>40679</c:v>
                </c:pt>
                <c:pt idx="17">
                  <c:v>40686</c:v>
                </c:pt>
                <c:pt idx="18">
                  <c:v>40693</c:v>
                </c:pt>
                <c:pt idx="19">
                  <c:v>40700</c:v>
                </c:pt>
                <c:pt idx="20">
                  <c:v>40707</c:v>
                </c:pt>
                <c:pt idx="21">
                  <c:v>40714</c:v>
                </c:pt>
                <c:pt idx="22">
                  <c:v>40721</c:v>
                </c:pt>
                <c:pt idx="23">
                  <c:v>40728</c:v>
                </c:pt>
                <c:pt idx="24">
                  <c:v>40735</c:v>
                </c:pt>
                <c:pt idx="25">
                  <c:v>40742</c:v>
                </c:pt>
                <c:pt idx="26">
                  <c:v>40749</c:v>
                </c:pt>
                <c:pt idx="27">
                  <c:v>40756</c:v>
                </c:pt>
                <c:pt idx="28">
                  <c:v>40763</c:v>
                </c:pt>
                <c:pt idx="29">
                  <c:v>40770</c:v>
                </c:pt>
                <c:pt idx="30">
                  <c:v>40777</c:v>
                </c:pt>
                <c:pt idx="31">
                  <c:v>40784</c:v>
                </c:pt>
                <c:pt idx="32">
                  <c:v>40791</c:v>
                </c:pt>
                <c:pt idx="33">
                  <c:v>40798</c:v>
                </c:pt>
                <c:pt idx="34">
                  <c:v>40805</c:v>
                </c:pt>
                <c:pt idx="35">
                  <c:v>40812</c:v>
                </c:pt>
                <c:pt idx="36">
                  <c:v>40819</c:v>
                </c:pt>
                <c:pt idx="37">
                  <c:v>40826</c:v>
                </c:pt>
                <c:pt idx="38">
                  <c:v>40833</c:v>
                </c:pt>
                <c:pt idx="39">
                  <c:v>40840</c:v>
                </c:pt>
                <c:pt idx="40">
                  <c:v>40847</c:v>
                </c:pt>
                <c:pt idx="41">
                  <c:v>40854</c:v>
                </c:pt>
                <c:pt idx="42">
                  <c:v>40861</c:v>
                </c:pt>
                <c:pt idx="43">
                  <c:v>40868</c:v>
                </c:pt>
                <c:pt idx="44">
                  <c:v>40875</c:v>
                </c:pt>
                <c:pt idx="45">
                  <c:v>40882</c:v>
                </c:pt>
                <c:pt idx="46">
                  <c:v>40889</c:v>
                </c:pt>
                <c:pt idx="47">
                  <c:v>40896</c:v>
                </c:pt>
                <c:pt idx="48">
                  <c:v>40903</c:v>
                </c:pt>
                <c:pt idx="49">
                  <c:v>40910</c:v>
                </c:pt>
                <c:pt idx="50">
                  <c:v>40917</c:v>
                </c:pt>
                <c:pt idx="51">
                  <c:v>40924</c:v>
                </c:pt>
                <c:pt idx="52">
                  <c:v>40931</c:v>
                </c:pt>
                <c:pt idx="53">
                  <c:v>40938</c:v>
                </c:pt>
                <c:pt idx="54">
                  <c:v>40945</c:v>
                </c:pt>
                <c:pt idx="55">
                  <c:v>40952</c:v>
                </c:pt>
              </c:numCache>
            </c:numRef>
          </c:cat>
          <c:val>
            <c:numRef>
              <c:f>Forecast!$N$74:$N$129</c:f>
              <c:numCache>
                <c:formatCode>#,##0.0</c:formatCode>
                <c:ptCount val="5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426.20247306004893</c:v>
                </c:pt>
                <c:pt idx="33">
                  <c:v>562.69745700732653</c:v>
                </c:pt>
                <c:pt idx="34">
                  <c:v>618.58478224636826</c:v>
                </c:pt>
                <c:pt idx="35">
                  <c:v>444.59513989673354</c:v>
                </c:pt>
                <c:pt idx="36">
                  <c:v>528.17604545798849</c:v>
                </c:pt>
                <c:pt idx="37">
                  <c:v>531.13252173766637</c:v>
                </c:pt>
                <c:pt idx="38">
                  <c:v>329.07254200146741</c:v>
                </c:pt>
                <c:pt idx="39">
                  <c:v>671.5995497700676</c:v>
                </c:pt>
                <c:pt idx="40">
                  <c:v>886.06555511954593</c:v>
                </c:pt>
                <c:pt idx="41">
                  <c:v>1144.0931025709197</c:v>
                </c:pt>
                <c:pt idx="42">
                  <c:v>401.51575051131022</c:v>
                </c:pt>
                <c:pt idx="43">
                  <c:v>1513.1163928228789</c:v>
                </c:pt>
                <c:pt idx="44">
                  <c:v>1140.1303588700698</c:v>
                </c:pt>
                <c:pt idx="45">
                  <c:v>614.49593621897338</c:v>
                </c:pt>
                <c:pt idx="46">
                  <c:v>192.20271015088747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1831.8128683623527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4-4CF0-952F-4F16B4DF5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  <c:majorUnit val="4"/>
      </c:date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Stock value by ABC class: current vs recommended (£)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Summary!$D$9</c:f>
              <c:strCache>
                <c:ptCount val="1"/>
                <c:pt idx="0">
                  <c:v>Current stock (£)</c:v>
                </c:pt>
              </c:strCache>
            </c:strRef>
          </c:tx>
          <c:spPr>
            <a:solidFill>
              <a:srgbClr val="B4B2A9"/>
            </a:solidFill>
            <a:ln>
              <a:prstDash val="solid"/>
            </a:ln>
          </c:spPr>
          <c:invertIfNegative val="1"/>
          <c:cat>
            <c:strRef>
              <c:f>Summary!$B$10:$B$12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Summary!$D$10:$D$12</c:f>
              <c:numCache>
                <c:formatCode>\£#,##0</c:formatCode>
                <c:ptCount val="3"/>
                <c:pt idx="0">
                  <c:v>235312.33437400329</c:v>
                </c:pt>
                <c:pt idx="1">
                  <c:v>44000.566344716965</c:v>
                </c:pt>
                <c:pt idx="2">
                  <c:v>15498.771954675891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56E-45CF-ABFB-4219EA06C6AB}"/>
            </c:ext>
          </c:extLst>
        </c:ser>
        <c:ser>
          <c:idx val="1"/>
          <c:order val="1"/>
          <c:tx>
            <c:strRef>
              <c:f>Summary!$E$9</c:f>
              <c:strCache>
                <c:ptCount val="1"/>
                <c:pt idx="0">
                  <c:v>Recommended (£)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Summary!$B$10:$B$12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Summary!$E$10:$E$12</c:f>
              <c:numCache>
                <c:formatCode>\£#,##0</c:formatCode>
                <c:ptCount val="3"/>
                <c:pt idx="0">
                  <c:v>200217.84319013235</c:v>
                </c:pt>
                <c:pt idx="1">
                  <c:v>52183.195876498707</c:v>
                </c:pt>
                <c:pt idx="2">
                  <c:v>18547.326215712495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56E-45CF-ABFB-4219EA06C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£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Stock value by XYZ class: current vs recommended (£)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Summary!$D$16</c:f>
              <c:strCache>
                <c:ptCount val="1"/>
                <c:pt idx="0">
                  <c:v>Current stock (£)</c:v>
                </c:pt>
              </c:strCache>
            </c:strRef>
          </c:tx>
          <c:spPr>
            <a:solidFill>
              <a:srgbClr val="B4B2A9"/>
            </a:solidFill>
            <a:ln>
              <a:prstDash val="solid"/>
            </a:ln>
          </c:spPr>
          <c:invertIfNegative val="1"/>
          <c:cat>
            <c:strRef>
              <c:f>Summary!$B$17:$B$19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Summary!$D$17:$D$19</c:f>
              <c:numCache>
                <c:formatCode>\£#,##0</c:formatCode>
                <c:ptCount val="3"/>
                <c:pt idx="0">
                  <c:v>115835.34409279065</c:v>
                </c:pt>
                <c:pt idx="1">
                  <c:v>100151.80989702186</c:v>
                </c:pt>
                <c:pt idx="2">
                  <c:v>78824.518683583781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4C-43C9-BAD2-2902D7F66B3B}"/>
            </c:ext>
          </c:extLst>
        </c:ser>
        <c:ser>
          <c:idx val="1"/>
          <c:order val="1"/>
          <c:tx>
            <c:strRef>
              <c:f>Summary!$E$16</c:f>
              <c:strCache>
                <c:ptCount val="1"/>
                <c:pt idx="0">
                  <c:v>Recommended (£)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Summary!$B$17:$B$19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Summary!$E$17:$E$19</c:f>
              <c:numCache>
                <c:formatCode>\£#,##0</c:formatCode>
                <c:ptCount val="3"/>
                <c:pt idx="0">
                  <c:v>83627.462005711292</c:v>
                </c:pt>
                <c:pt idx="1">
                  <c:v>92204.565565115263</c:v>
                </c:pt>
                <c:pt idx="2">
                  <c:v>95116.337711517015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54C-43C9-BAD2-2902D7F66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£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Service level (x) vs safety stock value (£)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Safety stock</c:v>
          </c:tx>
          <c:spPr>
            <a:ln w="22000">
              <a:solidFill>
                <a:srgbClr val="EB6834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B6834"/>
              </a:solidFill>
              <a:ln>
                <a:prstDash val="solid"/>
              </a:ln>
            </c:spPr>
          </c:marker>
          <c:xVal>
            <c:numRef>
              <c:f>Summary!$I$10:$I$18</c:f>
              <c:numCache>
                <c:formatCode>0.0%</c:formatCode>
                <c:ptCount val="9"/>
                <c:pt idx="0">
                  <c:v>0.8</c:v>
                </c:pt>
                <c:pt idx="1">
                  <c:v>0.85</c:v>
                </c:pt>
                <c:pt idx="2">
                  <c:v>0.9</c:v>
                </c:pt>
                <c:pt idx="3">
                  <c:v>0.92500000000000004</c:v>
                </c:pt>
                <c:pt idx="4">
                  <c:v>0.95</c:v>
                </c:pt>
                <c:pt idx="5">
                  <c:v>0.97</c:v>
                </c:pt>
                <c:pt idx="6">
                  <c:v>0.98</c:v>
                </c:pt>
                <c:pt idx="7">
                  <c:v>0.99</c:v>
                </c:pt>
                <c:pt idx="8">
                  <c:v>0.995</c:v>
                </c:pt>
              </c:numCache>
            </c:numRef>
          </c:xVal>
          <c:yVal>
            <c:numRef>
              <c:f>Summary!$K$10:$K$18</c:f>
              <c:numCache>
                <c:formatCode>\£#,##0</c:formatCode>
                <c:ptCount val="9"/>
                <c:pt idx="0">
                  <c:v>55552.177899080722</c:v>
                </c:pt>
                <c:pt idx="1">
                  <c:v>68410.978403289133</c:v>
                </c:pt>
                <c:pt idx="2">
                  <c:v>84590.285648741512</c:v>
                </c:pt>
                <c:pt idx="3">
                  <c:v>95017.931077389192</c:v>
                </c:pt>
                <c:pt idx="4">
                  <c:v>108570.45623058168</c:v>
                </c:pt>
                <c:pt idx="5">
                  <c:v>124143.94616437663</c:v>
                </c:pt>
                <c:pt idx="6">
                  <c:v>135560.05990856205</c:v>
                </c:pt>
                <c:pt idx="7">
                  <c:v>153553.26814323859</c:v>
                </c:pt>
                <c:pt idx="8">
                  <c:v>170020.57695353605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AD-420B-8E58-0BB3EAF3E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.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Service level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\£#,##0,&quot;k&quot;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9-box: number of SKUs by ABC (bars = X, Y, Z)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ABC_XYZ!$Q$5</c:f>
              <c:strCache>
                <c:ptCount val="1"/>
                <c:pt idx="0">
                  <c:v>X (steady)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ABC_XYZ!$P$6:$P$8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ABC_XYZ!$Q$6:$Q$8</c:f>
              <c:numCache>
                <c:formatCode>0</c:formatCode>
                <c:ptCount val="3"/>
                <c:pt idx="0">
                  <c:v>36</c:v>
                </c:pt>
                <c:pt idx="1">
                  <c:v>10</c:v>
                </c:pt>
                <c:pt idx="2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4D-4943-8E81-60A7AC908A77}"/>
            </c:ext>
          </c:extLst>
        </c:ser>
        <c:ser>
          <c:idx val="1"/>
          <c:order val="1"/>
          <c:tx>
            <c:strRef>
              <c:f>ABC_XYZ!$R$5</c:f>
              <c:strCache>
                <c:ptCount val="1"/>
                <c:pt idx="0">
                  <c:v>Y (variable)</c:v>
                </c:pt>
              </c:strCache>
            </c:strRef>
          </c:tx>
          <c:spPr>
            <a:solidFill>
              <a:srgbClr val="1BAF7A"/>
            </a:solidFill>
            <a:ln>
              <a:prstDash val="solid"/>
            </a:ln>
          </c:spPr>
          <c:invertIfNegative val="1"/>
          <c:cat>
            <c:strRef>
              <c:f>ABC_XYZ!$P$6:$P$8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ABC_XYZ!$R$6:$R$8</c:f>
              <c:numCache>
                <c:formatCode>0</c:formatCode>
                <c:ptCount val="3"/>
                <c:pt idx="0">
                  <c:v>31</c:v>
                </c:pt>
                <c:pt idx="1">
                  <c:v>17</c:v>
                </c:pt>
                <c:pt idx="2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04D-4943-8E81-60A7AC908A77}"/>
            </c:ext>
          </c:extLst>
        </c:ser>
        <c:ser>
          <c:idx val="2"/>
          <c:order val="2"/>
          <c:tx>
            <c:strRef>
              <c:f>ABC_XYZ!$S$5</c:f>
              <c:strCache>
                <c:ptCount val="1"/>
                <c:pt idx="0">
                  <c:v>Z (erratic)</c:v>
                </c:pt>
              </c:strCache>
            </c:strRef>
          </c:tx>
          <c:spPr>
            <a:solidFill>
              <a:srgbClr val="EB6834"/>
            </a:solidFill>
            <a:ln>
              <a:prstDash val="solid"/>
            </a:ln>
          </c:spPr>
          <c:invertIfNegative val="1"/>
          <c:cat>
            <c:strRef>
              <c:f>ABC_XYZ!$P$6:$P$8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ABC_XYZ!$S$6:$S$8</c:f>
              <c:numCache>
                <c:formatCode>0</c:formatCode>
                <c:ptCount val="3"/>
                <c:pt idx="0">
                  <c:v>28</c:v>
                </c:pt>
                <c:pt idx="1">
                  <c:v>12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04D-4943-8E81-60A7AC908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Pareto: cumulative share of value by SKU rank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Cumulative share</c:v>
          </c:tx>
          <c:spPr>
            <a:ln>
              <a:noFill/>
              <a:prstDash val="solid"/>
            </a:ln>
          </c:spPr>
          <c:marker>
            <c:symbol val="circle"/>
            <c:size val="4"/>
            <c:spPr>
              <a:solidFill>
                <a:srgbClr val="13233A"/>
              </a:solidFill>
              <a:ln>
                <a:prstDash val="solid"/>
              </a:ln>
            </c:spPr>
          </c:marker>
          <c:xVal>
            <c:numRef>
              <c:f>ABC_XYZ!$D$5:$D$154</c:f>
              <c:numCache>
                <c:formatCode>0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xVal>
          <c:yVal>
            <c:numRef>
              <c:f>ABC_XYZ!$E$5:$E$154</c:f>
              <c:numCache>
                <c:formatCode>0.0%</c:formatCode>
                <c:ptCount val="150"/>
                <c:pt idx="0">
                  <c:v>5.0076703228178927E-2</c:v>
                </c:pt>
                <c:pt idx="1">
                  <c:v>8.0611695375634437E-2</c:v>
                </c:pt>
                <c:pt idx="2">
                  <c:v>0.11102111642557284</c:v>
                </c:pt>
                <c:pt idx="3">
                  <c:v>0.13941348552100005</c:v>
                </c:pt>
                <c:pt idx="4">
                  <c:v>0.15699986317440265</c:v>
                </c:pt>
                <c:pt idx="5">
                  <c:v>0.17441213977715081</c:v>
                </c:pt>
                <c:pt idx="6">
                  <c:v>0.19051117060192915</c:v>
                </c:pt>
                <c:pt idx="7">
                  <c:v>0.20654479909738285</c:v>
                </c:pt>
                <c:pt idx="8">
                  <c:v>0.22042590920462574</c:v>
                </c:pt>
                <c:pt idx="9">
                  <c:v>0.23316102564962682</c:v>
                </c:pt>
                <c:pt idx="10">
                  <c:v>0.24396489242205746</c:v>
                </c:pt>
                <c:pt idx="11">
                  <c:v>0.25455574856963725</c:v>
                </c:pt>
                <c:pt idx="12">
                  <c:v>0.26493832148221269</c:v>
                </c:pt>
                <c:pt idx="13">
                  <c:v>0.27477950671064855</c:v>
                </c:pt>
                <c:pt idx="14">
                  <c:v>0.28437659239885138</c:v>
                </c:pt>
                <c:pt idx="15">
                  <c:v>0.29375155013003396</c:v>
                </c:pt>
                <c:pt idx="16">
                  <c:v>0.30297556570913625</c:v>
                </c:pt>
                <c:pt idx="17">
                  <c:v>0.3119197966723693</c:v>
                </c:pt>
                <c:pt idx="18">
                  <c:v>0.32075745670838063</c:v>
                </c:pt>
                <c:pt idx="19">
                  <c:v>0.32929210761515221</c:v>
                </c:pt>
                <c:pt idx="20">
                  <c:v>0.33765224191089299</c:v>
                </c:pt>
                <c:pt idx="21">
                  <c:v>0.34600700516688077</c:v>
                </c:pt>
                <c:pt idx="22">
                  <c:v>0.35429666292238426</c:v>
                </c:pt>
                <c:pt idx="23">
                  <c:v>0.36255716896125295</c:v>
                </c:pt>
                <c:pt idx="24">
                  <c:v>0.37045983064827315</c:v>
                </c:pt>
                <c:pt idx="25">
                  <c:v>0.37832503253564342</c:v>
                </c:pt>
                <c:pt idx="26">
                  <c:v>0.38618808163279272</c:v>
                </c:pt>
                <c:pt idx="27">
                  <c:v>0.39398126659447008</c:v>
                </c:pt>
                <c:pt idx="28">
                  <c:v>0.40161574186199284</c:v>
                </c:pt>
                <c:pt idx="29">
                  <c:v>0.40915423518060839</c:v>
                </c:pt>
                <c:pt idx="30">
                  <c:v>0.41667288158560506</c:v>
                </c:pt>
                <c:pt idx="31">
                  <c:v>0.42414225127859245</c:v>
                </c:pt>
                <c:pt idx="32">
                  <c:v>0.43144129745848292</c:v>
                </c:pt>
                <c:pt idx="33">
                  <c:v>0.43869542874805995</c:v>
                </c:pt>
                <c:pt idx="34">
                  <c:v>0.44585499974264931</c:v>
                </c:pt>
                <c:pt idx="35">
                  <c:v>0.45292254442319324</c:v>
                </c:pt>
                <c:pt idx="36">
                  <c:v>0.45997020782046311</c:v>
                </c:pt>
                <c:pt idx="37">
                  <c:v>0.46700422334010594</c:v>
                </c:pt>
                <c:pt idx="38">
                  <c:v>0.47400062595890741</c:v>
                </c:pt>
                <c:pt idx="39">
                  <c:v>0.48098049364904538</c:v>
                </c:pt>
                <c:pt idx="40">
                  <c:v>0.48795398733040141</c:v>
                </c:pt>
                <c:pt idx="41">
                  <c:v>0.4948959296682871</c:v>
                </c:pt>
                <c:pt idx="42">
                  <c:v>0.50177994976362461</c:v>
                </c:pt>
                <c:pt idx="43">
                  <c:v>0.50865116872465854</c:v>
                </c:pt>
                <c:pt idx="44">
                  <c:v>0.51552059733910804</c:v>
                </c:pt>
                <c:pt idx="45">
                  <c:v>0.52238468615894573</c:v>
                </c:pt>
                <c:pt idx="46">
                  <c:v>0.52921228690302136</c:v>
                </c:pt>
                <c:pt idx="47">
                  <c:v>0.53600534614362449</c:v>
                </c:pt>
                <c:pt idx="48">
                  <c:v>0.54278239537393425</c:v>
                </c:pt>
                <c:pt idx="49">
                  <c:v>0.54950668718351769</c:v>
                </c:pt>
                <c:pt idx="50">
                  <c:v>0.55617048215092713</c:v>
                </c:pt>
                <c:pt idx="51">
                  <c:v>0.56283100575206479</c:v>
                </c:pt>
                <c:pt idx="52">
                  <c:v>0.56947845638617123</c:v>
                </c:pt>
                <c:pt idx="53">
                  <c:v>0.57612037975481944</c:v>
                </c:pt>
                <c:pt idx="54">
                  <c:v>0.58273065804457402</c:v>
                </c:pt>
                <c:pt idx="55">
                  <c:v>0.58929538404313686</c:v>
                </c:pt>
                <c:pt idx="56">
                  <c:v>0.59584726828871282</c:v>
                </c:pt>
                <c:pt idx="57">
                  <c:v>0.60235655290892975</c:v>
                </c:pt>
                <c:pt idx="58">
                  <c:v>0.60885261770995258</c:v>
                </c:pt>
                <c:pt idx="59">
                  <c:v>0.61509790275957776</c:v>
                </c:pt>
                <c:pt idx="60">
                  <c:v>0.62131054288579468</c:v>
                </c:pt>
                <c:pt idx="61">
                  <c:v>0.62749642154867002</c:v>
                </c:pt>
                <c:pt idx="62">
                  <c:v>0.63366881793316598</c:v>
                </c:pt>
                <c:pt idx="63">
                  <c:v>0.63962983781368998</c:v>
                </c:pt>
                <c:pt idx="64">
                  <c:v>0.64553707855737397</c:v>
                </c:pt>
                <c:pt idx="65">
                  <c:v>0.65140105727870801</c:v>
                </c:pt>
                <c:pt idx="66">
                  <c:v>0.65701987724952615</c:v>
                </c:pt>
                <c:pt idx="67">
                  <c:v>0.66263311996266006</c:v>
                </c:pt>
                <c:pt idx="68">
                  <c:v>0.66822796241220739</c:v>
                </c:pt>
                <c:pt idx="69">
                  <c:v>0.6737649982262286</c:v>
                </c:pt>
                <c:pt idx="70">
                  <c:v>0.67927157002768945</c:v>
                </c:pt>
                <c:pt idx="71">
                  <c:v>0.68477411120594989</c:v>
                </c:pt>
                <c:pt idx="72">
                  <c:v>0.69024290763183571</c:v>
                </c:pt>
                <c:pt idx="73">
                  <c:v>0.69560394269062442</c:v>
                </c:pt>
                <c:pt idx="74">
                  <c:v>0.70087363257944335</c:v>
                </c:pt>
                <c:pt idx="75">
                  <c:v>0.70611876691188147</c:v>
                </c:pt>
                <c:pt idx="76">
                  <c:v>0.71135542443754263</c:v>
                </c:pt>
                <c:pt idx="77">
                  <c:v>0.71653926205219498</c:v>
                </c:pt>
                <c:pt idx="78">
                  <c:v>0.7217046931542328</c:v>
                </c:pt>
                <c:pt idx="79">
                  <c:v>0.72686884008097175</c:v>
                </c:pt>
                <c:pt idx="80">
                  <c:v>0.73203119353661239</c:v>
                </c:pt>
                <c:pt idx="81">
                  <c:v>0.7370720721327324</c:v>
                </c:pt>
                <c:pt idx="82">
                  <c:v>0.74207177275741298</c:v>
                </c:pt>
                <c:pt idx="83">
                  <c:v>0.7470195752027472</c:v>
                </c:pt>
                <c:pt idx="84">
                  <c:v>0.75193212375539209</c:v>
                </c:pt>
                <c:pt idx="85">
                  <c:v>0.75684382244019943</c:v>
                </c:pt>
                <c:pt idx="86">
                  <c:v>0.76171684901388259</c:v>
                </c:pt>
                <c:pt idx="87">
                  <c:v>0.76658647299170135</c:v>
                </c:pt>
                <c:pt idx="88">
                  <c:v>0.77140386134264971</c:v>
                </c:pt>
                <c:pt idx="89">
                  <c:v>0.77622115595817498</c:v>
                </c:pt>
                <c:pt idx="90">
                  <c:v>0.78094585247357273</c:v>
                </c:pt>
                <c:pt idx="91">
                  <c:v>0.78561666361865079</c:v>
                </c:pt>
                <c:pt idx="92">
                  <c:v>0.79027123978841973</c:v>
                </c:pt>
                <c:pt idx="93">
                  <c:v>0.79460666558906312</c:v>
                </c:pt>
                <c:pt idx="94">
                  <c:v>0.79892988703759771</c:v>
                </c:pt>
                <c:pt idx="95">
                  <c:v>0.80322321001062547</c:v>
                </c:pt>
                <c:pt idx="96">
                  <c:v>0.80749926066966005</c:v>
                </c:pt>
                <c:pt idx="97">
                  <c:v>0.81167697662066363</c:v>
                </c:pt>
                <c:pt idx="98">
                  <c:v>0.81584264444526378</c:v>
                </c:pt>
                <c:pt idx="99">
                  <c:v>0.81998105400877908</c:v>
                </c:pt>
                <c:pt idx="100">
                  <c:v>0.82409000877779115</c:v>
                </c:pt>
                <c:pt idx="101">
                  <c:v>0.82819631708335295</c:v>
                </c:pt>
                <c:pt idx="102">
                  <c:v>0.8323001726453394</c:v>
                </c:pt>
                <c:pt idx="103">
                  <c:v>0.83640159733534925</c:v>
                </c:pt>
                <c:pt idx="104">
                  <c:v>0.84049601998924139</c:v>
                </c:pt>
                <c:pt idx="105">
                  <c:v>0.84456768993139353</c:v>
                </c:pt>
                <c:pt idx="106">
                  <c:v>0.84856093769392971</c:v>
                </c:pt>
                <c:pt idx="107">
                  <c:v>0.8524840526127806</c:v>
                </c:pt>
                <c:pt idx="108">
                  <c:v>0.85637807205625061</c:v>
                </c:pt>
                <c:pt idx="109">
                  <c:v>0.86019492225026239</c:v>
                </c:pt>
                <c:pt idx="110">
                  <c:v>0.86400474541204375</c:v>
                </c:pt>
                <c:pt idx="111">
                  <c:v>0.86781418113407549</c:v>
                </c:pt>
                <c:pt idx="112">
                  <c:v>0.87160379806311539</c:v>
                </c:pt>
                <c:pt idx="113">
                  <c:v>0.87538357277271273</c:v>
                </c:pt>
                <c:pt idx="114">
                  <c:v>0.87915575178851157</c:v>
                </c:pt>
                <c:pt idx="115">
                  <c:v>0.88292598423202073</c:v>
                </c:pt>
                <c:pt idx="116">
                  <c:v>0.88668513402398597</c:v>
                </c:pt>
                <c:pt idx="117">
                  <c:v>0.89043330114885899</c:v>
                </c:pt>
                <c:pt idx="118">
                  <c:v>0.89411276645750859</c:v>
                </c:pt>
                <c:pt idx="119">
                  <c:v>0.89777430330420205</c:v>
                </c:pt>
                <c:pt idx="120">
                  <c:v>0.90141183138448377</c:v>
                </c:pt>
                <c:pt idx="121">
                  <c:v>0.90504833774865179</c:v>
                </c:pt>
                <c:pt idx="122">
                  <c:v>0.90867571740710817</c:v>
                </c:pt>
                <c:pt idx="123">
                  <c:v>0.91229791349665823</c:v>
                </c:pt>
                <c:pt idx="124">
                  <c:v>0.91590956122657696</c:v>
                </c:pt>
                <c:pt idx="125">
                  <c:v>0.91951116051912207</c:v>
                </c:pt>
                <c:pt idx="126">
                  <c:v>0.92306418299081805</c:v>
                </c:pt>
                <c:pt idx="127">
                  <c:v>0.92661132512696154</c:v>
                </c:pt>
                <c:pt idx="128">
                  <c:v>0.93011075905717822</c:v>
                </c:pt>
                <c:pt idx="129">
                  <c:v>0.9335986666548477</c:v>
                </c:pt>
                <c:pt idx="130">
                  <c:v>0.93708007526317094</c:v>
                </c:pt>
                <c:pt idx="131">
                  <c:v>0.9405523790373812</c:v>
                </c:pt>
                <c:pt idx="132">
                  <c:v>0.94402021163190186</c:v>
                </c:pt>
                <c:pt idx="133">
                  <c:v>0.94746068285637208</c:v>
                </c:pt>
                <c:pt idx="134">
                  <c:v>0.95088203517901071</c:v>
                </c:pt>
                <c:pt idx="135">
                  <c:v>0.95429709160572018</c:v>
                </c:pt>
                <c:pt idx="136">
                  <c:v>0.95769105131316723</c:v>
                </c:pt>
                <c:pt idx="137">
                  <c:v>0.96105323158761402</c:v>
                </c:pt>
                <c:pt idx="138">
                  <c:v>0.96439170617351766</c:v>
                </c:pt>
                <c:pt idx="139">
                  <c:v>0.96770687813319833</c:v>
                </c:pt>
                <c:pt idx="140">
                  <c:v>0.97102195323294149</c:v>
                </c:pt>
                <c:pt idx="141">
                  <c:v>0.97432947325756969</c:v>
                </c:pt>
                <c:pt idx="142">
                  <c:v>0.97762977877912072</c:v>
                </c:pt>
                <c:pt idx="143">
                  <c:v>0.98088539749988823</c:v>
                </c:pt>
                <c:pt idx="144">
                  <c:v>0.98413286748786011</c:v>
                </c:pt>
                <c:pt idx="145">
                  <c:v>0.98737717546755388</c:v>
                </c:pt>
                <c:pt idx="146">
                  <c:v>0.99059248483180407</c:v>
                </c:pt>
                <c:pt idx="147">
                  <c:v>0.99375368073620474</c:v>
                </c:pt>
                <c:pt idx="148">
                  <c:v>0.99688017578691346</c:v>
                </c:pt>
                <c:pt idx="14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1D-41A5-AAB4-FAEEFBF89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5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SKU rank by value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Forecast error score by class (WAPE + |bias|, lower =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Backtest!$R$4</c:f>
              <c:strCache>
                <c:ptCount val="1"/>
                <c:pt idx="0">
                  <c:v>Score Naive</c:v>
                </c:pt>
              </c:strCache>
            </c:strRef>
          </c:tx>
          <c:spPr>
            <a:solidFill>
              <a:srgbClr val="B4B2A9"/>
            </a:solidFill>
            <a:ln>
              <a:prstDash val="solid"/>
            </a:ln>
          </c:spPr>
          <c:invertIfNegative val="1"/>
          <c:cat>
            <c:strRef>
              <c:f>Backtest!$H$5:$H$13</c:f>
              <c:strCache>
                <c:ptCount val="9"/>
                <c:pt idx="0">
                  <c:v>AX</c:v>
                </c:pt>
                <c:pt idx="1">
                  <c:v>AY</c:v>
                </c:pt>
                <c:pt idx="2">
                  <c:v>AZ</c:v>
                </c:pt>
                <c:pt idx="3">
                  <c:v>BX</c:v>
                </c:pt>
                <c:pt idx="4">
                  <c:v>BY</c:v>
                </c:pt>
                <c:pt idx="5">
                  <c:v>BZ</c:v>
                </c:pt>
                <c:pt idx="6">
                  <c:v>CX</c:v>
                </c:pt>
                <c:pt idx="7">
                  <c:v>CY</c:v>
                </c:pt>
                <c:pt idx="8">
                  <c:v>CZ</c:v>
                </c:pt>
              </c:strCache>
            </c:strRef>
          </c:cat>
          <c:val>
            <c:numRef>
              <c:f>Backtest!$R$5:$R$13</c:f>
              <c:numCache>
                <c:formatCode>0.00</c:formatCode>
                <c:ptCount val="9"/>
                <c:pt idx="0">
                  <c:v>0.76467397387658109</c:v>
                </c:pt>
                <c:pt idx="1">
                  <c:v>1.139387568307249</c:v>
                </c:pt>
                <c:pt idx="2">
                  <c:v>1.2726304396378443</c:v>
                </c:pt>
                <c:pt idx="3">
                  <c:v>0.58566651367123468</c:v>
                </c:pt>
                <c:pt idx="4">
                  <c:v>1.253774834437086</c:v>
                </c:pt>
                <c:pt idx="5">
                  <c:v>1.7346066515293175</c:v>
                </c:pt>
                <c:pt idx="6">
                  <c:v>0.84546643417611156</c:v>
                </c:pt>
                <c:pt idx="7">
                  <c:v>0.8299547662925113</c:v>
                </c:pt>
                <c:pt idx="8">
                  <c:v>1.5618803965462105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5CE-4675-B33F-00F0C1E8AAE1}"/>
            </c:ext>
          </c:extLst>
        </c:ser>
        <c:ser>
          <c:idx val="1"/>
          <c:order val="1"/>
          <c:tx>
            <c:strRef>
              <c:f>Backtest!$S$4</c:f>
              <c:strCache>
                <c:ptCount val="1"/>
                <c:pt idx="0">
                  <c:v>Score Moving average</c:v>
                </c:pt>
              </c:strCache>
            </c:strRef>
          </c:tx>
          <c:spPr>
            <a:solidFill>
              <a:srgbClr val="1BAF7A"/>
            </a:solidFill>
            <a:ln>
              <a:prstDash val="solid"/>
            </a:ln>
          </c:spPr>
          <c:invertIfNegative val="1"/>
          <c:cat>
            <c:strRef>
              <c:f>Backtest!$H$5:$H$13</c:f>
              <c:strCache>
                <c:ptCount val="9"/>
                <c:pt idx="0">
                  <c:v>AX</c:v>
                </c:pt>
                <c:pt idx="1">
                  <c:v>AY</c:v>
                </c:pt>
                <c:pt idx="2">
                  <c:v>AZ</c:v>
                </c:pt>
                <c:pt idx="3">
                  <c:v>BX</c:v>
                </c:pt>
                <c:pt idx="4">
                  <c:v>BY</c:v>
                </c:pt>
                <c:pt idx="5">
                  <c:v>BZ</c:v>
                </c:pt>
                <c:pt idx="6">
                  <c:v>CX</c:v>
                </c:pt>
                <c:pt idx="7">
                  <c:v>CY</c:v>
                </c:pt>
                <c:pt idx="8">
                  <c:v>CZ</c:v>
                </c:pt>
              </c:strCache>
            </c:strRef>
          </c:cat>
          <c:val>
            <c:numRef>
              <c:f>Backtest!$S$5:$S$13</c:f>
              <c:numCache>
                <c:formatCode>0.00</c:formatCode>
                <c:ptCount val="9"/>
                <c:pt idx="0">
                  <c:v>0.47127414091492237</c:v>
                </c:pt>
                <c:pt idx="1">
                  <c:v>0.86029298485686057</c:v>
                </c:pt>
                <c:pt idx="2">
                  <c:v>1.4229946570000171</c:v>
                </c:pt>
                <c:pt idx="3">
                  <c:v>0.60656678250606522</c:v>
                </c:pt>
                <c:pt idx="4">
                  <c:v>0.88115231788079473</c:v>
                </c:pt>
                <c:pt idx="5">
                  <c:v>1.4460064111125952</c:v>
                </c:pt>
                <c:pt idx="6">
                  <c:v>0.67845466434176105</c:v>
                </c:pt>
                <c:pt idx="7">
                  <c:v>0.79184117942703969</c:v>
                </c:pt>
                <c:pt idx="8">
                  <c:v>1.1325551646945955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5CE-4675-B33F-00F0C1E8AAE1}"/>
            </c:ext>
          </c:extLst>
        </c:ser>
        <c:ser>
          <c:idx val="2"/>
          <c:order val="2"/>
          <c:tx>
            <c:strRef>
              <c:f>Backtest!$T$4</c:f>
              <c:strCache>
                <c:ptCount val="1"/>
                <c:pt idx="0">
                  <c:v>Score SES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Backtest!$H$5:$H$13</c:f>
              <c:strCache>
                <c:ptCount val="9"/>
                <c:pt idx="0">
                  <c:v>AX</c:v>
                </c:pt>
                <c:pt idx="1">
                  <c:v>AY</c:v>
                </c:pt>
                <c:pt idx="2">
                  <c:v>AZ</c:v>
                </c:pt>
                <c:pt idx="3">
                  <c:v>BX</c:v>
                </c:pt>
                <c:pt idx="4">
                  <c:v>BY</c:v>
                </c:pt>
                <c:pt idx="5">
                  <c:v>BZ</c:v>
                </c:pt>
                <c:pt idx="6">
                  <c:v>CX</c:v>
                </c:pt>
                <c:pt idx="7">
                  <c:v>CY</c:v>
                </c:pt>
                <c:pt idx="8">
                  <c:v>CZ</c:v>
                </c:pt>
              </c:strCache>
            </c:strRef>
          </c:cat>
          <c:val>
            <c:numRef>
              <c:f>Backtest!$T$5:$T$13</c:f>
              <c:numCache>
                <c:formatCode>0.00</c:formatCode>
                <c:ptCount val="9"/>
                <c:pt idx="0">
                  <c:v>0.4738818987265479</c:v>
                </c:pt>
                <c:pt idx="1">
                  <c:v>0.89665885796623368</c:v>
                </c:pt>
                <c:pt idx="2">
                  <c:v>1.3024927517308913</c:v>
                </c:pt>
                <c:pt idx="3">
                  <c:v>0.57158352894892139</c:v>
                </c:pt>
                <c:pt idx="4">
                  <c:v>0.74813153377483432</c:v>
                </c:pt>
                <c:pt idx="5">
                  <c:v>1.4363172165086149</c:v>
                </c:pt>
                <c:pt idx="6">
                  <c:v>0.63535989537925019</c:v>
                </c:pt>
                <c:pt idx="7">
                  <c:v>0.7845945049422014</c:v>
                </c:pt>
                <c:pt idx="8">
                  <c:v>1.1238086344739366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5CE-4675-B33F-00F0C1E8AAE1}"/>
            </c:ext>
          </c:extLst>
        </c:ser>
        <c:ser>
          <c:idx val="3"/>
          <c:order val="3"/>
          <c:tx>
            <c:strRef>
              <c:f>Backtest!$U$4</c:f>
              <c:strCache>
                <c:ptCount val="1"/>
                <c:pt idx="0">
                  <c:v>Score Holt-Winters</c:v>
                </c:pt>
              </c:strCache>
            </c:strRef>
          </c:tx>
          <c:spPr>
            <a:solidFill>
              <a:srgbClr val="EB6834"/>
            </a:solidFill>
            <a:ln>
              <a:prstDash val="solid"/>
            </a:ln>
          </c:spPr>
          <c:invertIfNegative val="1"/>
          <c:cat>
            <c:strRef>
              <c:f>Backtest!$H$5:$H$13</c:f>
              <c:strCache>
                <c:ptCount val="9"/>
                <c:pt idx="0">
                  <c:v>AX</c:v>
                </c:pt>
                <c:pt idx="1">
                  <c:v>AY</c:v>
                </c:pt>
                <c:pt idx="2">
                  <c:v>AZ</c:v>
                </c:pt>
                <c:pt idx="3">
                  <c:v>BX</c:v>
                </c:pt>
                <c:pt idx="4">
                  <c:v>BY</c:v>
                </c:pt>
                <c:pt idx="5">
                  <c:v>BZ</c:v>
                </c:pt>
                <c:pt idx="6">
                  <c:v>CX</c:v>
                </c:pt>
                <c:pt idx="7">
                  <c:v>CY</c:v>
                </c:pt>
                <c:pt idx="8">
                  <c:v>CZ</c:v>
                </c:pt>
              </c:strCache>
            </c:strRef>
          </c:cat>
          <c:val>
            <c:numRef>
              <c:f>Backtest!$U$5:$U$13</c:f>
              <c:numCache>
                <c:formatCode>0.00</c:formatCode>
                <c:ptCount val="9"/>
                <c:pt idx="0">
                  <c:v>0.61442186480226613</c:v>
                </c:pt>
                <c:pt idx="1">
                  <c:v>0.71103361396322518</c:v>
                </c:pt>
                <c:pt idx="2">
                  <c:v>0.91422467744429348</c:v>
                </c:pt>
                <c:pt idx="3">
                  <c:v>0.61598710904203013</c:v>
                </c:pt>
                <c:pt idx="4">
                  <c:v>0.66150167417218542</c:v>
                </c:pt>
                <c:pt idx="5">
                  <c:v>1.0769730065446774</c:v>
                </c:pt>
                <c:pt idx="6">
                  <c:v>1.0604513077593722</c:v>
                </c:pt>
                <c:pt idx="7">
                  <c:v>1.3940060311609985</c:v>
                </c:pt>
                <c:pt idx="8">
                  <c:v>1.69443498560921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5CE-4675-B33F-00F0C1E8A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93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22</xdr:row>
      <xdr:rowOff>0</xdr:rowOff>
    </xdr:from>
    <xdr:ext cx="46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22</xdr:row>
      <xdr:rowOff>0</xdr:rowOff>
    </xdr:from>
    <xdr:ext cx="46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39</xdr:row>
      <xdr:rowOff>0</xdr:rowOff>
    </xdr:from>
    <xdr:ext cx="468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468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</xdr:col>
      <xdr:colOff>0</xdr:colOff>
      <xdr:row>56</xdr:row>
      <xdr:rowOff>0</xdr:rowOff>
    </xdr:from>
    <xdr:ext cx="468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9</xdr:col>
      <xdr:colOff>0</xdr:colOff>
      <xdr:row>56</xdr:row>
      <xdr:rowOff>0</xdr:rowOff>
    </xdr:from>
    <xdr:ext cx="4680000" cy="288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3233A"/>
  </sheetPr>
  <dimension ref="A1:C24"/>
  <sheetViews>
    <sheetView showGridLines="0" tabSelected="1" workbookViewId="0"/>
  </sheetViews>
  <sheetFormatPr defaultRowHeight="14.4" x14ac:dyDescent="0.3"/>
  <cols>
    <col min="1" max="1" width="3" customWidth="1"/>
    <col min="2" max="2" width="26" customWidth="1"/>
    <col min="3" max="3" width="100" customWidth="1"/>
  </cols>
  <sheetData>
    <row r="1" spans="1:3" ht="23.4" x14ac:dyDescent="0.55000000000000004">
      <c r="A1" s="1" t="s">
        <v>0</v>
      </c>
    </row>
    <row r="2" spans="1:3" x14ac:dyDescent="0.3">
      <c r="A2" s="2" t="s">
        <v>1</v>
      </c>
    </row>
    <row r="4" spans="1:3" ht="30" x14ac:dyDescent="0.35">
      <c r="B4" s="3" t="s">
        <v>2</v>
      </c>
      <c r="C4" s="4" t="s">
        <v>3</v>
      </c>
    </row>
    <row r="5" spans="1:3" ht="48" customHeight="1" x14ac:dyDescent="0.35">
      <c r="B5" s="3" t="s">
        <v>4</v>
      </c>
      <c r="C5" s="4" t="s">
        <v>5</v>
      </c>
    </row>
    <row r="6" spans="1:3" ht="30" customHeight="1" x14ac:dyDescent="0.35">
      <c r="B6" s="3" t="s">
        <v>6</v>
      </c>
      <c r="C6" s="4" t="s">
        <v>7</v>
      </c>
    </row>
    <row r="7" spans="1:3" ht="15" x14ac:dyDescent="0.35">
      <c r="B7" s="5"/>
      <c r="C7" s="4"/>
    </row>
    <row r="8" spans="1:3" ht="15" x14ac:dyDescent="0.35">
      <c r="B8" s="6" t="s">
        <v>8</v>
      </c>
      <c r="C8" s="7"/>
    </row>
    <row r="9" spans="1:3" ht="30" customHeight="1" x14ac:dyDescent="0.35">
      <c r="B9" s="3" t="s">
        <v>9</v>
      </c>
      <c r="C9" s="4" t="s">
        <v>10</v>
      </c>
    </row>
    <row r="10" spans="1:3" ht="30" customHeight="1" x14ac:dyDescent="0.35">
      <c r="B10" s="6" t="s">
        <v>11</v>
      </c>
      <c r="C10" s="7" t="s">
        <v>12</v>
      </c>
    </row>
    <row r="11" spans="1:3" ht="30" customHeight="1" x14ac:dyDescent="0.35">
      <c r="B11" s="3" t="s">
        <v>13</v>
      </c>
      <c r="C11" s="4" t="s">
        <v>14</v>
      </c>
    </row>
    <row r="12" spans="1:3" ht="30" customHeight="1" x14ac:dyDescent="0.35">
      <c r="B12" s="3" t="s">
        <v>15</v>
      </c>
      <c r="C12" s="4" t="s">
        <v>16</v>
      </c>
    </row>
    <row r="13" spans="1:3" ht="30" customHeight="1" x14ac:dyDescent="0.35">
      <c r="B13" s="3" t="s">
        <v>17</v>
      </c>
      <c r="C13" s="4" t="s">
        <v>18</v>
      </c>
    </row>
    <row r="14" spans="1:3" ht="15" x14ac:dyDescent="0.35">
      <c r="B14" s="3" t="s">
        <v>19</v>
      </c>
      <c r="C14" s="4" t="s">
        <v>20</v>
      </c>
    </row>
    <row r="15" spans="1:3" ht="15" x14ac:dyDescent="0.35">
      <c r="B15" s="3" t="s">
        <v>21</v>
      </c>
      <c r="C15" s="4" t="s">
        <v>22</v>
      </c>
    </row>
    <row r="16" spans="1:3" ht="15" x14ac:dyDescent="0.35">
      <c r="B16" s="3" t="s">
        <v>23</v>
      </c>
      <c r="C16" s="4" t="s">
        <v>24</v>
      </c>
    </row>
    <row r="17" spans="2:3" ht="15" x14ac:dyDescent="0.35">
      <c r="B17" s="5"/>
      <c r="C17" s="4"/>
    </row>
    <row r="18" spans="2:3" ht="15" x14ac:dyDescent="0.35">
      <c r="B18" s="6" t="s">
        <v>25</v>
      </c>
      <c r="C18" s="7"/>
    </row>
    <row r="19" spans="2:3" ht="15" x14ac:dyDescent="0.35">
      <c r="B19" s="3" t="s">
        <v>26</v>
      </c>
      <c r="C19" s="4" t="s">
        <v>27</v>
      </c>
    </row>
    <row r="20" spans="2:3" ht="15" x14ac:dyDescent="0.35">
      <c r="B20" s="3" t="s">
        <v>28</v>
      </c>
      <c r="C20" s="4" t="s">
        <v>29</v>
      </c>
    </row>
    <row r="21" spans="2:3" ht="15" x14ac:dyDescent="0.35">
      <c r="B21" s="6" t="s">
        <v>30</v>
      </c>
      <c r="C21" s="7" t="s">
        <v>31</v>
      </c>
    </row>
    <row r="22" spans="2:3" ht="30" customHeight="1" x14ac:dyDescent="0.35">
      <c r="B22" s="3" t="s">
        <v>32</v>
      </c>
      <c r="C22" s="4" t="s">
        <v>33</v>
      </c>
    </row>
    <row r="23" spans="2:3" ht="15" x14ac:dyDescent="0.35">
      <c r="B23" s="5"/>
      <c r="C23" s="4"/>
    </row>
    <row r="24" spans="2:3" ht="30" customHeight="1" x14ac:dyDescent="0.35">
      <c r="B24" s="6" t="s">
        <v>34</v>
      </c>
      <c r="C24" s="7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C14E"/>
    <pageSetUpPr fitToPage="1"/>
  </sheetPr>
  <dimension ref="A1:E3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3" customWidth="1"/>
    <col min="2" max="2" width="44" customWidth="1"/>
    <col min="3" max="3" width="14" customWidth="1"/>
    <col min="4" max="4" width="62" customWidth="1"/>
    <col min="5" max="5" width="18" customWidth="1"/>
  </cols>
  <sheetData>
    <row r="1" spans="1:5" ht="23.4" x14ac:dyDescent="0.55000000000000004">
      <c r="A1" s="1" t="s">
        <v>36</v>
      </c>
    </row>
    <row r="2" spans="1:5" x14ac:dyDescent="0.3">
      <c r="A2" s="2" t="s">
        <v>37</v>
      </c>
    </row>
    <row r="4" spans="1:5" ht="31.95" customHeight="1" x14ac:dyDescent="0.3">
      <c r="B4" s="8" t="s">
        <v>38</v>
      </c>
      <c r="C4" s="8" t="s">
        <v>39</v>
      </c>
      <c r="D4" s="8" t="s">
        <v>40</v>
      </c>
      <c r="E4" s="8" t="s">
        <v>41</v>
      </c>
    </row>
    <row r="5" spans="1:5" ht="30" x14ac:dyDescent="0.35">
      <c r="B5" s="9" t="s">
        <v>42</v>
      </c>
      <c r="C5" s="10">
        <v>0.95</v>
      </c>
      <c r="D5" s="11" t="s">
        <v>43</v>
      </c>
      <c r="E5" s="12" t="s">
        <v>44</v>
      </c>
    </row>
    <row r="6" spans="1:5" ht="15" x14ac:dyDescent="0.35">
      <c r="B6" s="9" t="s">
        <v>45</v>
      </c>
      <c r="C6" s="13">
        <f>_xlfn.NORM.S.INV(C5)</f>
        <v>1.6448536269514715</v>
      </c>
      <c r="D6" s="11" t="s">
        <v>46</v>
      </c>
      <c r="E6" s="12" t="s">
        <v>47</v>
      </c>
    </row>
    <row r="7" spans="1:5" ht="7.95" customHeight="1" x14ac:dyDescent="0.3"/>
    <row r="8" spans="1:5" ht="15" x14ac:dyDescent="0.35">
      <c r="B8" s="9" t="s">
        <v>48</v>
      </c>
      <c r="C8" s="10"/>
      <c r="D8" s="11" t="s">
        <v>49</v>
      </c>
      <c r="E8" s="12" t="s">
        <v>50</v>
      </c>
    </row>
    <row r="9" spans="1:5" ht="15" x14ac:dyDescent="0.35">
      <c r="B9" s="9" t="s">
        <v>51</v>
      </c>
      <c r="C9" s="10"/>
      <c r="D9" s="11"/>
      <c r="E9" s="12" t="s">
        <v>52</v>
      </c>
    </row>
    <row r="10" spans="1:5" ht="15" x14ac:dyDescent="0.35">
      <c r="B10" s="9" t="s">
        <v>53</v>
      </c>
      <c r="C10" s="10"/>
      <c r="D10" s="11"/>
      <c r="E10" s="12" t="s">
        <v>54</v>
      </c>
    </row>
    <row r="11" spans="1:5" ht="7.95" customHeight="1" x14ac:dyDescent="0.3"/>
    <row r="12" spans="1:5" ht="15" x14ac:dyDescent="0.35">
      <c r="B12" s="9" t="s">
        <v>55</v>
      </c>
      <c r="C12" s="14">
        <v>3</v>
      </c>
      <c r="D12" s="11" t="s">
        <v>56</v>
      </c>
      <c r="E12" s="12" t="s">
        <v>57</v>
      </c>
    </row>
    <row r="13" spans="1:5" ht="30" x14ac:dyDescent="0.35">
      <c r="B13" s="9" t="s">
        <v>58</v>
      </c>
      <c r="C13" s="15">
        <v>0.25</v>
      </c>
      <c r="D13" s="11" t="s">
        <v>59</v>
      </c>
      <c r="E13" s="12" t="s">
        <v>60</v>
      </c>
    </row>
    <row r="14" spans="1:5" ht="15" x14ac:dyDescent="0.35">
      <c r="B14" s="9" t="s">
        <v>61</v>
      </c>
      <c r="C14" s="16">
        <v>50</v>
      </c>
      <c r="D14" s="11" t="s">
        <v>62</v>
      </c>
      <c r="E14" s="12" t="s">
        <v>63</v>
      </c>
    </row>
    <row r="15" spans="1:5" ht="15" x14ac:dyDescent="0.35">
      <c r="B15" s="9" t="s">
        <v>64</v>
      </c>
      <c r="C15" s="15">
        <v>0.6</v>
      </c>
      <c r="D15" s="11" t="s">
        <v>65</v>
      </c>
      <c r="E15" s="12" t="s">
        <v>66</v>
      </c>
    </row>
    <row r="16" spans="1:5" ht="30" x14ac:dyDescent="0.35">
      <c r="B16" s="9" t="s">
        <v>67</v>
      </c>
      <c r="C16" s="14">
        <v>8</v>
      </c>
      <c r="D16" s="11" t="s">
        <v>68</v>
      </c>
      <c r="E16" s="12" t="s">
        <v>69</v>
      </c>
    </row>
    <row r="17" spans="2:5" ht="15" x14ac:dyDescent="0.35">
      <c r="B17" s="9" t="s">
        <v>70</v>
      </c>
      <c r="C17" s="17">
        <v>52</v>
      </c>
      <c r="D17" s="11"/>
      <c r="E17" s="12" t="s">
        <v>71</v>
      </c>
    </row>
    <row r="18" spans="2:5" ht="7.95" customHeight="1" x14ac:dyDescent="0.3"/>
    <row r="19" spans="2:5" ht="15" x14ac:dyDescent="0.35">
      <c r="B19" s="9" t="s">
        <v>72</v>
      </c>
      <c r="C19" s="15">
        <v>0.8</v>
      </c>
      <c r="D19" s="11" t="s">
        <v>73</v>
      </c>
      <c r="E19" s="12" t="s">
        <v>74</v>
      </c>
    </row>
    <row r="20" spans="2:5" ht="15" x14ac:dyDescent="0.35">
      <c r="B20" s="9" t="s">
        <v>75</v>
      </c>
      <c r="C20" s="15">
        <v>0.95</v>
      </c>
      <c r="D20" s="11" t="s">
        <v>76</v>
      </c>
      <c r="E20" s="12" t="s">
        <v>77</v>
      </c>
    </row>
    <row r="21" spans="2:5" ht="7.95" customHeight="1" x14ac:dyDescent="0.3"/>
    <row r="22" spans="2:5" ht="30" customHeight="1" x14ac:dyDescent="0.35">
      <c r="B22" s="9" t="s">
        <v>78</v>
      </c>
      <c r="C22" s="18">
        <v>0.75</v>
      </c>
      <c r="D22" s="11" t="s">
        <v>79</v>
      </c>
      <c r="E22" s="12" t="s">
        <v>80</v>
      </c>
    </row>
    <row r="23" spans="2:5" ht="15" x14ac:dyDescent="0.35">
      <c r="B23" s="9" t="s">
        <v>81</v>
      </c>
      <c r="C23" s="18">
        <v>1.25</v>
      </c>
      <c r="D23" s="11" t="s">
        <v>82</v>
      </c>
      <c r="E23" s="12" t="s">
        <v>83</v>
      </c>
    </row>
    <row r="24" spans="2:5" ht="7.95" customHeight="1" x14ac:dyDescent="0.3"/>
    <row r="25" spans="2:5" ht="30" customHeight="1" x14ac:dyDescent="0.35">
      <c r="B25" s="9" t="s">
        <v>84</v>
      </c>
      <c r="C25" s="18">
        <v>1.3</v>
      </c>
      <c r="D25" s="11" t="s">
        <v>85</v>
      </c>
      <c r="E25" s="12" t="s">
        <v>86</v>
      </c>
    </row>
    <row r="27" spans="2:5" ht="15" x14ac:dyDescent="0.35">
      <c r="B27" s="3" t="s">
        <v>87</v>
      </c>
    </row>
    <row r="28" spans="2:5" ht="31.95" customHeight="1" x14ac:dyDescent="0.3">
      <c r="B28" s="8" t="s">
        <v>88</v>
      </c>
      <c r="C28" s="8" t="s">
        <v>89</v>
      </c>
      <c r="D28" s="8" t="s">
        <v>90</v>
      </c>
    </row>
    <row r="29" spans="2:5" ht="15" x14ac:dyDescent="0.35">
      <c r="B29" s="19" t="s">
        <v>91</v>
      </c>
      <c r="C29" s="20">
        <f>IF(SL_A="",ServiceLevel,SL_A)</f>
        <v>0.95</v>
      </c>
      <c r="D29" s="21">
        <f>_xlfn.NORM.S.INV(C29)</f>
        <v>1.6448536269514715</v>
      </c>
    </row>
    <row r="30" spans="2:5" ht="15" x14ac:dyDescent="0.35">
      <c r="B30" s="19" t="s">
        <v>92</v>
      </c>
      <c r="C30" s="20">
        <f>IF(SL_B="",ServiceLevel,SL_B)</f>
        <v>0.95</v>
      </c>
      <c r="D30" s="21">
        <f>_xlfn.NORM.S.INV(C30)</f>
        <v>1.6448536269514715</v>
      </c>
    </row>
    <row r="31" spans="2:5" ht="15" x14ac:dyDescent="0.35">
      <c r="B31" s="19" t="s">
        <v>93</v>
      </c>
      <c r="C31" s="20">
        <f>IF(SL_C="",ServiceLevel,SL_C)</f>
        <v>0.95</v>
      </c>
      <c r="D31" s="21">
        <f>_xlfn.NORM.S.INV(C31)</f>
        <v>1.6448536269514715</v>
      </c>
    </row>
  </sheetData>
  <dataValidations count="4">
    <dataValidation type="decimal" allowBlank="1" showErrorMessage="1" errorTitle="Service level" error="Enter a value between 50% and 99.9%" sqref="C5 C8 C9 C10" xr:uid="{00000000-0002-0000-0100-000000000000}">
      <formula1>0.5</formula1>
      <formula2>0.999</formula2>
    </dataValidation>
    <dataValidation type="whole" showErrorMessage="1" errorTitle="Lead time" error="Whole weeks from 1 to 12 (the forecast covers 12 weeks)" sqref="C12" xr:uid="{00000000-0002-0000-0100-000001000000}">
      <formula1>1</formula1>
      <formula2>12</formula2>
    </dataValidation>
    <dataValidation type="decimal" showErrorMessage="1" error="Enter a percentage between 1% and 100%" sqref="C13 C15 C19 C20" xr:uid="{00000000-0002-0000-0100-000002000000}">
      <formula1>0.01</formula1>
      <formula2>1</formula2>
    </dataValidation>
    <dataValidation type="decimal" operator="greaterThan" showErrorMessage="1" error="Must be above 0" sqref="C14 C16 C22 C23 C25" xr:uid="{00000000-0002-0000-0100-000003000000}">
      <formula1>0</formula1>
    </dataValidation>
  </dataValidations>
  <pageMargins left="0.75" right="0.75" top="1" bottom="1" header="0.5" footer="0.5"/>
  <pageSetup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AF7A"/>
    <pageSetUpPr fitToPage="1"/>
  </sheetPr>
  <dimension ref="A1:M33"/>
  <sheetViews>
    <sheetView showGridLines="0" workbookViewId="0"/>
  </sheetViews>
  <sheetFormatPr defaultRowHeight="14.4" x14ac:dyDescent="0.3"/>
  <cols>
    <col min="1" max="1" width="3" customWidth="1"/>
    <col min="2" max="2" width="24" customWidth="1"/>
    <col min="3" max="7" width="15" customWidth="1"/>
    <col min="8" max="8" width="3" customWidth="1"/>
    <col min="9" max="9" width="14" customWidth="1"/>
    <col min="10" max="10" width="12" customWidth="1"/>
    <col min="11" max="13" width="15" customWidth="1"/>
  </cols>
  <sheetData>
    <row r="1" spans="1:13" ht="23.4" x14ac:dyDescent="0.55000000000000004">
      <c r="A1" s="1" t="s">
        <v>94</v>
      </c>
    </row>
    <row r="2" spans="1:13" x14ac:dyDescent="0.3">
      <c r="A2" s="2" t="s">
        <v>95</v>
      </c>
    </row>
    <row r="4" spans="1:13" ht="26.4" x14ac:dyDescent="0.3">
      <c r="B4" s="22" t="s">
        <v>96</v>
      </c>
      <c r="C4" s="22" t="s">
        <v>97</v>
      </c>
      <c r="D4" s="22" t="s">
        <v>98</v>
      </c>
      <c r="E4" s="22" t="s">
        <v>99</v>
      </c>
      <c r="F4" s="22" t="s">
        <v>100</v>
      </c>
      <c r="G4" s="22" t="s">
        <v>101</v>
      </c>
    </row>
    <row r="5" spans="1:13" ht="30" customHeight="1" x14ac:dyDescent="0.3">
      <c r="B5" s="23">
        <f>SUM(PolCur)</f>
        <v>294811.67267339624</v>
      </c>
      <c r="C5" s="23">
        <f>SUM(PolRec)</f>
        <v>270948.36528234364</v>
      </c>
      <c r="D5" s="23">
        <f>SUM(PolFreed)</f>
        <v>23863.30739105268</v>
      </c>
      <c r="E5" s="24">
        <f>1-SUM(PolRec)/SUM(PolCur)</f>
        <v>8.0944242046648185E-2</v>
      </c>
      <c r="F5" s="25">
        <f>COUNTIF(PolStatus,"Reorder now")</f>
        <v>29</v>
      </c>
      <c r="G5" s="25">
        <f>COUNTIF(PolStatus,"Overstock")</f>
        <v>1</v>
      </c>
    </row>
    <row r="6" spans="1:13" x14ac:dyDescent="0.3">
      <c r="B6" s="2" t="str">
        <f>"Service level "&amp;TEXT(ServiceLevel,"0.0%")&amp;" · lead time "&amp;LeadTime&amp;" wks · holding "&amp;TEXT(HoldingRate,"0%")&amp;" · £"&amp;OrderCost&amp;" per order · current stock = "&amp;CurrentCover&amp;" weeks of cover"</f>
        <v>Service level 95.0% · lead time 3 wks · holding 25% · £50 per order · current stock = 8 weeks of cover</v>
      </c>
    </row>
    <row r="8" spans="1:13" ht="15" x14ac:dyDescent="0.35">
      <c r="B8" s="3" t="s">
        <v>102</v>
      </c>
      <c r="I8" s="3" t="s">
        <v>103</v>
      </c>
    </row>
    <row r="9" spans="1:13" ht="31.95" customHeight="1" x14ac:dyDescent="0.3">
      <c r="B9" s="8" t="s">
        <v>88</v>
      </c>
      <c r="C9" s="8" t="s">
        <v>104</v>
      </c>
      <c r="D9" s="8" t="s">
        <v>105</v>
      </c>
      <c r="E9" s="8" t="s">
        <v>106</v>
      </c>
      <c r="F9" s="8" t="s">
        <v>107</v>
      </c>
      <c r="G9" s="8" t="s">
        <v>108</v>
      </c>
      <c r="I9" s="8" t="s">
        <v>109</v>
      </c>
      <c r="J9" s="8" t="s">
        <v>110</v>
      </c>
      <c r="K9" s="8" t="s">
        <v>111</v>
      </c>
      <c r="L9" s="8" t="s">
        <v>112</v>
      </c>
      <c r="M9" s="8" t="s">
        <v>113</v>
      </c>
    </row>
    <row r="10" spans="1:13" ht="15" x14ac:dyDescent="0.35">
      <c r="B10" s="19" t="s">
        <v>91</v>
      </c>
      <c r="C10" s="26">
        <f>COUNTIF(PolClass,"A*")</f>
        <v>95</v>
      </c>
      <c r="D10" s="27">
        <f>SUMIFS(PolCur,PolClass,"A*")</f>
        <v>235312.33437400329</v>
      </c>
      <c r="E10" s="27">
        <f>SUMIFS(PolRec,PolClass,"A*")</f>
        <v>200217.84319013235</v>
      </c>
      <c r="F10" s="27">
        <f>D10-E10</f>
        <v>35094.491183870938</v>
      </c>
      <c r="G10" s="26">
        <f>COUNTIFS(PolClass,"A*",PolStatus,"Reorder now")</f>
        <v>19</v>
      </c>
      <c r="I10" s="10">
        <v>0.8</v>
      </c>
      <c r="J10" s="21">
        <f t="shared" ref="J10:J18" si="0">_xlfn.NORM.S.INV(I10)</f>
        <v>0.84162123357291474</v>
      </c>
      <c r="K10" s="27">
        <f t="shared" ref="K10:K18" si="1">J10*SUMPRODUCT(PolSD,PolCost)*SQRT(LeadTime)</f>
        <v>55552.177899080722</v>
      </c>
      <c r="L10" s="27">
        <f t="shared" ref="L10:L18" si="2">K10*HoldingRate</f>
        <v>13888.04447477018</v>
      </c>
      <c r="M10" s="27"/>
    </row>
    <row r="11" spans="1:13" ht="15" x14ac:dyDescent="0.35">
      <c r="B11" s="19" t="s">
        <v>92</v>
      </c>
      <c r="C11" s="26">
        <f>COUNTIF(PolClass,"B*")</f>
        <v>39</v>
      </c>
      <c r="D11" s="27">
        <f>SUMIFS(PolCur,PolClass,"B*")</f>
        <v>44000.566344716965</v>
      </c>
      <c r="E11" s="27">
        <f>SUMIFS(PolRec,PolClass,"B*")</f>
        <v>52183.195876498707</v>
      </c>
      <c r="F11" s="27">
        <f>D11-E11</f>
        <v>-8182.6295317817421</v>
      </c>
      <c r="G11" s="26">
        <f>COUNTIFS(PolClass,"B*",PolStatus,"Reorder now")</f>
        <v>6</v>
      </c>
      <c r="I11" s="10">
        <v>0.85</v>
      </c>
      <c r="J11" s="21">
        <f t="shared" si="0"/>
        <v>1.0364333894937898</v>
      </c>
      <c r="K11" s="27">
        <f t="shared" si="1"/>
        <v>68410.978403289133</v>
      </c>
      <c r="L11" s="27">
        <f t="shared" si="2"/>
        <v>17102.744600822283</v>
      </c>
      <c r="M11" s="27">
        <f t="shared" ref="M11:M18" si="3">K11-K10</f>
        <v>12858.800504208411</v>
      </c>
    </row>
    <row r="12" spans="1:13" ht="15" x14ac:dyDescent="0.35">
      <c r="B12" s="19" t="s">
        <v>93</v>
      </c>
      <c r="C12" s="26">
        <f>COUNTIF(PolClass,"C*")</f>
        <v>16</v>
      </c>
      <c r="D12" s="27">
        <f>SUMIFS(PolCur,PolClass,"C*")</f>
        <v>15498.771954675891</v>
      </c>
      <c r="E12" s="27">
        <f>SUMIFS(PolRec,PolClass,"C*")</f>
        <v>18547.326215712495</v>
      </c>
      <c r="F12" s="27">
        <f>D12-E12</f>
        <v>-3048.5542610366047</v>
      </c>
      <c r="G12" s="26">
        <f>COUNTIFS(PolClass,"C*",PolStatus,"Reorder now")</f>
        <v>4</v>
      </c>
      <c r="I12" s="10">
        <v>0.9</v>
      </c>
      <c r="J12" s="21">
        <f t="shared" si="0"/>
        <v>1.2815515655446006</v>
      </c>
      <c r="K12" s="27">
        <f t="shared" si="1"/>
        <v>84590.285648741512</v>
      </c>
      <c r="L12" s="27">
        <f t="shared" si="2"/>
        <v>21147.571412185378</v>
      </c>
      <c r="M12" s="27">
        <f t="shared" si="3"/>
        <v>16179.307245452379</v>
      </c>
    </row>
    <row r="13" spans="1:13" ht="15" x14ac:dyDescent="0.35">
      <c r="B13" s="19" t="s">
        <v>114</v>
      </c>
      <c r="C13" s="17">
        <f>SUM(C10:C12)</f>
        <v>150</v>
      </c>
      <c r="D13" s="28">
        <f>SUM(D10:D12)</f>
        <v>294811.67267339618</v>
      </c>
      <c r="E13" s="28">
        <f>SUM(E10:E12)</f>
        <v>270948.36528234353</v>
      </c>
      <c r="F13" s="28">
        <f>SUM(F10:F12)</f>
        <v>23863.307391052593</v>
      </c>
      <c r="G13" s="17">
        <f>SUM(G10:G12)</f>
        <v>29</v>
      </c>
      <c r="I13" s="10">
        <v>0.92500000000000004</v>
      </c>
      <c r="J13" s="21">
        <f t="shared" si="0"/>
        <v>1.4395314709384563</v>
      </c>
      <c r="K13" s="27">
        <f t="shared" si="1"/>
        <v>95017.931077389192</v>
      </c>
      <c r="L13" s="27">
        <f t="shared" si="2"/>
        <v>23754.482769347298</v>
      </c>
      <c r="M13" s="27">
        <f t="shared" si="3"/>
        <v>10427.64542864768</v>
      </c>
    </row>
    <row r="14" spans="1:13" ht="15" x14ac:dyDescent="0.35">
      <c r="I14" s="10">
        <v>0.95</v>
      </c>
      <c r="J14" s="21">
        <f t="shared" si="0"/>
        <v>1.6448536269514715</v>
      </c>
      <c r="K14" s="27">
        <f t="shared" si="1"/>
        <v>108570.45623058168</v>
      </c>
      <c r="L14" s="27">
        <f t="shared" si="2"/>
        <v>27142.61405764542</v>
      </c>
      <c r="M14" s="27">
        <f t="shared" si="3"/>
        <v>13552.525153192488</v>
      </c>
    </row>
    <row r="15" spans="1:13" ht="15" x14ac:dyDescent="0.35">
      <c r="B15" s="3" t="s">
        <v>115</v>
      </c>
      <c r="I15" s="10">
        <v>0.97</v>
      </c>
      <c r="J15" s="21">
        <f t="shared" si="0"/>
        <v>1.8807936081512504</v>
      </c>
      <c r="K15" s="27">
        <f t="shared" si="1"/>
        <v>124143.94616437663</v>
      </c>
      <c r="L15" s="27">
        <f t="shared" si="2"/>
        <v>31035.986541094157</v>
      </c>
      <c r="M15" s="27">
        <f t="shared" si="3"/>
        <v>15573.489933794946</v>
      </c>
    </row>
    <row r="16" spans="1:13" ht="31.95" customHeight="1" x14ac:dyDescent="0.35">
      <c r="B16" s="8" t="s">
        <v>88</v>
      </c>
      <c r="C16" s="8" t="s">
        <v>104</v>
      </c>
      <c r="D16" s="8" t="s">
        <v>105</v>
      </c>
      <c r="E16" s="8" t="s">
        <v>106</v>
      </c>
      <c r="F16" s="8" t="s">
        <v>107</v>
      </c>
      <c r="G16" s="8" t="s">
        <v>108</v>
      </c>
      <c r="I16" s="10">
        <v>0.98</v>
      </c>
      <c r="J16" s="21">
        <f t="shared" si="0"/>
        <v>2.0537489106318221</v>
      </c>
      <c r="K16" s="27">
        <f t="shared" si="1"/>
        <v>135560.05990856205</v>
      </c>
      <c r="L16" s="27">
        <f t="shared" si="2"/>
        <v>33890.014977140512</v>
      </c>
      <c r="M16" s="27">
        <f t="shared" si="3"/>
        <v>11416.113744185423</v>
      </c>
    </row>
    <row r="17" spans="2:13" ht="15" x14ac:dyDescent="0.35">
      <c r="B17" s="19" t="s">
        <v>116</v>
      </c>
      <c r="C17" s="26">
        <f>COUNTIF(PolClass,"?X")</f>
        <v>51</v>
      </c>
      <c r="D17" s="27">
        <f>SUMIFS(PolCur,PolClass,"?X")</f>
        <v>115835.34409279065</v>
      </c>
      <c r="E17" s="27">
        <f>SUMIFS(PolRec,PolClass,"?X")</f>
        <v>83627.462005711292</v>
      </c>
      <c r="F17" s="27">
        <f>D17-E17</f>
        <v>32207.882087079357</v>
      </c>
      <c r="G17" s="26">
        <f>COUNTIFS(PolClass,"?X",PolStatus,"Reorder now")</f>
        <v>0</v>
      </c>
      <c r="I17" s="10">
        <v>0.99</v>
      </c>
      <c r="J17" s="21">
        <f t="shared" si="0"/>
        <v>2.3263478740408408</v>
      </c>
      <c r="K17" s="27">
        <f t="shared" si="1"/>
        <v>153553.26814323859</v>
      </c>
      <c r="L17" s="27">
        <f t="shared" si="2"/>
        <v>38388.317035809647</v>
      </c>
      <c r="M17" s="27">
        <f t="shared" si="3"/>
        <v>17993.208234676538</v>
      </c>
    </row>
    <row r="18" spans="2:13" ht="15" x14ac:dyDescent="0.35">
      <c r="B18" s="19" t="s">
        <v>117</v>
      </c>
      <c r="C18" s="26">
        <f>COUNTIF(PolClass,"?Y")</f>
        <v>55</v>
      </c>
      <c r="D18" s="27">
        <f>SUMIFS(PolCur,PolClass,"?Y")</f>
        <v>100151.80989702186</v>
      </c>
      <c r="E18" s="27">
        <f>SUMIFS(PolRec,PolClass,"?Y")</f>
        <v>92204.565565115263</v>
      </c>
      <c r="F18" s="27">
        <f>D18-E18</f>
        <v>7947.2443319065933</v>
      </c>
      <c r="G18" s="26">
        <f>COUNTIFS(PolClass,"?Y",PolStatus,"Reorder now")</f>
        <v>3</v>
      </c>
      <c r="I18" s="10">
        <v>0.995</v>
      </c>
      <c r="J18" s="21">
        <f t="shared" si="0"/>
        <v>2.5758293035488999</v>
      </c>
      <c r="K18" s="27">
        <f t="shared" si="1"/>
        <v>170020.57695353605</v>
      </c>
      <c r="L18" s="27">
        <f t="shared" si="2"/>
        <v>42505.144238384011</v>
      </c>
      <c r="M18" s="27">
        <f t="shared" si="3"/>
        <v>16467.308810297458</v>
      </c>
    </row>
    <row r="19" spans="2:13" ht="15" x14ac:dyDescent="0.35">
      <c r="B19" s="19" t="s">
        <v>47</v>
      </c>
      <c r="C19" s="26">
        <f>COUNTIF(PolClass,"?Z")</f>
        <v>44</v>
      </c>
      <c r="D19" s="27">
        <f>SUMIFS(PolCur,PolClass,"?Z")</f>
        <v>78824.518683583781</v>
      </c>
      <c r="E19" s="27">
        <f>SUMIFS(PolRec,PolClass,"?Z")</f>
        <v>95116.337711517015</v>
      </c>
      <c r="F19" s="27">
        <f>D19-E19</f>
        <v>-16291.819027933234</v>
      </c>
      <c r="G19" s="26">
        <f>COUNTIFS(PolClass,"?Z",PolStatus,"Reorder now")</f>
        <v>26</v>
      </c>
      <c r="I19" s="2" t="s">
        <v>118</v>
      </c>
    </row>
    <row r="22" spans="2:13" ht="15" x14ac:dyDescent="0.35">
      <c r="B22" s="3" t="s">
        <v>119</v>
      </c>
      <c r="I22" s="3" t="s">
        <v>120</v>
      </c>
    </row>
    <row r="23" spans="2:13" ht="31.95" customHeight="1" x14ac:dyDescent="0.35">
      <c r="B23" s="9" t="s">
        <v>121</v>
      </c>
      <c r="C23" s="27">
        <f>SUM(PolHold)</f>
        <v>67737.091320585911</v>
      </c>
      <c r="D23" s="2" t="s">
        <v>122</v>
      </c>
      <c r="I23" s="8" t="s">
        <v>123</v>
      </c>
      <c r="J23" s="8" t="s">
        <v>88</v>
      </c>
      <c r="K23" s="8" t="s">
        <v>124</v>
      </c>
      <c r="L23" s="8" t="s">
        <v>125</v>
      </c>
      <c r="M23" s="8" t="s">
        <v>126</v>
      </c>
    </row>
    <row r="24" spans="2:13" ht="15" x14ac:dyDescent="0.35">
      <c r="B24" s="9" t="s">
        <v>127</v>
      </c>
      <c r="C24" s="27">
        <f>SUM(PolOrdCost)</f>
        <v>40501.295230918135</v>
      </c>
      <c r="I24" s="9" t="str">
        <f>IF(INDEX(PolShort,MATCH(LARGE(PolRank,1),PolRank,0))=0,"",INDEX(PolCode,MATCH(LARGE(PolRank,1),PolRank,0)))</f>
        <v>22086</v>
      </c>
      <c r="J24" s="9" t="str">
        <f>IF(I24="","",INDEX(PolClass,MATCH(LARGE(PolRank,1),PolRank,0)))</f>
        <v>AZ</v>
      </c>
      <c r="K24" s="27">
        <f>IF(I24="","",INDEX(PolShort,MATCH(LARGE(PolRank,1),PolRank,0)))</f>
        <v>1761.7021935483872</v>
      </c>
      <c r="L24" s="29">
        <f>IF(I24="","",INDEX(PolOrder,MATCH(LARGE(PolRank,1),PolRank,0)))</f>
        <v>2654</v>
      </c>
      <c r="M24" s="30">
        <f>IF(I24="","",INDEX(PolRisk,MATCH(LARGE(PolRank,1),PolRank,0)))</f>
        <v>0.24469078974872049</v>
      </c>
    </row>
    <row r="25" spans="2:13" ht="15" x14ac:dyDescent="0.35">
      <c r="B25" s="19" t="s">
        <v>114</v>
      </c>
      <c r="C25" s="28">
        <f>C23+C24</f>
        <v>108238.38655150405</v>
      </c>
      <c r="I25" s="9" t="str">
        <f>IF(INDEX(PolShort,MATCH(LARGE(PolRank,2),PolRank,0))=0,"",INDEX(PolCode,MATCH(LARGE(PolRank,2),PolRank,0)))</f>
        <v>22114</v>
      </c>
      <c r="J25" s="9" t="str">
        <f>IF(I25="","",INDEX(PolClass,MATCH(LARGE(PolRank,2),PolRank,0)))</f>
        <v>AZ</v>
      </c>
      <c r="K25" s="27">
        <f>IF(I25="","",INDEX(PolShort,MATCH(LARGE(PolRank,2),PolRank,0)))</f>
        <v>1700.6145035971222</v>
      </c>
      <c r="L25" s="29">
        <f>IF(I25="","",INDEX(PolOrder,MATCH(LARGE(PolRank,2),PolRank,0)))</f>
        <v>1254</v>
      </c>
      <c r="M25" s="30">
        <f>IF(I25="","",INDEX(PolRisk,MATCH(LARGE(PolRank,2),PolRank,0)))</f>
        <v>0.54923587445045774</v>
      </c>
    </row>
    <row r="26" spans="2:13" ht="15" x14ac:dyDescent="0.35">
      <c r="B26" s="9" t="s">
        <v>128</v>
      </c>
      <c r="C26" s="27">
        <f>SUMPRODUCT(PolSS,PolCost)</f>
        <v>108772.67676031253</v>
      </c>
      <c r="I26" s="9" t="str">
        <f>IF(INDEX(PolShort,MATCH(LARGE(PolRank,3),PolRank,0))=0,"",INDEX(PolCode,MATCH(LARGE(PolRank,3),PolRank,0)))</f>
        <v>15056BL</v>
      </c>
      <c r="J26" s="9" t="str">
        <f>IF(I26="","",INDEX(PolClass,MATCH(LARGE(PolRank,3),PolRank,0)))</f>
        <v>AY</v>
      </c>
      <c r="K26" s="27">
        <f>IF(I26="","",INDEX(PolShort,MATCH(LARGE(PolRank,3),PolRank,0)))</f>
        <v>1429.5387148211244</v>
      </c>
      <c r="L26" s="29">
        <f>IF(I26="","",INDEX(PolOrder,MATCH(LARGE(PolRank,3),PolRank,0)))</f>
        <v>992</v>
      </c>
      <c r="M26" s="30">
        <f>IF(I26="","",INDEX(PolRisk,MATCH(LARGE(PolRank,3),PolRank,0)))</f>
        <v>0.9989498532121891</v>
      </c>
    </row>
    <row r="27" spans="2:13" ht="15" x14ac:dyDescent="0.35">
      <c r="I27" s="9" t="str">
        <f>IF(INDEX(PolShort,MATCH(LARGE(PolRank,4),PolRank,0))=0,"",INDEX(PolCode,MATCH(LARGE(PolRank,4),PolRank,0)))</f>
        <v>22111</v>
      </c>
      <c r="J27" s="9" t="str">
        <f>IF(I27="","",INDEX(PolClass,MATCH(LARGE(PolRank,4),PolRank,0)))</f>
        <v>AZ</v>
      </c>
      <c r="K27" s="27">
        <f>IF(I27="","",INDEX(PolShort,MATCH(LARGE(PolRank,4),PolRank,0)))</f>
        <v>1342.3406858710564</v>
      </c>
      <c r="L27" s="29">
        <f>IF(I27="","",INDEX(PolOrder,MATCH(LARGE(PolRank,4),PolRank,0)))</f>
        <v>1170</v>
      </c>
      <c r="M27" s="30">
        <f>IF(I27="","",INDEX(PolRisk,MATCH(LARGE(PolRank,4),PolRank,0)))</f>
        <v>0.58023226555705132</v>
      </c>
    </row>
    <row r="28" spans="2:13" ht="15" x14ac:dyDescent="0.35">
      <c r="I28" s="9" t="str">
        <f>IF(INDEX(PolShort,MATCH(LARGE(PolRank,5),PolRank,0))=0,"",INDEX(PolCode,MATCH(LARGE(PolRank,5),PolRank,0)))</f>
        <v>84029E</v>
      </c>
      <c r="J28" s="9" t="str">
        <f>IF(I28="","",INDEX(PolClass,MATCH(LARGE(PolRank,5),PolRank,0)))</f>
        <v>AZ</v>
      </c>
      <c r="K28" s="27">
        <f>IF(I28="","",INDEX(PolShort,MATCH(LARGE(PolRank,5),PolRank,0)))</f>
        <v>933.91955321944818</v>
      </c>
      <c r="L28" s="29">
        <f>IF(I28="","",INDEX(PolOrder,MATCH(LARGE(PolRank,5),PolRank,0)))</f>
        <v>1144</v>
      </c>
      <c r="M28" s="30">
        <f>IF(I28="","",INDEX(PolRisk,MATCH(LARGE(PolRank,5),PolRank,0)))</f>
        <v>0.25244502315471773</v>
      </c>
    </row>
    <row r="29" spans="2:13" ht="15" x14ac:dyDescent="0.35">
      <c r="I29" s="9" t="str">
        <f>IF(INDEX(PolShort,MATCH(LARGE(PolRank,6),PolRank,0))=0,"",INDEX(PolCode,MATCH(LARGE(PolRank,6),PolRank,0)))</f>
        <v>21623</v>
      </c>
      <c r="J29" s="9" t="str">
        <f>IF(I29="","",INDEX(PolClass,MATCH(LARGE(PolRank,6),PolRank,0)))</f>
        <v>AZ</v>
      </c>
      <c r="K29" s="27">
        <f>IF(I29="","",INDEX(PolShort,MATCH(LARGE(PolRank,6),PolRank,0)))</f>
        <v>915.87684040904855</v>
      </c>
      <c r="L29" s="29">
        <f>IF(I29="","",INDEX(PolOrder,MATCH(LARGE(PolRank,6),PolRank,0)))</f>
        <v>772</v>
      </c>
      <c r="M29" s="30">
        <f>IF(I29="","",INDEX(PolRisk,MATCH(LARGE(PolRank,6),PolRank,0)))</f>
        <v>0.15438968843547163</v>
      </c>
    </row>
    <row r="30" spans="2:13" ht="15" x14ac:dyDescent="0.35">
      <c r="I30" s="9" t="str">
        <f>IF(INDEX(PolShort,MATCH(LARGE(PolRank,7),PolRank,0))=0,"",INDEX(PolCode,MATCH(LARGE(PolRank,7),PolRank,0)))</f>
        <v>84029G</v>
      </c>
      <c r="J30" s="9" t="str">
        <f>IF(I30="","",INDEX(PolClass,MATCH(LARGE(PolRank,7),PolRank,0)))</f>
        <v>AZ</v>
      </c>
      <c r="K30" s="27">
        <f>IF(I30="","",INDEX(PolShort,MATCH(LARGE(PolRank,7),PolRank,0)))</f>
        <v>899.32347937671852</v>
      </c>
      <c r="L30" s="29">
        <f>IF(I30="","",INDEX(PolOrder,MATCH(LARGE(PolRank,7),PolRank,0)))</f>
        <v>995</v>
      </c>
      <c r="M30" s="30">
        <f>IF(I30="","",INDEX(PolRisk,MATCH(LARGE(PolRank,7),PolRank,0)))</f>
        <v>0.49711742199409925</v>
      </c>
    </row>
    <row r="31" spans="2:13" ht="15" x14ac:dyDescent="0.35">
      <c r="I31" s="9" t="str">
        <f>IF(INDEX(PolShort,MATCH(LARGE(PolRank,8),PolRank,0))=0,"",INDEX(PolCode,MATCH(LARGE(PolRank,8),PolRank,0)))</f>
        <v>21108</v>
      </c>
      <c r="J31" s="9" t="str">
        <f>IF(I31="","",INDEX(PolClass,MATCH(LARGE(PolRank,8),PolRank,0)))</f>
        <v>BZ</v>
      </c>
      <c r="K31" s="27">
        <f>IF(I31="","",INDEX(PolShort,MATCH(LARGE(PolRank,8),PolRank,0)))</f>
        <v>794.05419618970404</v>
      </c>
      <c r="L31" s="29">
        <f>IF(I31="","",INDEX(PolOrder,MATCH(LARGE(PolRank,8),PolRank,0)))</f>
        <v>2321</v>
      </c>
      <c r="M31" s="30">
        <f>IF(I31="","",INDEX(PolRisk,MATCH(LARGE(PolRank,8),PolRank,0)))</f>
        <v>0.23724156615492797</v>
      </c>
    </row>
    <row r="32" spans="2:13" ht="15" x14ac:dyDescent="0.35">
      <c r="I32" s="9" t="str">
        <f>IF(INDEX(PolShort,MATCH(LARGE(PolRank,9),PolRank,0))=0,"",INDEX(PolCode,MATCH(LARGE(PolRank,9),PolRank,0)))</f>
        <v>22087</v>
      </c>
      <c r="J32" s="9" t="str">
        <f>IF(I32="","",INDEX(PolClass,MATCH(LARGE(PolRank,9),PolRank,0)))</f>
        <v>BZ</v>
      </c>
      <c r="K32" s="27">
        <f>IF(I32="","",INDEX(PolShort,MATCH(LARGE(PolRank,9),PolRank,0)))</f>
        <v>750.99485632594701</v>
      </c>
      <c r="L32" s="29">
        <f>IF(I32="","",INDEX(PolOrder,MATCH(LARGE(PolRank,9),PolRank,0)))</f>
        <v>1396</v>
      </c>
      <c r="M32" s="30">
        <f>IF(I32="","",INDEX(PolRisk,MATCH(LARGE(PolRank,9),PolRank,0)))</f>
        <v>0.6688086312462751</v>
      </c>
    </row>
    <row r="33" spans="9:13" ht="15" x14ac:dyDescent="0.35">
      <c r="I33" s="9" t="str">
        <f>IF(INDEX(PolShort,MATCH(LARGE(PolRank,10),PolRank,0))=0,"",INDEX(PolCode,MATCH(LARGE(PolRank,10),PolRank,0)))</f>
        <v>21485</v>
      </c>
      <c r="J33" s="9" t="str">
        <f>IF(I33="","",INDEX(PolClass,MATCH(LARGE(PolRank,10),PolRank,0)))</f>
        <v>AZ</v>
      </c>
      <c r="K33" s="27">
        <f>IF(I33="","",INDEX(PolShort,MATCH(LARGE(PolRank,10),PolRank,0)))</f>
        <v>750.2047464622641</v>
      </c>
      <c r="L33" s="29">
        <f>IF(I33="","",INDEX(PolOrder,MATCH(LARGE(PolRank,10),PolRank,0)))</f>
        <v>921</v>
      </c>
      <c r="M33" s="30">
        <f>IF(I33="","",INDEX(PolRisk,MATCH(LARGE(PolRank,10),PolRank,0)))</f>
        <v>0.43060571515752</v>
      </c>
    </row>
  </sheetData>
  <conditionalFormatting sqref="F10:F12">
    <cfRule type="cellIs" dxfId="8" priority="1" operator="lessThan">
      <formula>0</formula>
    </cfRule>
  </conditionalFormatting>
  <conditionalFormatting sqref="F17:F19">
    <cfRule type="cellIs" dxfId="7" priority="2" operator="lessThan">
      <formula>0</formula>
    </cfRule>
  </conditionalFormatting>
  <conditionalFormatting sqref="I10:M18">
    <cfRule type="expression" dxfId="6" priority="3">
      <formula>ROUND($I10,4)=ROUND(ServiceLevel,4)</formula>
    </cfRule>
  </conditionalFormatting>
  <pageMargins left="0.75" right="0.75" top="1" bottom="1" header="0.5" footer="0.5"/>
  <pageSetup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B6834"/>
  </sheetPr>
  <dimension ref="A1:A2"/>
  <sheetViews>
    <sheetView showGridLines="0" workbookViewId="0"/>
  </sheetViews>
  <sheetFormatPr defaultRowHeight="14.4" x14ac:dyDescent="0.3"/>
  <sheetData>
    <row r="1" spans="1:1" ht="23.4" x14ac:dyDescent="0.55000000000000004">
      <c r="A1" s="1" t="s">
        <v>21</v>
      </c>
    </row>
    <row r="2" spans="1:1" x14ac:dyDescent="0.3">
      <c r="A2" s="2" t="s">
        <v>129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A78D6"/>
  </sheetPr>
  <dimension ref="A1:T15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34" customWidth="1"/>
    <col min="3" max="3" width="14" customWidth="1"/>
    <col min="4" max="4" width="9" customWidth="1"/>
    <col min="5" max="5" width="13" customWidth="1"/>
    <col min="6" max="6" width="7" customWidth="1"/>
    <col min="7" max="8" width="12" customWidth="1"/>
    <col min="9" max="9" width="8" customWidth="1"/>
    <col min="10" max="10" width="7" customWidth="1"/>
    <col min="11" max="11" width="8" customWidth="1"/>
    <col min="12" max="12" width="11" customWidth="1"/>
    <col min="13" max="13" width="10" customWidth="1"/>
    <col min="14" max="14" width="12" customWidth="1"/>
    <col min="15" max="15" width="10" customWidth="1"/>
    <col min="16" max="16" width="8" customWidth="1"/>
    <col min="17" max="19" width="11" customWidth="1"/>
    <col min="20" max="20" width="9" customWidth="1"/>
  </cols>
  <sheetData>
    <row r="1" spans="1:20" ht="23.4" x14ac:dyDescent="0.55000000000000004">
      <c r="A1" s="1" t="s">
        <v>130</v>
      </c>
    </row>
    <row r="2" spans="1:20" x14ac:dyDescent="0.3">
      <c r="A2" s="2" t="s">
        <v>131</v>
      </c>
    </row>
    <row r="4" spans="1:20" ht="31.95" customHeight="1" x14ac:dyDescent="0.35">
      <c r="A4" s="8" t="s">
        <v>123</v>
      </c>
      <c r="B4" s="8" t="s">
        <v>132</v>
      </c>
      <c r="C4" s="8" t="s">
        <v>133</v>
      </c>
      <c r="D4" s="8" t="s">
        <v>134</v>
      </c>
      <c r="E4" s="8" t="s">
        <v>135</v>
      </c>
      <c r="F4" s="8" t="s">
        <v>136</v>
      </c>
      <c r="G4" s="8" t="s">
        <v>137</v>
      </c>
      <c r="H4" s="8" t="s">
        <v>138</v>
      </c>
      <c r="I4" s="8" t="s">
        <v>139</v>
      </c>
      <c r="J4" s="8" t="s">
        <v>140</v>
      </c>
      <c r="K4" s="8" t="s">
        <v>88</v>
      </c>
      <c r="L4" s="8" t="s">
        <v>141</v>
      </c>
      <c r="M4" s="8" t="s">
        <v>142</v>
      </c>
      <c r="N4" s="8" t="s">
        <v>143</v>
      </c>
      <c r="O4" s="8" t="s">
        <v>144</v>
      </c>
      <c r="P4" s="3" t="s">
        <v>145</v>
      </c>
    </row>
    <row r="5" spans="1:20" ht="31.95" customHeight="1" x14ac:dyDescent="0.35">
      <c r="A5" s="9" t="str">
        <f>SKU_Data!A5</f>
        <v>22423</v>
      </c>
      <c r="B5" s="9" t="str">
        <f>_xlfn.XLOOKUP(A5,SKUList,SKU_Data!$B$5:$B$154)</f>
        <v>REGENCY CAKESTAND 3 TIER</v>
      </c>
      <c r="C5" s="27">
        <f>_xlfn.XLOOKUP(A5,SKUList,SKU_Data!$E$5:$E$154)</f>
        <v>160270.37</v>
      </c>
      <c r="D5" s="26">
        <f t="shared" ref="D5:D36" si="0">_xlfn.RANK.EQ(C5,$C$5:$C$154)</f>
        <v>1</v>
      </c>
      <c r="E5" s="20">
        <f t="shared" ref="E5:E36" si="1">SUMIFS($C$5:$C$154,$C$5:$C$154,"&gt;="&amp;C5)/SUM($C$5:$C$154)</f>
        <v>5.0076703228178927E-2</v>
      </c>
      <c r="F5" s="31" t="str">
        <f t="shared" ref="F5:F36" si="2">IF(E5&lt;=A_Limit,"A",IF(E5&lt;=B_Limit,"B","C"))</f>
        <v>A</v>
      </c>
      <c r="G5" s="32">
        <f t="shared" ref="G5:G36" si="3">AVERAGE(_xlfn.XLOOKUP(A5,DemandCodes,DemandLast52))</f>
        <v>244.40384615384616</v>
      </c>
      <c r="H5" s="32">
        <f t="shared" ref="H5:H36" si="4">_xlfn.STDEV.S(_xlfn.XLOOKUP(A5,DemandCodes,DemandLast52))</f>
        <v>157.82942636927467</v>
      </c>
      <c r="I5" s="33">
        <f t="shared" ref="I5:I36" si="5">H5/G5</f>
        <v>0.64577308767033459</v>
      </c>
      <c r="J5" s="31" t="str">
        <f t="shared" ref="J5:J36" si="6">IF(I5&lt;=X_Limit,"X",IF(I5&lt;=Y_Limit,"Y","Z"))</f>
        <v>X</v>
      </c>
      <c r="K5" s="31" t="str">
        <f t="shared" ref="K5:K36" si="7">F5&amp;J5</f>
        <v>AX</v>
      </c>
      <c r="L5" s="33">
        <f t="shared" ref="L5:L36" si="8">AVERAGE(_xlfn.XLOOKUP(A5,DemandCodes,DemandPeak2010))/AVERAGE(_xlfn.XLOOKUP(A5,DemandCodes,DemandTrain))</f>
        <v>1.9313203078744821</v>
      </c>
      <c r="M5" s="31" t="str">
        <f t="shared" ref="M5:M36" si="9">IF(L5&gt;=SeasonalLimit,"Yes","No")</f>
        <v>Yes</v>
      </c>
      <c r="N5" s="34">
        <f>_xlfn.XLOOKUP(A5,SKUList,SKU_Data!$C$5:$C$154)/_xlfn.XLOOKUP(A5,SKUList,SKU_Data!$D$5:$D$154)</f>
        <v>12.531380685174247</v>
      </c>
      <c r="O5" s="31" t="str">
        <f>IF(K5=_xlfn.XLOOKUP(A5,SKUList,SKU_Data!$F$5:$F$154),"✓","≠")</f>
        <v>✓</v>
      </c>
      <c r="P5" s="8"/>
      <c r="Q5" s="8" t="s">
        <v>146</v>
      </c>
      <c r="R5" s="8" t="s">
        <v>147</v>
      </c>
      <c r="S5" s="8" t="s">
        <v>148</v>
      </c>
      <c r="T5" s="8" t="s">
        <v>114</v>
      </c>
    </row>
    <row r="6" spans="1:20" ht="15" x14ac:dyDescent="0.35">
      <c r="A6" s="9" t="str">
        <f>SKU_Data!A6</f>
        <v>85123A</v>
      </c>
      <c r="B6" s="9" t="str">
        <f>_xlfn.XLOOKUP(A6,SKUList,SKU_Data!$B$5:$B$154)</f>
        <v>WHITE HANGING HEART T-LIGHT HOLDER</v>
      </c>
      <c r="C6" s="27">
        <f>_xlfn.XLOOKUP(A6,SKUList,SKU_Data!$E$5:$E$154)</f>
        <v>97727.17</v>
      </c>
      <c r="D6" s="26">
        <f t="shared" si="0"/>
        <v>2</v>
      </c>
      <c r="E6" s="20">
        <f t="shared" si="1"/>
        <v>8.0611695375634437E-2</v>
      </c>
      <c r="F6" s="31" t="str">
        <f t="shared" si="2"/>
        <v>A</v>
      </c>
      <c r="G6" s="32">
        <f t="shared" si="3"/>
        <v>665.01923076923072</v>
      </c>
      <c r="H6" s="32">
        <f t="shared" si="4"/>
        <v>519.54797436054139</v>
      </c>
      <c r="I6" s="33">
        <f t="shared" si="5"/>
        <v>0.7812525568013694</v>
      </c>
      <c r="J6" s="31" t="str">
        <f t="shared" si="6"/>
        <v>Y</v>
      </c>
      <c r="K6" s="31" t="str">
        <f t="shared" si="7"/>
        <v>AY</v>
      </c>
      <c r="L6" s="33">
        <f t="shared" si="8"/>
        <v>1.3546089490741904</v>
      </c>
      <c r="M6" s="31" t="str">
        <f t="shared" si="9"/>
        <v>Yes</v>
      </c>
      <c r="N6" s="34">
        <f>_xlfn.XLOOKUP(A6,SKUList,SKU_Data!$C$5:$C$154)/_xlfn.XLOOKUP(A6,SKUList,SKU_Data!$D$5:$D$154)</f>
        <v>2.8082490984444801</v>
      </c>
      <c r="O6" s="31" t="str">
        <f>IF(K6=_xlfn.XLOOKUP(A6,SKUList,SKU_Data!$F$5:$F$154),"✓","≠")</f>
        <v>✓</v>
      </c>
      <c r="P6" s="19" t="s">
        <v>91</v>
      </c>
      <c r="Q6" s="26">
        <f>COUNTIFS(ClsABC,$P6,ClsXYZ,"X")</f>
        <v>36</v>
      </c>
      <c r="R6" s="26">
        <f>COUNTIFS(ClsABC,$P6,ClsXYZ,"Y")</f>
        <v>31</v>
      </c>
      <c r="S6" s="26">
        <f>COUNTIFS(ClsABC,$P6,ClsXYZ,"Z")</f>
        <v>28</v>
      </c>
      <c r="T6" s="17">
        <f>SUM(Q6:S6)</f>
        <v>95</v>
      </c>
    </row>
    <row r="7" spans="1:20" ht="15" x14ac:dyDescent="0.35">
      <c r="A7" s="9" t="str">
        <f>SKU_Data!A7</f>
        <v>47566</v>
      </c>
      <c r="B7" s="9" t="str">
        <f>_xlfn.XLOOKUP(A7,SKUList,SKU_Data!$B$5:$B$154)</f>
        <v>PARTY BUNTING</v>
      </c>
      <c r="C7" s="27">
        <f>_xlfn.XLOOKUP(A7,SKUList,SKU_Data!$E$5:$E$154)</f>
        <v>97325.28</v>
      </c>
      <c r="D7" s="26">
        <f t="shared" si="0"/>
        <v>3</v>
      </c>
      <c r="E7" s="20">
        <f t="shared" si="1"/>
        <v>0.11102111642557284</v>
      </c>
      <c r="F7" s="31" t="str">
        <f t="shared" si="2"/>
        <v>A</v>
      </c>
      <c r="G7" s="32">
        <f t="shared" si="3"/>
        <v>343.88461538461536</v>
      </c>
      <c r="H7" s="32">
        <f t="shared" si="4"/>
        <v>253.99325711647049</v>
      </c>
      <c r="I7" s="33">
        <f t="shared" si="5"/>
        <v>0.73860023319854973</v>
      </c>
      <c r="J7" s="31" t="str">
        <f t="shared" si="6"/>
        <v>X</v>
      </c>
      <c r="K7" s="31" t="str">
        <f t="shared" si="7"/>
        <v>AX</v>
      </c>
      <c r="L7" s="33">
        <f t="shared" si="8"/>
        <v>0.69477879947906396</v>
      </c>
      <c r="M7" s="31" t="str">
        <f t="shared" si="9"/>
        <v>No</v>
      </c>
      <c r="N7" s="34">
        <f>_xlfn.XLOOKUP(A7,SKUList,SKU_Data!$C$5:$C$154)/_xlfn.XLOOKUP(A7,SKUList,SKU_Data!$D$5:$D$154)</f>
        <v>5.4257739963654386</v>
      </c>
      <c r="O7" s="31" t="str">
        <f>IF(K7=_xlfn.XLOOKUP(A7,SKUList,SKU_Data!$F$5:$F$154),"✓","≠")</f>
        <v>✓</v>
      </c>
      <c r="P7" s="19" t="s">
        <v>92</v>
      </c>
      <c r="Q7" s="26">
        <f>COUNTIFS(ClsABC,$P7,ClsXYZ,"X")</f>
        <v>10</v>
      </c>
      <c r="R7" s="26">
        <f>COUNTIFS(ClsABC,$P7,ClsXYZ,"Y")</f>
        <v>17</v>
      </c>
      <c r="S7" s="26">
        <f>COUNTIFS(ClsABC,$P7,ClsXYZ,"Z")</f>
        <v>12</v>
      </c>
      <c r="T7" s="17">
        <f>SUM(Q7:S7)</f>
        <v>39</v>
      </c>
    </row>
    <row r="8" spans="1:20" ht="15" x14ac:dyDescent="0.35">
      <c r="A8" s="9" t="str">
        <f>SKU_Data!A8</f>
        <v>85099B</v>
      </c>
      <c r="B8" s="9" t="str">
        <f>_xlfn.XLOOKUP(A8,SKUList,SKU_Data!$B$5:$B$154)</f>
        <v>JUMBO BAG RED RETROSPOT</v>
      </c>
      <c r="C8" s="27">
        <f>_xlfn.XLOOKUP(A8,SKUList,SKU_Data!$E$5:$E$154)</f>
        <v>90869.71</v>
      </c>
      <c r="D8" s="26">
        <f t="shared" si="0"/>
        <v>4</v>
      </c>
      <c r="E8" s="20">
        <f t="shared" si="1"/>
        <v>0.13941348552100005</v>
      </c>
      <c r="F8" s="31" t="str">
        <f t="shared" si="2"/>
        <v>A</v>
      </c>
      <c r="G8" s="32">
        <f t="shared" si="3"/>
        <v>900.42307692307691</v>
      </c>
      <c r="H8" s="32">
        <f t="shared" si="4"/>
        <v>493.56249365535075</v>
      </c>
      <c r="I8" s="33">
        <f t="shared" si="5"/>
        <v>0.54814509568318825</v>
      </c>
      <c r="J8" s="31" t="str">
        <f t="shared" si="6"/>
        <v>X</v>
      </c>
      <c r="K8" s="31" t="str">
        <f t="shared" si="7"/>
        <v>AX</v>
      </c>
      <c r="L8" s="33">
        <f t="shared" si="8"/>
        <v>1.4922836392979624</v>
      </c>
      <c r="M8" s="31" t="str">
        <f t="shared" si="9"/>
        <v>Yes</v>
      </c>
      <c r="N8" s="34">
        <f>_xlfn.XLOOKUP(A8,SKUList,SKU_Data!$C$5:$C$154)/_xlfn.XLOOKUP(A8,SKUList,SKU_Data!$D$5:$D$154)</f>
        <v>1.9369510693792384</v>
      </c>
      <c r="O8" s="31" t="str">
        <f>IF(K8=_xlfn.XLOOKUP(A8,SKUList,SKU_Data!$F$5:$F$154),"✓","≠")</f>
        <v>✓</v>
      </c>
      <c r="P8" s="19" t="s">
        <v>93</v>
      </c>
      <c r="Q8" s="26">
        <f>COUNTIFS(ClsABC,$P8,ClsXYZ,"X")</f>
        <v>5</v>
      </c>
      <c r="R8" s="26">
        <f>COUNTIFS(ClsABC,$P8,ClsXYZ,"Y")</f>
        <v>7</v>
      </c>
      <c r="S8" s="26">
        <f>COUNTIFS(ClsABC,$P8,ClsXYZ,"Z")</f>
        <v>4</v>
      </c>
      <c r="T8" s="17">
        <f>SUM(Q8:S8)</f>
        <v>16</v>
      </c>
    </row>
    <row r="9" spans="1:20" ht="15" x14ac:dyDescent="0.35">
      <c r="A9" s="9" t="str">
        <f>SKU_Data!A9</f>
        <v>84879</v>
      </c>
      <c r="B9" s="9" t="str">
        <f>_xlfn.XLOOKUP(A9,SKUList,SKU_Data!$B$5:$B$154)</f>
        <v>ASSORTED COLOUR BIRD ORNAMENT</v>
      </c>
      <c r="C9" s="27">
        <f>_xlfn.XLOOKUP(A9,SKUList,SKU_Data!$E$5:$E$154)</f>
        <v>56285.16</v>
      </c>
      <c r="D9" s="26">
        <f t="shared" si="0"/>
        <v>5</v>
      </c>
      <c r="E9" s="20">
        <f t="shared" si="1"/>
        <v>0.15699986317440265</v>
      </c>
      <c r="F9" s="31" t="str">
        <f t="shared" si="2"/>
        <v>A</v>
      </c>
      <c r="G9" s="32">
        <f t="shared" si="3"/>
        <v>667.76923076923072</v>
      </c>
      <c r="H9" s="32">
        <f t="shared" si="4"/>
        <v>560.66957922996551</v>
      </c>
      <c r="I9" s="33">
        <f t="shared" si="5"/>
        <v>0.83961577352719186</v>
      </c>
      <c r="J9" s="31" t="str">
        <f t="shared" si="6"/>
        <v>Y</v>
      </c>
      <c r="K9" s="31" t="str">
        <f t="shared" si="7"/>
        <v>AY</v>
      </c>
      <c r="L9" s="33">
        <f t="shared" si="8"/>
        <v>2.0484386225027893</v>
      </c>
      <c r="M9" s="31" t="str">
        <f t="shared" si="9"/>
        <v>Yes</v>
      </c>
      <c r="N9" s="34">
        <f>_xlfn.XLOOKUP(A9,SKUList,SKU_Data!$C$5:$C$154)/_xlfn.XLOOKUP(A9,SKUList,SKU_Data!$D$5:$D$154)</f>
        <v>1.6200476911214552</v>
      </c>
      <c r="O9" s="31" t="str">
        <f>IF(K9=_xlfn.XLOOKUP(A9,SKUList,SKU_Data!$F$5:$F$154),"✓","≠")</f>
        <v>✓</v>
      </c>
      <c r="P9" s="19" t="s">
        <v>114</v>
      </c>
      <c r="Q9" s="17">
        <f>SUM(Q6:Q8)</f>
        <v>51</v>
      </c>
      <c r="R9" s="17">
        <f>SUM(R6:R8)</f>
        <v>55</v>
      </c>
      <c r="S9" s="17">
        <f>SUM(S6:S8)</f>
        <v>44</v>
      </c>
      <c r="T9" s="17">
        <f>SUM(T6:T8)</f>
        <v>150</v>
      </c>
    </row>
    <row r="10" spans="1:20" ht="15" x14ac:dyDescent="0.35">
      <c r="A10" s="9" t="str">
        <f>SKU_Data!A10</f>
        <v>22086</v>
      </c>
      <c r="B10" s="9" t="str">
        <f>_xlfn.XLOOKUP(A10,SKUList,SKU_Data!$B$5:$B$154)</f>
        <v>PAPER CHAIN KIT 50'S CHRISTMAS</v>
      </c>
      <c r="C10" s="27">
        <f>_xlfn.XLOOKUP(A10,SKUList,SKU_Data!$E$5:$E$154)</f>
        <v>55727.95</v>
      </c>
      <c r="D10" s="26">
        <f t="shared" si="0"/>
        <v>6</v>
      </c>
      <c r="E10" s="20">
        <f t="shared" si="1"/>
        <v>0.17441213977715081</v>
      </c>
      <c r="F10" s="31" t="str">
        <f t="shared" si="2"/>
        <v>A</v>
      </c>
      <c r="G10" s="32">
        <f t="shared" si="3"/>
        <v>313.82692307692309</v>
      </c>
      <c r="H10" s="32">
        <f t="shared" si="4"/>
        <v>522.61637117277326</v>
      </c>
      <c r="I10" s="33">
        <f t="shared" si="5"/>
        <v>1.6653012623925614</v>
      </c>
      <c r="J10" s="31" t="str">
        <f t="shared" si="6"/>
        <v>Z</v>
      </c>
      <c r="K10" s="31" t="str">
        <f t="shared" si="7"/>
        <v>AZ</v>
      </c>
      <c r="L10" s="33">
        <f t="shared" si="8"/>
        <v>4.8464339382730319</v>
      </c>
      <c r="M10" s="31" t="str">
        <f t="shared" si="9"/>
        <v>Yes</v>
      </c>
      <c r="N10" s="34">
        <f>_xlfn.XLOOKUP(A10,SKUList,SKU_Data!$C$5:$C$154)/_xlfn.XLOOKUP(A10,SKUList,SKU_Data!$D$5:$D$154)</f>
        <v>3.3983452807646359</v>
      </c>
      <c r="O10" s="31" t="str">
        <f>IF(K10=_xlfn.XLOOKUP(A10,SKUList,SKU_Data!$F$5:$F$154),"✓","≠")</f>
        <v>✓</v>
      </c>
    </row>
    <row r="11" spans="1:20" ht="15" x14ac:dyDescent="0.35">
      <c r="A11" s="9" t="str">
        <f>SKU_Data!A11</f>
        <v>79321</v>
      </c>
      <c r="B11" s="9" t="str">
        <f>_xlfn.XLOOKUP(A11,SKUList,SKU_Data!$B$5:$B$154)</f>
        <v>CHILLI LIGHTS</v>
      </c>
      <c r="C11" s="27">
        <f>_xlfn.XLOOKUP(A11,SKUList,SKU_Data!$E$5:$E$154)</f>
        <v>51524.91</v>
      </c>
      <c r="D11" s="26">
        <f t="shared" si="0"/>
        <v>7</v>
      </c>
      <c r="E11" s="20">
        <f t="shared" si="1"/>
        <v>0.19051117060192915</v>
      </c>
      <c r="F11" s="31" t="str">
        <f t="shared" si="2"/>
        <v>A</v>
      </c>
      <c r="G11" s="32">
        <f t="shared" si="3"/>
        <v>189.92307692307693</v>
      </c>
      <c r="H11" s="32">
        <f t="shared" si="4"/>
        <v>226.97048664959667</v>
      </c>
      <c r="I11" s="33">
        <f t="shared" si="5"/>
        <v>1.1950653408038705</v>
      </c>
      <c r="J11" s="31" t="str">
        <f t="shared" si="6"/>
        <v>Y</v>
      </c>
      <c r="K11" s="31" t="str">
        <f t="shared" si="7"/>
        <v>AY</v>
      </c>
      <c r="L11" s="33">
        <f t="shared" si="8"/>
        <v>2.1948040885860305</v>
      </c>
      <c r="M11" s="31" t="str">
        <f t="shared" si="9"/>
        <v>Yes</v>
      </c>
      <c r="N11" s="34">
        <f>_xlfn.XLOOKUP(A11,SKUList,SKU_Data!$C$5:$C$154)/_xlfn.XLOOKUP(A11,SKUList,SKU_Data!$D$5:$D$154)</f>
        <v>5.2103324962330486</v>
      </c>
      <c r="O11" s="31" t="str">
        <f>IF(K11=_xlfn.XLOOKUP(A11,SKUList,SKU_Data!$F$5:$F$154),"✓","≠")</f>
        <v>✓</v>
      </c>
      <c r="P11" s="3" t="s">
        <v>149</v>
      </c>
    </row>
    <row r="12" spans="1:20" ht="31.95" customHeight="1" x14ac:dyDescent="0.35">
      <c r="A12" s="9" t="str">
        <f>SKU_Data!A12</f>
        <v>22502</v>
      </c>
      <c r="B12" s="9" t="str">
        <f>_xlfn.XLOOKUP(A12,SKUList,SKU_Data!$B$5:$B$154)</f>
        <v>PICNIC BASKET WICKER SMALL</v>
      </c>
      <c r="C12" s="27">
        <f>_xlfn.XLOOKUP(A12,SKUList,SKU_Data!$E$5:$E$154)</f>
        <v>51315.59</v>
      </c>
      <c r="D12" s="26">
        <f t="shared" si="0"/>
        <v>8</v>
      </c>
      <c r="E12" s="20">
        <f t="shared" si="1"/>
        <v>0.20654479909738285</v>
      </c>
      <c r="F12" s="31" t="str">
        <f t="shared" si="2"/>
        <v>A</v>
      </c>
      <c r="G12" s="32">
        <f t="shared" si="3"/>
        <v>36.67307692307692</v>
      </c>
      <c r="H12" s="32">
        <f t="shared" si="4"/>
        <v>48.335316181306894</v>
      </c>
      <c r="I12" s="33">
        <f t="shared" si="5"/>
        <v>1.3180054753161818</v>
      </c>
      <c r="J12" s="31" t="str">
        <f t="shared" si="6"/>
        <v>Z</v>
      </c>
      <c r="K12" s="31" t="str">
        <f t="shared" si="7"/>
        <v>AZ</v>
      </c>
      <c r="L12" s="33">
        <f t="shared" si="8"/>
        <v>1.5039434321457708</v>
      </c>
      <c r="M12" s="31" t="str">
        <f t="shared" si="9"/>
        <v>Yes</v>
      </c>
      <c r="N12" s="34">
        <f>_xlfn.XLOOKUP(A12,SKUList,SKU_Data!$C$5:$C$154)/_xlfn.XLOOKUP(A12,SKUList,SKU_Data!$D$5:$D$154)</f>
        <v>26.085186680121087</v>
      </c>
      <c r="O12" s="31" t="str">
        <f>IF(K12=_xlfn.XLOOKUP(A12,SKUList,SKU_Data!$F$5:$F$154),"✓","≠")</f>
        <v>✓</v>
      </c>
      <c r="P12" s="8"/>
      <c r="Q12" s="8" t="s">
        <v>146</v>
      </c>
      <c r="R12" s="8" t="s">
        <v>147</v>
      </c>
      <c r="S12" s="8" t="s">
        <v>148</v>
      </c>
      <c r="T12" s="8" t="s">
        <v>114</v>
      </c>
    </row>
    <row r="13" spans="1:20" ht="15" x14ac:dyDescent="0.35">
      <c r="A13" s="9" t="str">
        <f>SKU_Data!A13</f>
        <v>22197</v>
      </c>
      <c r="B13" s="9" t="str">
        <f>_xlfn.XLOOKUP(A13,SKUList,SKU_Data!$B$5:$B$154)</f>
        <v>SMALL POPCORN HOLDER</v>
      </c>
      <c r="C13" s="27">
        <f>_xlfn.XLOOKUP(A13,SKUList,SKU_Data!$E$5:$E$154)</f>
        <v>44426.46</v>
      </c>
      <c r="D13" s="26">
        <f t="shared" si="0"/>
        <v>9</v>
      </c>
      <c r="E13" s="20">
        <f t="shared" si="1"/>
        <v>0.22042590920462574</v>
      </c>
      <c r="F13" s="31" t="str">
        <f t="shared" si="2"/>
        <v>A</v>
      </c>
      <c r="G13" s="32">
        <f t="shared" si="3"/>
        <v>940.19230769230774</v>
      </c>
      <c r="H13" s="32">
        <f t="shared" si="4"/>
        <v>942.67300463371623</v>
      </c>
      <c r="I13" s="33">
        <f t="shared" si="5"/>
        <v>1.0026384995081457</v>
      </c>
      <c r="J13" s="31" t="str">
        <f t="shared" si="6"/>
        <v>Y</v>
      </c>
      <c r="K13" s="31" t="str">
        <f t="shared" si="7"/>
        <v>AY</v>
      </c>
      <c r="L13" s="33">
        <f t="shared" si="8"/>
        <v>2.0594330894103794</v>
      </c>
      <c r="M13" s="31" t="str">
        <f t="shared" si="9"/>
        <v>Yes</v>
      </c>
      <c r="N13" s="34">
        <f>_xlfn.XLOOKUP(A13,SKUList,SKU_Data!$C$5:$C$154)/_xlfn.XLOOKUP(A13,SKUList,SKU_Data!$D$5:$D$154)</f>
        <v>0.90749437815279277</v>
      </c>
      <c r="O13" s="31" t="str">
        <f>IF(K13=_xlfn.XLOOKUP(A13,SKUList,SKU_Data!$F$5:$F$154),"✓","≠")</f>
        <v>✓</v>
      </c>
      <c r="P13" s="19" t="s">
        <v>91</v>
      </c>
      <c r="Q13" s="20">
        <f>SUMIFS(ClsValue,ClsABC,$P13,ClsXYZ,"X")/SUM(ClsValue)</f>
        <v>0.33818547461320886</v>
      </c>
      <c r="R13" s="20">
        <f>SUMIFS(ClsValue,ClsABC,$P13,ClsXYZ,"Y")/SUM(ClsValue)</f>
        <v>0.25143020337121763</v>
      </c>
      <c r="S13" s="20">
        <f>SUMIFS(ClsValue,ClsABC,$P13,ClsXYZ,"Z")/SUM(ClsValue)</f>
        <v>0.20931420905317152</v>
      </c>
      <c r="T13" s="35">
        <f>SUM(Q13:S13)</f>
        <v>0.79892988703759804</v>
      </c>
    </row>
    <row r="14" spans="1:20" ht="15" x14ac:dyDescent="0.35">
      <c r="A14" s="9" t="str">
        <f>SKU_Data!A14</f>
        <v>22386</v>
      </c>
      <c r="B14" s="9" t="str">
        <f>_xlfn.XLOOKUP(A14,SKUList,SKU_Data!$B$5:$B$154)</f>
        <v>JUMBO BAG PINK POLKADOT</v>
      </c>
      <c r="C14" s="27">
        <f>_xlfn.XLOOKUP(A14,SKUList,SKU_Data!$E$5:$E$154)</f>
        <v>40758.71</v>
      </c>
      <c r="D14" s="26">
        <f t="shared" si="0"/>
        <v>10</v>
      </c>
      <c r="E14" s="20">
        <f t="shared" si="1"/>
        <v>0.23316102564962682</v>
      </c>
      <c r="F14" s="31" t="str">
        <f t="shared" si="2"/>
        <v>A</v>
      </c>
      <c r="G14" s="32">
        <f t="shared" si="3"/>
        <v>396.30769230769232</v>
      </c>
      <c r="H14" s="32">
        <f t="shared" si="4"/>
        <v>278.83514972826129</v>
      </c>
      <c r="I14" s="33">
        <f t="shared" si="5"/>
        <v>0.70358248184537975</v>
      </c>
      <c r="J14" s="31" t="str">
        <f t="shared" si="6"/>
        <v>X</v>
      </c>
      <c r="K14" s="31" t="str">
        <f t="shared" si="7"/>
        <v>AX</v>
      </c>
      <c r="L14" s="33">
        <f t="shared" si="8"/>
        <v>1.2199262461851474</v>
      </c>
      <c r="M14" s="31" t="str">
        <f t="shared" si="9"/>
        <v>No</v>
      </c>
      <c r="N14" s="34">
        <f>_xlfn.XLOOKUP(A14,SKUList,SKU_Data!$C$5:$C$154)/_xlfn.XLOOKUP(A14,SKUList,SKU_Data!$D$5:$D$154)</f>
        <v>1.9737604443600456</v>
      </c>
      <c r="O14" s="31" t="str">
        <f>IF(K14=_xlfn.XLOOKUP(A14,SKUList,SKU_Data!$F$5:$F$154),"✓","≠")</f>
        <v>✓</v>
      </c>
      <c r="P14" s="19" t="s">
        <v>92</v>
      </c>
      <c r="Q14" s="20">
        <f>SUMIFS(ClsValue,ClsABC,$P14,ClsXYZ,"X")/SUM(ClsValue)</f>
        <v>3.8295450948357679E-2</v>
      </c>
      <c r="R14" s="20">
        <f>SUMIFS(ClsValue,ClsABC,$P14,ClsXYZ,"Y")/SUM(ClsValue)</f>
        <v>6.4960963586153331E-2</v>
      </c>
      <c r="S14" s="20">
        <f>SUMIFS(ClsValue,ClsABC,$P14,ClsXYZ,"Z")/SUM(ClsValue)</f>
        <v>4.527438128426297E-2</v>
      </c>
      <c r="T14" s="35">
        <f>SUM(Q14:S14)</f>
        <v>0.14853079581877399</v>
      </c>
    </row>
    <row r="15" spans="1:20" ht="15" x14ac:dyDescent="0.35">
      <c r="A15" s="9" t="str">
        <f>SKU_Data!A15</f>
        <v>21137</v>
      </c>
      <c r="B15" s="9" t="str">
        <f>_xlfn.XLOOKUP(A15,SKUList,SKU_Data!$B$5:$B$154)</f>
        <v>BLACK RECORD COVER FRAME</v>
      </c>
      <c r="C15" s="27">
        <f>_xlfn.XLOOKUP(A15,SKUList,SKU_Data!$E$5:$E$154)</f>
        <v>34577.75</v>
      </c>
      <c r="D15" s="26">
        <f t="shared" si="0"/>
        <v>11</v>
      </c>
      <c r="E15" s="20">
        <f t="shared" si="1"/>
        <v>0.24396489242205746</v>
      </c>
      <c r="F15" s="31" t="str">
        <f t="shared" si="2"/>
        <v>A</v>
      </c>
      <c r="G15" s="32">
        <f t="shared" si="3"/>
        <v>191.69230769230768</v>
      </c>
      <c r="H15" s="32">
        <f t="shared" si="4"/>
        <v>227.12003723189463</v>
      </c>
      <c r="I15" s="33">
        <f t="shared" si="5"/>
        <v>1.1848156035371711</v>
      </c>
      <c r="J15" s="31" t="str">
        <f t="shared" si="6"/>
        <v>Y</v>
      </c>
      <c r="K15" s="31" t="str">
        <f t="shared" si="7"/>
        <v>AY</v>
      </c>
      <c r="L15" s="33">
        <f t="shared" si="8"/>
        <v>1.9922247487713636</v>
      </c>
      <c r="M15" s="31" t="str">
        <f t="shared" si="9"/>
        <v>Yes</v>
      </c>
      <c r="N15" s="34">
        <f>_xlfn.XLOOKUP(A15,SKUList,SKU_Data!$C$5:$C$154)/_xlfn.XLOOKUP(A15,SKUList,SKU_Data!$D$5:$D$154)</f>
        <v>3.4691341341341344</v>
      </c>
      <c r="O15" s="31" t="str">
        <f>IF(K15=_xlfn.XLOOKUP(A15,SKUList,SKU_Data!$F$5:$F$154),"✓","≠")</f>
        <v>✓</v>
      </c>
      <c r="P15" s="19" t="s">
        <v>93</v>
      </c>
      <c r="Q15" s="20">
        <f>SUMIFS(ClsValue,ClsABC,$P15,ClsXYZ,"X")/SUM(ClsValue)</f>
        <v>1.6630695021011471E-2</v>
      </c>
      <c r="R15" s="20">
        <f>SUMIFS(ClsValue,ClsABC,$P15,ClsXYZ,"Y")/SUM(ClsValue)</f>
        <v>2.3013105621328019E-2</v>
      </c>
      <c r="S15" s="20">
        <f>SUMIFS(ClsValue,ClsABC,$P15,ClsXYZ,"Z")/SUM(ClsValue)</f>
        <v>1.2895516501288585E-2</v>
      </c>
      <c r="T15" s="35">
        <f>SUM(Q15:S15)</f>
        <v>5.2539317143628077E-2</v>
      </c>
    </row>
    <row r="16" spans="1:20" ht="15" x14ac:dyDescent="0.35">
      <c r="A16" s="9" t="str">
        <f>SKU_Data!A16</f>
        <v>20725</v>
      </c>
      <c r="B16" s="9" t="str">
        <f>_xlfn.XLOOKUP(A16,SKUList,SKU_Data!$B$5:$B$154)</f>
        <v>LUNCH BAG RED RETROSPOT</v>
      </c>
      <c r="C16" s="27">
        <f>_xlfn.XLOOKUP(A16,SKUList,SKU_Data!$E$5:$E$154)</f>
        <v>33896.01</v>
      </c>
      <c r="D16" s="26">
        <f t="shared" si="0"/>
        <v>12</v>
      </c>
      <c r="E16" s="20">
        <f t="shared" si="1"/>
        <v>0.25455574856963725</v>
      </c>
      <c r="F16" s="31" t="str">
        <f t="shared" si="2"/>
        <v>A</v>
      </c>
      <c r="G16" s="32">
        <f t="shared" si="3"/>
        <v>352.61538461538464</v>
      </c>
      <c r="H16" s="32">
        <f t="shared" si="4"/>
        <v>174.64969463787813</v>
      </c>
      <c r="I16" s="33">
        <f t="shared" si="5"/>
        <v>0.49529799962749027</v>
      </c>
      <c r="J16" s="31" t="str">
        <f t="shared" si="6"/>
        <v>X</v>
      </c>
      <c r="K16" s="31" t="str">
        <f t="shared" si="7"/>
        <v>AX</v>
      </c>
      <c r="L16" s="33">
        <f t="shared" si="8"/>
        <v>1.0244653700607234</v>
      </c>
      <c r="M16" s="31" t="str">
        <f t="shared" si="9"/>
        <v>No</v>
      </c>
      <c r="N16" s="34">
        <f>_xlfn.XLOOKUP(A16,SKUList,SKU_Data!$C$5:$C$154)/_xlfn.XLOOKUP(A16,SKUList,SKU_Data!$D$5:$D$154)</f>
        <v>1.8376697335025383</v>
      </c>
      <c r="O16" s="31" t="str">
        <f>IF(K16=_xlfn.XLOOKUP(A16,SKUList,SKU_Data!$F$5:$F$154),"✓","≠")</f>
        <v>✓</v>
      </c>
      <c r="P16" s="19" t="s">
        <v>114</v>
      </c>
      <c r="Q16" s="35">
        <f>SUM(Q13:Q15)</f>
        <v>0.39311162058257798</v>
      </c>
      <c r="R16" s="35">
        <f>SUM(R13:R15)</f>
        <v>0.33940427257869898</v>
      </c>
      <c r="S16" s="35">
        <f>SUM(S13:S15)</f>
        <v>0.26748410683872303</v>
      </c>
      <c r="T16" s="35">
        <f>SUM(T13:T15)</f>
        <v>1.0000000000000002</v>
      </c>
    </row>
    <row r="17" spans="1:20" ht="15" x14ac:dyDescent="0.35">
      <c r="A17" s="9" t="str">
        <f>SKU_Data!A17</f>
        <v>82484</v>
      </c>
      <c r="B17" s="9" t="str">
        <f>_xlfn.XLOOKUP(A17,SKUList,SKU_Data!$B$5:$B$154)</f>
        <v>WOOD BLACK BOARD ANT WHITE FINISH</v>
      </c>
      <c r="C17" s="27">
        <f>_xlfn.XLOOKUP(A17,SKUList,SKU_Data!$E$5:$E$154)</f>
        <v>33229.4</v>
      </c>
      <c r="D17" s="26">
        <f t="shared" si="0"/>
        <v>13</v>
      </c>
      <c r="E17" s="20">
        <f t="shared" si="1"/>
        <v>0.26493832148221269</v>
      </c>
      <c r="F17" s="31" t="str">
        <f t="shared" si="2"/>
        <v>A</v>
      </c>
      <c r="G17" s="32">
        <f t="shared" si="3"/>
        <v>107.09615384615384</v>
      </c>
      <c r="H17" s="32">
        <f t="shared" si="4"/>
        <v>171.62422010338025</v>
      </c>
      <c r="I17" s="33">
        <f t="shared" si="5"/>
        <v>1.6025245906582464</v>
      </c>
      <c r="J17" s="31" t="str">
        <f t="shared" si="6"/>
        <v>Z</v>
      </c>
      <c r="K17" s="31" t="str">
        <f t="shared" si="7"/>
        <v>AZ</v>
      </c>
      <c r="L17" s="33">
        <f t="shared" si="8"/>
        <v>1.3703099510603589</v>
      </c>
      <c r="M17" s="31" t="str">
        <f t="shared" si="9"/>
        <v>Yes</v>
      </c>
      <c r="N17" s="34">
        <f>_xlfn.XLOOKUP(A17,SKUList,SKU_Data!$C$5:$C$154)/_xlfn.XLOOKUP(A17,SKUList,SKU_Data!$D$5:$D$154)</f>
        <v>5.9711053478805214</v>
      </c>
      <c r="O17" s="31" t="str">
        <f>IF(K17=_xlfn.XLOOKUP(A17,SKUList,SKU_Data!$F$5:$F$154),"✓","≠")</f>
        <v>✓</v>
      </c>
    </row>
    <row r="18" spans="1:20" ht="15" x14ac:dyDescent="0.35">
      <c r="A18" s="9" t="str">
        <f>SKU_Data!A18</f>
        <v>85099F</v>
      </c>
      <c r="B18" s="9" t="str">
        <f>_xlfn.XLOOKUP(A18,SKUList,SKU_Data!$B$5:$B$154)</f>
        <v>JUMBO BAG STRAWBERRY</v>
      </c>
      <c r="C18" s="27">
        <f>_xlfn.XLOOKUP(A18,SKUList,SKU_Data!$E$5:$E$154)</f>
        <v>31496.69</v>
      </c>
      <c r="D18" s="26">
        <f t="shared" si="0"/>
        <v>14</v>
      </c>
      <c r="E18" s="20">
        <f t="shared" si="1"/>
        <v>0.27477950671064855</v>
      </c>
      <c r="F18" s="31" t="str">
        <f t="shared" si="2"/>
        <v>A</v>
      </c>
      <c r="G18" s="32">
        <f t="shared" si="3"/>
        <v>319.53846153846155</v>
      </c>
      <c r="H18" s="32">
        <f t="shared" si="4"/>
        <v>250.01909429344036</v>
      </c>
      <c r="I18" s="33">
        <f t="shared" si="5"/>
        <v>0.78243818628183071</v>
      </c>
      <c r="J18" s="31" t="str">
        <f t="shared" si="6"/>
        <v>Y</v>
      </c>
      <c r="K18" s="31" t="str">
        <f t="shared" si="7"/>
        <v>AY</v>
      </c>
      <c r="L18" s="33">
        <f t="shared" si="8"/>
        <v>1.0156456928146849</v>
      </c>
      <c r="M18" s="31" t="str">
        <f t="shared" si="9"/>
        <v>No</v>
      </c>
      <c r="N18" s="34">
        <f>_xlfn.XLOOKUP(A18,SKUList,SKU_Data!$C$5:$C$154)/_xlfn.XLOOKUP(A18,SKUList,SKU_Data!$D$5:$D$154)</f>
        <v>1.8940468425733767</v>
      </c>
      <c r="O18" s="31" t="str">
        <f>IF(K18=_xlfn.XLOOKUP(A18,SKUList,SKU_Data!$F$5:$F$154),"✓","≠")</f>
        <v>✓</v>
      </c>
      <c r="P18" s="3" t="s">
        <v>150</v>
      </c>
    </row>
    <row r="19" spans="1:20" ht="15" x14ac:dyDescent="0.35">
      <c r="A19" s="9" t="str">
        <f>SKU_Data!A19</f>
        <v>22469</v>
      </c>
      <c r="B19" s="9" t="str">
        <f>_xlfn.XLOOKUP(A19,SKUList,SKU_Data!$B$5:$B$154)</f>
        <v>HEART OF WICKER SMALL</v>
      </c>
      <c r="C19" s="27">
        <f>_xlfn.XLOOKUP(A19,SKUList,SKU_Data!$E$5:$E$154)</f>
        <v>30715.45</v>
      </c>
      <c r="D19" s="26">
        <f t="shared" si="0"/>
        <v>15</v>
      </c>
      <c r="E19" s="20">
        <f t="shared" si="1"/>
        <v>0.28437659239885138</v>
      </c>
      <c r="F19" s="31" t="str">
        <f t="shared" si="2"/>
        <v>A</v>
      </c>
      <c r="G19" s="32">
        <f t="shared" si="3"/>
        <v>331.48076923076923</v>
      </c>
      <c r="H19" s="32">
        <f t="shared" si="4"/>
        <v>332.30711582927205</v>
      </c>
      <c r="I19" s="33">
        <f t="shared" si="5"/>
        <v>1.0024928945362968</v>
      </c>
      <c r="J19" s="31" t="str">
        <f t="shared" si="6"/>
        <v>Y</v>
      </c>
      <c r="K19" s="31" t="str">
        <f t="shared" si="7"/>
        <v>AY</v>
      </c>
      <c r="L19" s="33">
        <f t="shared" si="8"/>
        <v>1.4407265774378586</v>
      </c>
      <c r="M19" s="31" t="str">
        <f t="shared" si="9"/>
        <v>Yes</v>
      </c>
      <c r="N19" s="34">
        <f>_xlfn.XLOOKUP(A19,SKUList,SKU_Data!$C$5:$C$154)/_xlfn.XLOOKUP(A19,SKUList,SKU_Data!$D$5:$D$154)</f>
        <v>1.7802038348592157</v>
      </c>
      <c r="O19" s="31" t="str">
        <f>IF(K19=_xlfn.XLOOKUP(A19,SKUList,SKU_Data!$F$5:$F$154),"✓","≠")</f>
        <v>✓</v>
      </c>
      <c r="P19" s="5" t="s">
        <v>151</v>
      </c>
    </row>
    <row r="20" spans="1:20" ht="15" x14ac:dyDescent="0.35">
      <c r="A20" s="9" t="str">
        <f>SKU_Data!A20</f>
        <v>22178</v>
      </c>
      <c r="B20" s="9" t="str">
        <f>_xlfn.XLOOKUP(A20,SKUList,SKU_Data!$B$5:$B$154)</f>
        <v>VICTORIAN GLASS HANGING T-LIGHT</v>
      </c>
      <c r="C20" s="27">
        <f>_xlfn.XLOOKUP(A20,SKUList,SKU_Data!$E$5:$E$154)</f>
        <v>30004.53</v>
      </c>
      <c r="D20" s="26">
        <f t="shared" si="0"/>
        <v>16</v>
      </c>
      <c r="E20" s="20">
        <f t="shared" si="1"/>
        <v>0.29375155013003396</v>
      </c>
      <c r="F20" s="31" t="str">
        <f t="shared" si="2"/>
        <v>A</v>
      </c>
      <c r="G20" s="32">
        <f t="shared" si="3"/>
        <v>433.98076923076923</v>
      </c>
      <c r="H20" s="32">
        <f t="shared" si="4"/>
        <v>278.41818528507775</v>
      </c>
      <c r="I20" s="33">
        <f t="shared" si="5"/>
        <v>0.64154498315345609</v>
      </c>
      <c r="J20" s="31" t="str">
        <f t="shared" si="6"/>
        <v>X</v>
      </c>
      <c r="K20" s="31" t="str">
        <f t="shared" si="7"/>
        <v>AX</v>
      </c>
      <c r="L20" s="33">
        <f t="shared" si="8"/>
        <v>1.635475079101532</v>
      </c>
      <c r="M20" s="31" t="str">
        <f t="shared" si="9"/>
        <v>Yes</v>
      </c>
      <c r="N20" s="34">
        <f>_xlfn.XLOOKUP(A20,SKUList,SKU_Data!$C$5:$C$154)/_xlfn.XLOOKUP(A20,SKUList,SKU_Data!$D$5:$D$154)</f>
        <v>1.3309945663986089</v>
      </c>
      <c r="O20" s="31" t="str">
        <f>IF(K20=_xlfn.XLOOKUP(A20,SKUList,SKU_Data!$F$5:$F$154),"✓","≠")</f>
        <v>✓</v>
      </c>
      <c r="P20" s="5" t="s">
        <v>152</v>
      </c>
    </row>
    <row r="21" spans="1:20" ht="15" x14ac:dyDescent="0.35">
      <c r="A21" s="9" t="str">
        <f>SKU_Data!A21</f>
        <v>21931</v>
      </c>
      <c r="B21" s="9" t="str">
        <f>_xlfn.XLOOKUP(A21,SKUList,SKU_Data!$B$5:$B$154)</f>
        <v>JUMBO STORAGE BAG SUKI</v>
      </c>
      <c r="C21" s="27">
        <f>_xlfn.XLOOKUP(A21,SKUList,SKU_Data!$E$5:$E$154)</f>
        <v>29521.439999999999</v>
      </c>
      <c r="D21" s="26">
        <f t="shared" si="0"/>
        <v>17</v>
      </c>
      <c r="E21" s="20">
        <f t="shared" si="1"/>
        <v>0.30297556570913625</v>
      </c>
      <c r="F21" s="31" t="str">
        <f t="shared" si="2"/>
        <v>A</v>
      </c>
      <c r="G21" s="32">
        <f t="shared" si="3"/>
        <v>250.63461538461539</v>
      </c>
      <c r="H21" s="32">
        <f t="shared" si="4"/>
        <v>113.00390915434249</v>
      </c>
      <c r="I21" s="33">
        <f t="shared" si="5"/>
        <v>0.45087111762647203</v>
      </c>
      <c r="J21" s="31" t="str">
        <f t="shared" si="6"/>
        <v>X</v>
      </c>
      <c r="K21" s="31" t="str">
        <f t="shared" si="7"/>
        <v>AX</v>
      </c>
      <c r="L21" s="33">
        <f t="shared" si="8"/>
        <v>1.2146196002578982</v>
      </c>
      <c r="M21" s="31" t="str">
        <f t="shared" si="9"/>
        <v>No</v>
      </c>
      <c r="N21" s="34">
        <f>_xlfn.XLOOKUP(A21,SKUList,SKU_Data!$C$5:$C$154)/_xlfn.XLOOKUP(A21,SKUList,SKU_Data!$D$5:$D$154)</f>
        <v>2.2536054167290138</v>
      </c>
      <c r="O21" s="31" t="str">
        <f>IF(K21=_xlfn.XLOOKUP(A21,SKUList,SKU_Data!$F$5:$F$154),"✓","≠")</f>
        <v>✓</v>
      </c>
      <c r="P21" s="5" t="s">
        <v>153</v>
      </c>
    </row>
    <row r="22" spans="1:20" ht="15" x14ac:dyDescent="0.35">
      <c r="A22" s="9" t="str">
        <f>SKU_Data!A22</f>
        <v>22112</v>
      </c>
      <c r="B22" s="9" t="str">
        <f>_xlfn.XLOOKUP(A22,SKUList,SKU_Data!$B$5:$B$154)</f>
        <v>CHOCOLATE HOT WATER BOTTLE</v>
      </c>
      <c r="C22" s="27">
        <f>_xlfn.XLOOKUP(A22,SKUList,SKU_Data!$E$5:$E$154)</f>
        <v>28625.99</v>
      </c>
      <c r="D22" s="26">
        <f t="shared" si="0"/>
        <v>18</v>
      </c>
      <c r="E22" s="20">
        <f t="shared" si="1"/>
        <v>0.3119197966723693</v>
      </c>
      <c r="F22" s="31" t="str">
        <f t="shared" si="2"/>
        <v>A</v>
      </c>
      <c r="G22" s="32">
        <f t="shared" si="3"/>
        <v>101.36538461538461</v>
      </c>
      <c r="H22" s="32">
        <f t="shared" si="4"/>
        <v>133.41576307582278</v>
      </c>
      <c r="I22" s="33">
        <f t="shared" si="5"/>
        <v>1.3161866211236548</v>
      </c>
      <c r="J22" s="31" t="str">
        <f t="shared" si="6"/>
        <v>Z</v>
      </c>
      <c r="K22" s="31" t="str">
        <f t="shared" si="7"/>
        <v>AZ</v>
      </c>
      <c r="L22" s="33">
        <f t="shared" si="8"/>
        <v>3.1597498578737921</v>
      </c>
      <c r="M22" s="31" t="str">
        <f t="shared" si="9"/>
        <v>Yes</v>
      </c>
      <c r="N22" s="34">
        <f>_xlfn.XLOOKUP(A22,SKUList,SKU_Data!$C$5:$C$154)/_xlfn.XLOOKUP(A22,SKUList,SKU_Data!$D$5:$D$154)</f>
        <v>5.4037543989627705</v>
      </c>
      <c r="O22" s="31" t="str">
        <f>IF(K22=_xlfn.XLOOKUP(A22,SKUList,SKU_Data!$F$5:$F$154),"✓","≠")</f>
        <v>✓</v>
      </c>
      <c r="P22" s="5" t="s">
        <v>154</v>
      </c>
      <c r="T22" s="19" t="str">
        <f>COUNTIF($O$5:$O$154,"✓")&amp;" / 150 match"</f>
        <v>150 / 150 match</v>
      </c>
    </row>
    <row r="23" spans="1:20" ht="15" x14ac:dyDescent="0.35">
      <c r="A23" s="9" t="str">
        <f>SKU_Data!A23</f>
        <v>22114</v>
      </c>
      <c r="B23" s="9" t="str">
        <f>_xlfn.XLOOKUP(A23,SKUList,SKU_Data!$B$5:$B$154)</f>
        <v>HOT WATER BOTTLE TEA AND SYMPATHY</v>
      </c>
      <c r="C23" s="27">
        <f>_xlfn.XLOOKUP(A23,SKUList,SKU_Data!$E$5:$E$154)</f>
        <v>28284.91</v>
      </c>
      <c r="D23" s="26">
        <f t="shared" si="0"/>
        <v>19</v>
      </c>
      <c r="E23" s="20">
        <f t="shared" si="1"/>
        <v>0.32075745670838063</v>
      </c>
      <c r="F23" s="31" t="str">
        <f t="shared" si="2"/>
        <v>A</v>
      </c>
      <c r="G23" s="32">
        <f t="shared" si="3"/>
        <v>94.65384615384616</v>
      </c>
      <c r="H23" s="32">
        <f t="shared" si="4"/>
        <v>161.55128908345142</v>
      </c>
      <c r="I23" s="33">
        <f t="shared" si="5"/>
        <v>1.706758844441177</v>
      </c>
      <c r="J23" s="31" t="str">
        <f t="shared" si="6"/>
        <v>Z</v>
      </c>
      <c r="K23" s="31" t="str">
        <f t="shared" si="7"/>
        <v>AZ</v>
      </c>
      <c r="L23" s="33">
        <f t="shared" si="8"/>
        <v>3.3254181600955794</v>
      </c>
      <c r="M23" s="31" t="str">
        <f t="shared" si="9"/>
        <v>Yes</v>
      </c>
      <c r="N23" s="34">
        <f>_xlfn.XLOOKUP(A23,SKUList,SKU_Data!$C$5:$C$154)/_xlfn.XLOOKUP(A23,SKUList,SKU_Data!$D$5:$D$154)</f>
        <v>5.7144304556354912</v>
      </c>
      <c r="O23" s="31" t="str">
        <f>IF(K23=_xlfn.XLOOKUP(A23,SKUList,SKU_Data!$F$5:$F$154),"✓","≠")</f>
        <v>✓</v>
      </c>
    </row>
    <row r="24" spans="1:20" ht="15" x14ac:dyDescent="0.35">
      <c r="A24" s="9" t="str">
        <f>SKU_Data!A24</f>
        <v>22470</v>
      </c>
      <c r="B24" s="9" t="str">
        <f>_xlfn.XLOOKUP(A24,SKUList,SKU_Data!$B$5:$B$154)</f>
        <v>HEART OF WICKER LARGE</v>
      </c>
      <c r="C24" s="27">
        <f>_xlfn.XLOOKUP(A24,SKUList,SKU_Data!$E$5:$E$154)</f>
        <v>27315.13</v>
      </c>
      <c r="D24" s="26">
        <f t="shared" si="0"/>
        <v>20</v>
      </c>
      <c r="E24" s="20">
        <f t="shared" si="1"/>
        <v>0.32929210761515221</v>
      </c>
      <c r="F24" s="31" t="str">
        <f t="shared" si="2"/>
        <v>A</v>
      </c>
      <c r="G24" s="32">
        <f t="shared" si="3"/>
        <v>173.32692307692307</v>
      </c>
      <c r="H24" s="32">
        <f t="shared" si="4"/>
        <v>249.91423792925178</v>
      </c>
      <c r="I24" s="33">
        <f t="shared" si="5"/>
        <v>1.4418662345857198</v>
      </c>
      <c r="J24" s="31" t="str">
        <f t="shared" si="6"/>
        <v>Z</v>
      </c>
      <c r="K24" s="31" t="str">
        <f t="shared" si="7"/>
        <v>AZ</v>
      </c>
      <c r="L24" s="33">
        <f t="shared" si="8"/>
        <v>2.1773856679870365</v>
      </c>
      <c r="M24" s="31" t="str">
        <f t="shared" si="9"/>
        <v>Yes</v>
      </c>
      <c r="N24" s="34">
        <f>_xlfn.XLOOKUP(A24,SKUList,SKU_Data!$C$5:$C$154)/_xlfn.XLOOKUP(A24,SKUList,SKU_Data!$D$5:$D$154)</f>
        <v>3.0286393207630389</v>
      </c>
      <c r="O24" s="31" t="str">
        <f>IF(K24=_xlfn.XLOOKUP(A24,SKUList,SKU_Data!$F$5:$F$154),"✓","≠")</f>
        <v>✓</v>
      </c>
    </row>
    <row r="25" spans="1:20" ht="15" x14ac:dyDescent="0.35">
      <c r="A25" s="9" t="str">
        <f>SKU_Data!A25</f>
        <v>22411</v>
      </c>
      <c r="B25" s="9" t="str">
        <f>_xlfn.XLOOKUP(A25,SKUList,SKU_Data!$B$5:$B$154)</f>
        <v>JUMBO SHOPPER VINTAGE RED PAISLEY</v>
      </c>
      <c r="C25" s="27">
        <f>_xlfn.XLOOKUP(A25,SKUList,SKU_Data!$E$5:$E$154)</f>
        <v>26756.59</v>
      </c>
      <c r="D25" s="26">
        <f t="shared" si="0"/>
        <v>21</v>
      </c>
      <c r="E25" s="20">
        <f t="shared" si="1"/>
        <v>0.33765224191089299</v>
      </c>
      <c r="F25" s="31" t="str">
        <f t="shared" si="2"/>
        <v>A</v>
      </c>
      <c r="G25" s="32">
        <f t="shared" si="3"/>
        <v>224.19230769230768</v>
      </c>
      <c r="H25" s="32">
        <f t="shared" si="4"/>
        <v>129.38891646649668</v>
      </c>
      <c r="I25" s="33">
        <f t="shared" si="5"/>
        <v>0.57713361264863849</v>
      </c>
      <c r="J25" s="31" t="str">
        <f t="shared" si="6"/>
        <v>X</v>
      </c>
      <c r="K25" s="31" t="str">
        <f t="shared" si="7"/>
        <v>AX</v>
      </c>
      <c r="L25" s="33">
        <f t="shared" si="8"/>
        <v>1.5741140215716487</v>
      </c>
      <c r="M25" s="31" t="str">
        <f t="shared" si="9"/>
        <v>Yes</v>
      </c>
      <c r="N25" s="34">
        <f>_xlfn.XLOOKUP(A25,SKUList,SKU_Data!$C$5:$C$154)/_xlfn.XLOOKUP(A25,SKUList,SKU_Data!$D$5:$D$154)</f>
        <v>2.2793090243090246</v>
      </c>
      <c r="O25" s="31" t="str">
        <f>IF(K25=_xlfn.XLOOKUP(A25,SKUList,SKU_Data!$F$5:$F$154),"✓","≠")</f>
        <v>✓</v>
      </c>
    </row>
    <row r="26" spans="1:20" ht="15" x14ac:dyDescent="0.35">
      <c r="A26" s="9" t="str">
        <f>SKU_Data!A26</f>
        <v>22355</v>
      </c>
      <c r="B26" s="9" t="str">
        <f>_xlfn.XLOOKUP(A26,SKUList,SKU_Data!$B$5:$B$154)</f>
        <v>CHARLOTTE BAG SUKI DESIGN</v>
      </c>
      <c r="C26" s="27">
        <f>_xlfn.XLOOKUP(A26,SKUList,SKU_Data!$E$5:$E$154)</f>
        <v>26739.4</v>
      </c>
      <c r="D26" s="26">
        <f t="shared" si="0"/>
        <v>22</v>
      </c>
      <c r="E26" s="20">
        <f t="shared" si="1"/>
        <v>0.34600700516688077</v>
      </c>
      <c r="F26" s="31" t="str">
        <f t="shared" si="2"/>
        <v>A</v>
      </c>
      <c r="G26" s="32">
        <f t="shared" si="3"/>
        <v>323.69230769230768</v>
      </c>
      <c r="H26" s="32">
        <f t="shared" si="4"/>
        <v>152.9434777643315</v>
      </c>
      <c r="I26" s="33">
        <f t="shared" si="5"/>
        <v>0.47249648548866674</v>
      </c>
      <c r="J26" s="31" t="str">
        <f t="shared" si="6"/>
        <v>X</v>
      </c>
      <c r="K26" s="31" t="str">
        <f t="shared" si="7"/>
        <v>AX</v>
      </c>
      <c r="L26" s="33">
        <f t="shared" si="8"/>
        <v>1.4400386473429951</v>
      </c>
      <c r="M26" s="31" t="str">
        <f t="shared" si="9"/>
        <v>Yes</v>
      </c>
      <c r="N26" s="34">
        <f>_xlfn.XLOOKUP(A26,SKUList,SKU_Data!$C$5:$C$154)/_xlfn.XLOOKUP(A26,SKUList,SKU_Data!$D$5:$D$154)</f>
        <v>1.5813126435427831</v>
      </c>
      <c r="O26" s="31" t="str">
        <f>IF(K26=_xlfn.XLOOKUP(A26,SKUList,SKU_Data!$F$5:$F$154),"✓","≠")</f>
        <v>✓</v>
      </c>
    </row>
    <row r="27" spans="1:20" ht="15" x14ac:dyDescent="0.35">
      <c r="A27" s="9" t="str">
        <f>SKU_Data!A27</f>
        <v>20685</v>
      </c>
      <c r="B27" s="9" t="str">
        <f>_xlfn.XLOOKUP(A27,SKUList,SKU_Data!$B$5:$B$154)</f>
        <v>DOORMAT RED RETROSPOT</v>
      </c>
      <c r="C27" s="27">
        <f>_xlfn.XLOOKUP(A27,SKUList,SKU_Data!$E$5:$E$154)</f>
        <v>26531.03</v>
      </c>
      <c r="D27" s="26">
        <f t="shared" si="0"/>
        <v>23</v>
      </c>
      <c r="E27" s="20">
        <f t="shared" si="1"/>
        <v>0.35429666292238426</v>
      </c>
      <c r="F27" s="31" t="str">
        <f t="shared" si="2"/>
        <v>A</v>
      </c>
      <c r="G27" s="32">
        <f t="shared" si="3"/>
        <v>74.615384615384613</v>
      </c>
      <c r="H27" s="32">
        <f t="shared" si="4"/>
        <v>96.675554800205845</v>
      </c>
      <c r="I27" s="33">
        <f t="shared" si="5"/>
        <v>1.2956517653635835</v>
      </c>
      <c r="J27" s="31" t="str">
        <f t="shared" si="6"/>
        <v>Z</v>
      </c>
      <c r="K27" s="31" t="str">
        <f t="shared" si="7"/>
        <v>AZ</v>
      </c>
      <c r="L27" s="33">
        <f t="shared" si="8"/>
        <v>1.06860517946388</v>
      </c>
      <c r="M27" s="31" t="str">
        <f t="shared" si="9"/>
        <v>No</v>
      </c>
      <c r="N27" s="34">
        <f>_xlfn.XLOOKUP(A27,SKUList,SKU_Data!$C$5:$C$154)/_xlfn.XLOOKUP(A27,SKUList,SKU_Data!$D$5:$D$154)</f>
        <v>6.8404080081094776</v>
      </c>
      <c r="O27" s="31" t="str">
        <f>IF(K27=_xlfn.XLOOKUP(A27,SKUList,SKU_Data!$F$5:$F$154),"✓","≠")</f>
        <v>✓</v>
      </c>
    </row>
    <row r="28" spans="1:20" ht="15" x14ac:dyDescent="0.35">
      <c r="A28" s="9" t="str">
        <f>SKU_Data!A28</f>
        <v>85099C</v>
      </c>
      <c r="B28" s="9" t="str">
        <f>_xlfn.XLOOKUP(A28,SKUList,SKU_Data!$B$5:$B$154)</f>
        <v>JUMBO  BAG BAROQUE BLACK WHITE</v>
      </c>
      <c r="C28" s="27">
        <f>_xlfn.XLOOKUP(A28,SKUList,SKU_Data!$E$5:$E$154)</f>
        <v>26437.73</v>
      </c>
      <c r="D28" s="26">
        <f t="shared" si="0"/>
        <v>24</v>
      </c>
      <c r="E28" s="20">
        <f t="shared" si="1"/>
        <v>0.36255716896125295</v>
      </c>
      <c r="F28" s="31" t="str">
        <f t="shared" si="2"/>
        <v>A</v>
      </c>
      <c r="G28" s="32">
        <f t="shared" si="3"/>
        <v>252.19230769230768</v>
      </c>
      <c r="H28" s="32">
        <f t="shared" si="4"/>
        <v>147.08008202303762</v>
      </c>
      <c r="I28" s="33">
        <f t="shared" si="5"/>
        <v>0.58320605956976945</v>
      </c>
      <c r="J28" s="31" t="str">
        <f t="shared" si="6"/>
        <v>X</v>
      </c>
      <c r="K28" s="31" t="str">
        <f t="shared" si="7"/>
        <v>AX</v>
      </c>
      <c r="L28" s="33">
        <f t="shared" si="8"/>
        <v>1.4668478260869564</v>
      </c>
      <c r="M28" s="31" t="str">
        <f t="shared" si="9"/>
        <v>Yes</v>
      </c>
      <c r="N28" s="34">
        <f>_xlfn.XLOOKUP(A28,SKUList,SKU_Data!$C$5:$C$154)/_xlfn.XLOOKUP(A28,SKUList,SKU_Data!$D$5:$D$154)</f>
        <v>2.0118308071380571</v>
      </c>
      <c r="O28" s="31" t="str">
        <f>IF(K28=_xlfn.XLOOKUP(A28,SKUList,SKU_Data!$F$5:$F$154),"✓","≠")</f>
        <v>✓</v>
      </c>
    </row>
    <row r="29" spans="1:20" ht="15" x14ac:dyDescent="0.35">
      <c r="A29" s="9" t="str">
        <f>SKU_Data!A29</f>
        <v>22629</v>
      </c>
      <c r="B29" s="9" t="str">
        <f>_xlfn.XLOOKUP(A29,SKUList,SKU_Data!$B$5:$B$154)</f>
        <v>SPACEBOY LUNCH BOX</v>
      </c>
      <c r="C29" s="27">
        <f>_xlfn.XLOOKUP(A29,SKUList,SKU_Data!$E$5:$E$154)</f>
        <v>25292.45</v>
      </c>
      <c r="D29" s="26">
        <f t="shared" si="0"/>
        <v>25</v>
      </c>
      <c r="E29" s="20">
        <f t="shared" si="1"/>
        <v>0.37045983064827315</v>
      </c>
      <c r="F29" s="31" t="str">
        <f t="shared" si="2"/>
        <v>A</v>
      </c>
      <c r="G29" s="32">
        <f t="shared" si="3"/>
        <v>270.01923076923077</v>
      </c>
      <c r="H29" s="32">
        <f t="shared" si="4"/>
        <v>180.60079369080754</v>
      </c>
      <c r="I29" s="33">
        <f t="shared" si="5"/>
        <v>0.66884419000940043</v>
      </c>
      <c r="J29" s="31" t="str">
        <f t="shared" si="6"/>
        <v>X</v>
      </c>
      <c r="K29" s="31" t="str">
        <f t="shared" si="7"/>
        <v>AX</v>
      </c>
      <c r="L29" s="33">
        <f t="shared" si="8"/>
        <v>1.7959147737277688</v>
      </c>
      <c r="M29" s="31" t="str">
        <f t="shared" si="9"/>
        <v>Yes</v>
      </c>
      <c r="N29" s="34">
        <f>_xlfn.XLOOKUP(A29,SKUList,SKU_Data!$C$5:$C$154)/_xlfn.XLOOKUP(A29,SKUList,SKU_Data!$D$5:$D$154)</f>
        <v>1.8010039020929409</v>
      </c>
      <c r="O29" s="31" t="str">
        <f>IF(K29=_xlfn.XLOOKUP(A29,SKUList,SKU_Data!$F$5:$F$154),"✓","≠")</f>
        <v>✓</v>
      </c>
    </row>
    <row r="30" spans="1:20" ht="15" x14ac:dyDescent="0.35">
      <c r="A30" s="9" t="str">
        <f>SKU_Data!A30</f>
        <v>22457</v>
      </c>
      <c r="B30" s="9" t="str">
        <f>_xlfn.XLOOKUP(A30,SKUList,SKU_Data!$B$5:$B$154)</f>
        <v>NATURAL SLATE HEART CHALKBOARD</v>
      </c>
      <c r="C30" s="27">
        <f>_xlfn.XLOOKUP(A30,SKUList,SKU_Data!$E$5:$E$154)</f>
        <v>25172.560000000001</v>
      </c>
      <c r="D30" s="26">
        <f t="shared" si="0"/>
        <v>26</v>
      </c>
      <c r="E30" s="20">
        <f t="shared" si="1"/>
        <v>0.37832503253564342</v>
      </c>
      <c r="F30" s="31" t="str">
        <f t="shared" si="2"/>
        <v>A</v>
      </c>
      <c r="G30" s="32">
        <f t="shared" si="3"/>
        <v>156.69230769230768</v>
      </c>
      <c r="H30" s="32">
        <f t="shared" si="4"/>
        <v>69.601819466171349</v>
      </c>
      <c r="I30" s="33">
        <f t="shared" si="5"/>
        <v>0.44419423321562473</v>
      </c>
      <c r="J30" s="31" t="str">
        <f t="shared" si="6"/>
        <v>X</v>
      </c>
      <c r="K30" s="31" t="str">
        <f t="shared" si="7"/>
        <v>AX</v>
      </c>
      <c r="L30" s="33">
        <f t="shared" si="8"/>
        <v>1.63474423925478</v>
      </c>
      <c r="M30" s="31" t="str">
        <f t="shared" si="9"/>
        <v>Yes</v>
      </c>
      <c r="N30" s="34">
        <f>_xlfn.XLOOKUP(A30,SKUList,SKU_Data!$C$5:$C$154)/_xlfn.XLOOKUP(A30,SKUList,SKU_Data!$D$5:$D$154)</f>
        <v>3.0884510306134891</v>
      </c>
      <c r="O30" s="31" t="str">
        <f>IF(K30=_xlfn.XLOOKUP(A30,SKUList,SKU_Data!$F$5:$F$154),"✓","≠")</f>
        <v>✓</v>
      </c>
    </row>
    <row r="31" spans="1:20" ht="15" x14ac:dyDescent="0.35">
      <c r="A31" s="9" t="str">
        <f>SKU_Data!A31</f>
        <v>21915</v>
      </c>
      <c r="B31" s="9" t="str">
        <f>_xlfn.XLOOKUP(A31,SKUList,SKU_Data!$B$5:$B$154)</f>
        <v>RED  HARMONICA IN BOX</v>
      </c>
      <c r="C31" s="27">
        <f>_xlfn.XLOOKUP(A31,SKUList,SKU_Data!$E$5:$E$154)</f>
        <v>25165.67</v>
      </c>
      <c r="D31" s="26">
        <f t="shared" si="0"/>
        <v>27</v>
      </c>
      <c r="E31" s="20">
        <f t="shared" si="1"/>
        <v>0.38618808163279272</v>
      </c>
      <c r="F31" s="31" t="str">
        <f t="shared" si="2"/>
        <v>A</v>
      </c>
      <c r="G31" s="32">
        <f t="shared" si="3"/>
        <v>400.5</v>
      </c>
      <c r="H31" s="32">
        <f t="shared" si="4"/>
        <v>512.11807385468001</v>
      </c>
      <c r="I31" s="33">
        <f t="shared" si="5"/>
        <v>1.2786968136196755</v>
      </c>
      <c r="J31" s="31" t="str">
        <f t="shared" si="6"/>
        <v>Z</v>
      </c>
      <c r="K31" s="31" t="str">
        <f t="shared" si="7"/>
        <v>AZ</v>
      </c>
      <c r="L31" s="33">
        <f t="shared" si="8"/>
        <v>2.1347613360557847</v>
      </c>
      <c r="M31" s="31" t="str">
        <f t="shared" si="9"/>
        <v>Yes</v>
      </c>
      <c r="N31" s="34">
        <f>_xlfn.XLOOKUP(A31,SKUList,SKU_Data!$C$5:$C$154)/_xlfn.XLOOKUP(A31,SKUList,SKU_Data!$D$5:$D$154)</f>
        <v>1.2085109845402766</v>
      </c>
      <c r="O31" s="31" t="str">
        <f>IF(K31=_xlfn.XLOOKUP(A31,SKUList,SKU_Data!$F$5:$F$154),"✓","≠")</f>
        <v>✓</v>
      </c>
    </row>
    <row r="32" spans="1:20" ht="15" x14ac:dyDescent="0.35">
      <c r="A32" s="9" t="str">
        <f>SKU_Data!A32</f>
        <v>48138</v>
      </c>
      <c r="B32" s="9" t="str">
        <f>_xlfn.XLOOKUP(A32,SKUList,SKU_Data!$B$5:$B$154)</f>
        <v>DOORMAT UNION FLAG</v>
      </c>
      <c r="C32" s="27">
        <f>_xlfn.XLOOKUP(A32,SKUList,SKU_Data!$E$5:$E$154)</f>
        <v>24942.07</v>
      </c>
      <c r="D32" s="26">
        <f t="shared" si="0"/>
        <v>28</v>
      </c>
      <c r="E32" s="20">
        <f t="shared" si="1"/>
        <v>0.39398126659447008</v>
      </c>
      <c r="F32" s="31" t="str">
        <f t="shared" si="2"/>
        <v>A</v>
      </c>
      <c r="G32" s="32">
        <f t="shared" si="3"/>
        <v>70.942307692307693</v>
      </c>
      <c r="H32" s="32">
        <f t="shared" si="4"/>
        <v>100.92190991282561</v>
      </c>
      <c r="I32" s="33">
        <f t="shared" si="5"/>
        <v>1.4225913026475825</v>
      </c>
      <c r="J32" s="31" t="str">
        <f t="shared" si="6"/>
        <v>Z</v>
      </c>
      <c r="K32" s="31" t="str">
        <f t="shared" si="7"/>
        <v>AZ</v>
      </c>
      <c r="L32" s="33">
        <f t="shared" si="8"/>
        <v>0.95941503230926206</v>
      </c>
      <c r="M32" s="31" t="str">
        <f t="shared" si="9"/>
        <v>No</v>
      </c>
      <c r="N32" s="34">
        <f>_xlfn.XLOOKUP(A32,SKUList,SKU_Data!$C$5:$C$154)/_xlfn.XLOOKUP(A32,SKUList,SKU_Data!$D$5:$D$154)</f>
        <v>6.7638337368845836</v>
      </c>
      <c r="O32" s="31" t="str">
        <f>IF(K32=_xlfn.XLOOKUP(A32,SKUList,SKU_Data!$F$5:$F$154),"✓","≠")</f>
        <v>✓</v>
      </c>
    </row>
    <row r="33" spans="1:15" ht="15" x14ac:dyDescent="0.35">
      <c r="A33" s="9" t="str">
        <f>SKU_Data!A33</f>
        <v>84946</v>
      </c>
      <c r="B33" s="9" t="str">
        <f>_xlfn.XLOOKUP(A33,SKUList,SKU_Data!$B$5:$B$154)</f>
        <v>ANTIQUE SILVER TEA GLASS ETCHED</v>
      </c>
      <c r="C33" s="27">
        <f>_xlfn.XLOOKUP(A33,SKUList,SKU_Data!$E$5:$E$154)</f>
        <v>24434.12</v>
      </c>
      <c r="D33" s="26">
        <f t="shared" si="0"/>
        <v>29</v>
      </c>
      <c r="E33" s="20">
        <f t="shared" si="1"/>
        <v>0.40161574186199284</v>
      </c>
      <c r="F33" s="31" t="str">
        <f t="shared" si="2"/>
        <v>A</v>
      </c>
      <c r="G33" s="32">
        <f t="shared" si="3"/>
        <v>348.84615384615387</v>
      </c>
      <c r="H33" s="32">
        <f t="shared" si="4"/>
        <v>224.27612398300138</v>
      </c>
      <c r="I33" s="33">
        <f t="shared" si="5"/>
        <v>0.64290840392040083</v>
      </c>
      <c r="J33" s="31" t="str">
        <f t="shared" si="6"/>
        <v>X</v>
      </c>
      <c r="K33" s="31" t="str">
        <f t="shared" si="7"/>
        <v>AX</v>
      </c>
      <c r="L33" s="33">
        <f t="shared" si="8"/>
        <v>1.8302841302841302</v>
      </c>
      <c r="M33" s="31" t="str">
        <f t="shared" si="9"/>
        <v>Yes</v>
      </c>
      <c r="N33" s="34">
        <f>_xlfn.XLOOKUP(A33,SKUList,SKU_Data!$C$5:$C$154)/_xlfn.XLOOKUP(A33,SKUList,SKU_Data!$D$5:$D$154)</f>
        <v>1.342828901045334</v>
      </c>
      <c r="O33" s="31" t="str">
        <f>IF(K33=_xlfn.XLOOKUP(A33,SKUList,SKU_Data!$F$5:$F$154),"✓","≠")</f>
        <v>✓</v>
      </c>
    </row>
    <row r="34" spans="1:15" ht="15" x14ac:dyDescent="0.35">
      <c r="A34" s="9" t="str">
        <f>SKU_Data!A34</f>
        <v>22326</v>
      </c>
      <c r="B34" s="9" t="str">
        <f>_xlfn.XLOOKUP(A34,SKUList,SKU_Data!$B$5:$B$154)</f>
        <v>ROUND SNACK BOXES SET OF4 WOODLAND</v>
      </c>
      <c r="C34" s="27">
        <f>_xlfn.XLOOKUP(A34,SKUList,SKU_Data!$E$5:$E$154)</f>
        <v>24126.93</v>
      </c>
      <c r="D34" s="26">
        <f t="shared" si="0"/>
        <v>30</v>
      </c>
      <c r="E34" s="20">
        <f t="shared" si="1"/>
        <v>0.40915423518060839</v>
      </c>
      <c r="F34" s="31" t="str">
        <f t="shared" si="2"/>
        <v>A</v>
      </c>
      <c r="G34" s="32">
        <f t="shared" si="3"/>
        <v>163.40384615384616</v>
      </c>
      <c r="H34" s="32">
        <f t="shared" si="4"/>
        <v>118.87747187020078</v>
      </c>
      <c r="I34" s="33">
        <f t="shared" si="5"/>
        <v>0.72750718338830644</v>
      </c>
      <c r="J34" s="31" t="str">
        <f t="shared" si="6"/>
        <v>X</v>
      </c>
      <c r="K34" s="31" t="str">
        <f t="shared" si="7"/>
        <v>AX</v>
      </c>
      <c r="L34" s="33">
        <f t="shared" si="8"/>
        <v>1.1692199468500859</v>
      </c>
      <c r="M34" s="31" t="str">
        <f t="shared" si="9"/>
        <v>No</v>
      </c>
      <c r="N34" s="34">
        <f>_xlfn.XLOOKUP(A34,SKUList,SKU_Data!$C$5:$C$154)/_xlfn.XLOOKUP(A34,SKUList,SKU_Data!$D$5:$D$154)</f>
        <v>2.8399566490919739</v>
      </c>
      <c r="O34" s="31" t="str">
        <f>IF(K34=_xlfn.XLOOKUP(A34,SKUList,SKU_Data!$F$5:$F$154),"✓","≠")</f>
        <v>✓</v>
      </c>
    </row>
    <row r="35" spans="1:15" ht="15" x14ac:dyDescent="0.35">
      <c r="A35" s="9" t="str">
        <f>SKU_Data!A35</f>
        <v>22666</v>
      </c>
      <c r="B35" s="9" t="str">
        <f>_xlfn.XLOOKUP(A35,SKUList,SKU_Data!$B$5:$B$154)</f>
        <v>RECIPE BOX PANTRY YELLOW DESIGN</v>
      </c>
      <c r="C35" s="27">
        <f>_xlfn.XLOOKUP(A35,SKUList,SKU_Data!$E$5:$E$154)</f>
        <v>24063.41</v>
      </c>
      <c r="D35" s="26">
        <f t="shared" si="0"/>
        <v>31</v>
      </c>
      <c r="E35" s="20">
        <f t="shared" si="1"/>
        <v>0.41667288158560506</v>
      </c>
      <c r="F35" s="31" t="str">
        <f t="shared" si="2"/>
        <v>A</v>
      </c>
      <c r="G35" s="32">
        <f t="shared" si="3"/>
        <v>147.44230769230768</v>
      </c>
      <c r="H35" s="32">
        <f t="shared" si="4"/>
        <v>133.57092754325777</v>
      </c>
      <c r="I35" s="33">
        <f t="shared" si="5"/>
        <v>0.90591994681745203</v>
      </c>
      <c r="J35" s="31" t="str">
        <f t="shared" si="6"/>
        <v>Y</v>
      </c>
      <c r="K35" s="31" t="str">
        <f t="shared" si="7"/>
        <v>AY</v>
      </c>
      <c r="L35" s="33">
        <f t="shared" si="8"/>
        <v>1.8372190423007122</v>
      </c>
      <c r="M35" s="31" t="str">
        <f t="shared" si="9"/>
        <v>Yes</v>
      </c>
      <c r="N35" s="34">
        <f>_xlfn.XLOOKUP(A35,SKUList,SKU_Data!$C$5:$C$154)/_xlfn.XLOOKUP(A35,SKUList,SKU_Data!$D$5:$D$154)</f>
        <v>3.1319923175416133</v>
      </c>
      <c r="O35" s="31" t="str">
        <f>IF(K35=_xlfn.XLOOKUP(A35,SKUList,SKU_Data!$F$5:$F$154),"✓","≠")</f>
        <v>✓</v>
      </c>
    </row>
    <row r="36" spans="1:15" ht="15" x14ac:dyDescent="0.35">
      <c r="A36" s="9" t="str">
        <f>SKU_Data!A36</f>
        <v>21621</v>
      </c>
      <c r="B36" s="9" t="str">
        <f>_xlfn.XLOOKUP(A36,SKUList,SKU_Data!$B$5:$B$154)</f>
        <v>VINTAGE UNION JACK BUNTING</v>
      </c>
      <c r="C36" s="27">
        <f>_xlfn.XLOOKUP(A36,SKUList,SKU_Data!$E$5:$E$154)</f>
        <v>23905.7</v>
      </c>
      <c r="D36" s="26">
        <f t="shared" si="0"/>
        <v>32</v>
      </c>
      <c r="E36" s="20">
        <f t="shared" si="1"/>
        <v>0.42414225127859245</v>
      </c>
      <c r="F36" s="31" t="str">
        <f t="shared" si="2"/>
        <v>A</v>
      </c>
      <c r="G36" s="32">
        <f t="shared" si="3"/>
        <v>52.21153846153846</v>
      </c>
      <c r="H36" s="32">
        <f t="shared" si="4"/>
        <v>68.483384714107501</v>
      </c>
      <c r="I36" s="33">
        <f t="shared" si="5"/>
        <v>1.3116523039166077</v>
      </c>
      <c r="J36" s="31" t="str">
        <f t="shared" si="6"/>
        <v>Z</v>
      </c>
      <c r="K36" s="31" t="str">
        <f t="shared" si="7"/>
        <v>AZ</v>
      </c>
      <c r="L36" s="33">
        <f t="shared" si="8"/>
        <v>0.97085096379877767</v>
      </c>
      <c r="M36" s="31" t="str">
        <f t="shared" si="9"/>
        <v>No</v>
      </c>
      <c r="N36" s="34">
        <f>_xlfn.XLOOKUP(A36,SKUList,SKU_Data!$C$5:$C$154)/_xlfn.XLOOKUP(A36,SKUList,SKU_Data!$D$5:$D$154)</f>
        <v>8.8019321910317174</v>
      </c>
      <c r="O36" s="31" t="str">
        <f>IF(K36=_xlfn.XLOOKUP(A36,SKUList,SKU_Data!$F$5:$F$154),"✓","≠")</f>
        <v>✓</v>
      </c>
    </row>
    <row r="37" spans="1:15" ht="15" x14ac:dyDescent="0.35">
      <c r="A37" s="9" t="str">
        <f>SKU_Data!A37</f>
        <v>48187</v>
      </c>
      <c r="B37" s="9" t="str">
        <f>_xlfn.XLOOKUP(A37,SKUList,SKU_Data!$B$5:$B$154)</f>
        <v>DOORMAT NEW ENGLAND</v>
      </c>
      <c r="C37" s="27">
        <f>_xlfn.XLOOKUP(A37,SKUList,SKU_Data!$E$5:$E$154)</f>
        <v>23360.58</v>
      </c>
      <c r="D37" s="26">
        <f t="shared" ref="D37:D68" si="10">_xlfn.RANK.EQ(C37,$C$5:$C$154)</f>
        <v>33</v>
      </c>
      <c r="E37" s="20">
        <f t="shared" ref="E37:E68" si="11">SUMIFS($C$5:$C$154,$C$5:$C$154,"&gt;="&amp;C37)/SUM($C$5:$C$154)</f>
        <v>0.43144129745848292</v>
      </c>
      <c r="F37" s="31" t="str">
        <f t="shared" ref="F37:F68" si="12">IF(E37&lt;=A_Limit,"A",IF(E37&lt;=B_Limit,"B","C"))</f>
        <v>A</v>
      </c>
      <c r="G37" s="32">
        <f t="shared" ref="G37:G68" si="13">AVERAGE(_xlfn.XLOOKUP(A37,DemandCodes,DemandLast52))</f>
        <v>71.211538461538467</v>
      </c>
      <c r="H37" s="32">
        <f t="shared" ref="H37:H68" si="14">_xlfn.STDEV.S(_xlfn.XLOOKUP(A37,DemandCodes,DemandLast52))</f>
        <v>122.21988165636772</v>
      </c>
      <c r="I37" s="33">
        <f t="shared" ref="I37:I68" si="15">H37/G37</f>
        <v>1.7162932341698949</v>
      </c>
      <c r="J37" s="31" t="str">
        <f t="shared" ref="J37:J68" si="16">IF(I37&lt;=X_Limit,"X",IF(I37&lt;=Y_Limit,"Y","Z"))</f>
        <v>Z</v>
      </c>
      <c r="K37" s="31" t="str">
        <f t="shared" ref="K37:K68" si="17">F37&amp;J37</f>
        <v>AZ</v>
      </c>
      <c r="L37" s="33">
        <f t="shared" ref="L37:L68" si="18">AVERAGE(_xlfn.XLOOKUP(A37,DemandCodes,DemandPeak2010))/AVERAGE(_xlfn.XLOOKUP(A37,DemandCodes,DemandTrain))</f>
        <v>0.54518567203417678</v>
      </c>
      <c r="M37" s="31" t="str">
        <f t="shared" ref="M37:M68" si="19">IF(L37&gt;=SeasonalLimit,"Yes","No")</f>
        <v>No</v>
      </c>
      <c r="N37" s="34">
        <f>_xlfn.XLOOKUP(A37,SKUList,SKU_Data!$C$5:$C$154)/_xlfn.XLOOKUP(A37,SKUList,SKU_Data!$D$5:$D$154)</f>
        <v>6.3103264094955493</v>
      </c>
      <c r="O37" s="31" t="str">
        <f>IF(K37=_xlfn.XLOOKUP(A37,SKUList,SKU_Data!$F$5:$F$154),"✓","≠")</f>
        <v>✓</v>
      </c>
    </row>
    <row r="38" spans="1:15" ht="15" x14ac:dyDescent="0.35">
      <c r="A38" s="9" t="str">
        <f>SKU_Data!A38</f>
        <v>84347</v>
      </c>
      <c r="B38" s="9" t="str">
        <f>_xlfn.XLOOKUP(A38,SKUList,SKU_Data!$B$5:$B$154)</f>
        <v>ROTATING SILVER ANGELS T-LIGHT HLDR</v>
      </c>
      <c r="C38" s="27">
        <f>_xlfn.XLOOKUP(A38,SKUList,SKU_Data!$E$5:$E$154)</f>
        <v>23216.83</v>
      </c>
      <c r="D38" s="26">
        <f t="shared" si="10"/>
        <v>34</v>
      </c>
      <c r="E38" s="20">
        <f t="shared" si="11"/>
        <v>0.43869542874805995</v>
      </c>
      <c r="F38" s="31" t="str">
        <f t="shared" si="12"/>
        <v>A</v>
      </c>
      <c r="G38" s="32">
        <f t="shared" si="13"/>
        <v>144.46153846153845</v>
      </c>
      <c r="H38" s="32">
        <f t="shared" si="14"/>
        <v>267.78484643814414</v>
      </c>
      <c r="I38" s="33">
        <f t="shared" si="15"/>
        <v>1.8536757208178243</v>
      </c>
      <c r="J38" s="31" t="str">
        <f t="shared" si="16"/>
        <v>Z</v>
      </c>
      <c r="K38" s="31" t="str">
        <f t="shared" si="17"/>
        <v>AZ</v>
      </c>
      <c r="L38" s="33">
        <f t="shared" si="18"/>
        <v>5.6248800767508795</v>
      </c>
      <c r="M38" s="31" t="str">
        <f t="shared" si="19"/>
        <v>Yes</v>
      </c>
      <c r="N38" s="34">
        <f>_xlfn.XLOOKUP(A38,SKUList,SKU_Data!$C$5:$C$154)/_xlfn.XLOOKUP(A38,SKUList,SKU_Data!$D$5:$D$154)</f>
        <v>2.7826492493202508</v>
      </c>
      <c r="O38" s="31" t="str">
        <f>IF(K38=_xlfn.XLOOKUP(A38,SKUList,SKU_Data!$F$5:$F$154),"✓","≠")</f>
        <v>✓</v>
      </c>
    </row>
    <row r="39" spans="1:15" ht="15" x14ac:dyDescent="0.35">
      <c r="A39" s="9" t="str">
        <f>SKU_Data!A39</f>
        <v>15056N</v>
      </c>
      <c r="B39" s="9" t="str">
        <f>_xlfn.XLOOKUP(A39,SKUList,SKU_Data!$B$5:$B$154)</f>
        <v>EDWARDIAN PARASOL NATURAL</v>
      </c>
      <c r="C39" s="27">
        <f>_xlfn.XLOOKUP(A39,SKUList,SKU_Data!$E$5:$E$154)</f>
        <v>22914.19</v>
      </c>
      <c r="D39" s="26">
        <f t="shared" si="10"/>
        <v>35</v>
      </c>
      <c r="E39" s="20">
        <f t="shared" si="11"/>
        <v>0.44585499974264931</v>
      </c>
      <c r="F39" s="31" t="str">
        <f t="shared" si="12"/>
        <v>A</v>
      </c>
      <c r="G39" s="32">
        <f t="shared" si="13"/>
        <v>75.865384615384613</v>
      </c>
      <c r="H39" s="32">
        <f t="shared" si="14"/>
        <v>65.890886883991584</v>
      </c>
      <c r="I39" s="33">
        <f t="shared" si="15"/>
        <v>0.86852373079025669</v>
      </c>
      <c r="J39" s="31" t="str">
        <f t="shared" si="16"/>
        <v>Y</v>
      </c>
      <c r="K39" s="31" t="str">
        <f t="shared" si="17"/>
        <v>AY</v>
      </c>
      <c r="L39" s="33">
        <f t="shared" si="18"/>
        <v>0.96450189801990349</v>
      </c>
      <c r="M39" s="31" t="str">
        <f t="shared" si="19"/>
        <v>No</v>
      </c>
      <c r="N39" s="34">
        <f>_xlfn.XLOOKUP(A39,SKUList,SKU_Data!$C$5:$C$154)/_xlfn.XLOOKUP(A39,SKUList,SKU_Data!$D$5:$D$154)</f>
        <v>5.7962601426112617</v>
      </c>
      <c r="O39" s="31" t="str">
        <f>IF(K39=_xlfn.XLOOKUP(A39,SKUList,SKU_Data!$F$5:$F$154),"✓","≠")</f>
        <v>✓</v>
      </c>
    </row>
    <row r="40" spans="1:15" ht="15" x14ac:dyDescent="0.35">
      <c r="A40" s="9" t="str">
        <f>SKU_Data!A40</f>
        <v>21731</v>
      </c>
      <c r="B40" s="9" t="str">
        <f>_xlfn.XLOOKUP(A40,SKUList,SKU_Data!$B$5:$B$154)</f>
        <v>RED TOADSTOOL LED NIGHT LIGHT</v>
      </c>
      <c r="C40" s="27">
        <f>_xlfn.XLOOKUP(A40,SKUList,SKU_Data!$E$5:$E$154)</f>
        <v>22619.66</v>
      </c>
      <c r="D40" s="26">
        <f t="shared" si="10"/>
        <v>36</v>
      </c>
      <c r="E40" s="20">
        <f t="shared" si="11"/>
        <v>0.45292254442319324</v>
      </c>
      <c r="F40" s="31" t="str">
        <f t="shared" si="12"/>
        <v>A</v>
      </c>
      <c r="G40" s="32">
        <f t="shared" si="13"/>
        <v>257.44230769230768</v>
      </c>
      <c r="H40" s="32">
        <f t="shared" si="14"/>
        <v>224.26546012780221</v>
      </c>
      <c r="I40" s="33">
        <f t="shared" si="15"/>
        <v>0.87112900027233253</v>
      </c>
      <c r="J40" s="31" t="str">
        <f t="shared" si="16"/>
        <v>Y</v>
      </c>
      <c r="K40" s="31" t="str">
        <f t="shared" si="17"/>
        <v>AY</v>
      </c>
      <c r="L40" s="33">
        <f t="shared" si="18"/>
        <v>1.5650002153037936</v>
      </c>
      <c r="M40" s="31" t="str">
        <f t="shared" si="19"/>
        <v>Yes</v>
      </c>
      <c r="N40" s="34">
        <f>_xlfn.XLOOKUP(A40,SKUList,SKU_Data!$C$5:$C$154)/_xlfn.XLOOKUP(A40,SKUList,SKU_Data!$D$5:$D$154)</f>
        <v>1.6895225796930342</v>
      </c>
      <c r="O40" s="31" t="str">
        <f>IF(K40=_xlfn.XLOOKUP(A40,SKUList,SKU_Data!$F$5:$F$154),"✓","≠")</f>
        <v>✓</v>
      </c>
    </row>
    <row r="41" spans="1:15" ht="15" x14ac:dyDescent="0.35">
      <c r="A41" s="9" t="str">
        <f>SKU_Data!A41</f>
        <v>21623</v>
      </c>
      <c r="B41" s="9" t="str">
        <f>_xlfn.XLOOKUP(A41,SKUList,SKU_Data!$B$5:$B$154)</f>
        <v>VINTAGE UNION JACK MEMOBOARD</v>
      </c>
      <c r="C41" s="27">
        <f>_xlfn.XLOOKUP(A41,SKUList,SKU_Data!$E$5:$E$154)</f>
        <v>22556.03</v>
      </c>
      <c r="D41" s="26">
        <f t="shared" si="10"/>
        <v>37</v>
      </c>
      <c r="E41" s="20">
        <f t="shared" si="11"/>
        <v>0.45997020782046311</v>
      </c>
      <c r="F41" s="31" t="str">
        <f t="shared" si="12"/>
        <v>A</v>
      </c>
      <c r="G41" s="32">
        <f t="shared" si="13"/>
        <v>61.980769230769234</v>
      </c>
      <c r="H41" s="32">
        <f t="shared" si="14"/>
        <v>199.75833344265973</v>
      </c>
      <c r="I41" s="33">
        <f t="shared" si="15"/>
        <v>3.222908265286474</v>
      </c>
      <c r="J41" s="31" t="str">
        <f t="shared" si="16"/>
        <v>Z</v>
      </c>
      <c r="K41" s="31" t="str">
        <f t="shared" si="17"/>
        <v>AZ</v>
      </c>
      <c r="L41" s="33">
        <f t="shared" si="18"/>
        <v>1.76542783059637</v>
      </c>
      <c r="M41" s="31" t="str">
        <f t="shared" si="19"/>
        <v>Yes</v>
      </c>
      <c r="N41" s="34">
        <f>_xlfn.XLOOKUP(A41,SKUList,SKU_Data!$C$5:$C$154)/_xlfn.XLOOKUP(A41,SKUList,SKU_Data!$D$5:$D$154)</f>
        <v>7.0021165168887514</v>
      </c>
      <c r="O41" s="31" t="str">
        <f>IF(K41=_xlfn.XLOOKUP(A41,SKUList,SKU_Data!$F$5:$F$154),"✓","≠")</f>
        <v>✓</v>
      </c>
    </row>
    <row r="42" spans="1:15" ht="15" x14ac:dyDescent="0.35">
      <c r="A42" s="9" t="str">
        <f>SKU_Data!A42</f>
        <v>21929</v>
      </c>
      <c r="B42" s="9" t="str">
        <f>_xlfn.XLOOKUP(A42,SKUList,SKU_Data!$B$5:$B$154)</f>
        <v>JUMBO BAG PINK VINTAGE PAISLEY</v>
      </c>
      <c r="C42" s="27">
        <f>_xlfn.XLOOKUP(A42,SKUList,SKU_Data!$E$5:$E$154)</f>
        <v>22512.35</v>
      </c>
      <c r="D42" s="26">
        <f t="shared" si="10"/>
        <v>38</v>
      </c>
      <c r="E42" s="20">
        <f t="shared" si="11"/>
        <v>0.46700422334010594</v>
      </c>
      <c r="F42" s="31" t="str">
        <f t="shared" si="12"/>
        <v>A</v>
      </c>
      <c r="G42" s="32">
        <f t="shared" si="13"/>
        <v>205.13461538461539</v>
      </c>
      <c r="H42" s="32">
        <f t="shared" si="14"/>
        <v>131.85435054890186</v>
      </c>
      <c r="I42" s="33">
        <f t="shared" si="15"/>
        <v>0.64276987236738514</v>
      </c>
      <c r="J42" s="31" t="str">
        <f t="shared" si="16"/>
        <v>X</v>
      </c>
      <c r="K42" s="31" t="str">
        <f t="shared" si="17"/>
        <v>AX</v>
      </c>
      <c r="L42" s="33">
        <f t="shared" si="18"/>
        <v>0.92652900859999132</v>
      </c>
      <c r="M42" s="31" t="str">
        <f t="shared" si="19"/>
        <v>No</v>
      </c>
      <c r="N42" s="34">
        <f>_xlfn.XLOOKUP(A42,SKUList,SKU_Data!$C$5:$C$154)/_xlfn.XLOOKUP(A42,SKUList,SKU_Data!$D$5:$D$154)</f>
        <v>2.1029865001377535</v>
      </c>
      <c r="O42" s="31" t="str">
        <f>IF(K42=_xlfn.XLOOKUP(A42,SKUList,SKU_Data!$F$5:$F$154),"✓","≠")</f>
        <v>✓</v>
      </c>
    </row>
    <row r="43" spans="1:15" ht="15" x14ac:dyDescent="0.35">
      <c r="A43" s="9" t="str">
        <f>SKU_Data!A43</f>
        <v>22090</v>
      </c>
      <c r="B43" s="9" t="str">
        <f>_xlfn.XLOOKUP(A43,SKUList,SKU_Data!$B$5:$B$154)</f>
        <v>PAPER BUNTING RETROSPOT</v>
      </c>
      <c r="C43" s="27">
        <f>_xlfn.XLOOKUP(A43,SKUList,SKU_Data!$E$5:$E$154)</f>
        <v>22391.97</v>
      </c>
      <c r="D43" s="26">
        <f t="shared" si="10"/>
        <v>39</v>
      </c>
      <c r="E43" s="20">
        <f t="shared" si="11"/>
        <v>0.47400062595890741</v>
      </c>
      <c r="F43" s="31" t="str">
        <f t="shared" si="12"/>
        <v>A</v>
      </c>
      <c r="G43" s="32">
        <f t="shared" si="13"/>
        <v>142.98076923076923</v>
      </c>
      <c r="H43" s="32">
        <f t="shared" si="14"/>
        <v>99.831326449031778</v>
      </c>
      <c r="I43" s="33">
        <f t="shared" si="15"/>
        <v>0.69821506057157401</v>
      </c>
      <c r="J43" s="31" t="str">
        <f t="shared" si="16"/>
        <v>X</v>
      </c>
      <c r="K43" s="31" t="str">
        <f t="shared" si="17"/>
        <v>AX</v>
      </c>
      <c r="L43" s="33">
        <f t="shared" si="18"/>
        <v>0.6858029992733039</v>
      </c>
      <c r="M43" s="31" t="str">
        <f t="shared" si="19"/>
        <v>No</v>
      </c>
      <c r="N43" s="34">
        <f>_xlfn.XLOOKUP(A43,SKUList,SKU_Data!$C$5:$C$154)/_xlfn.XLOOKUP(A43,SKUList,SKU_Data!$D$5:$D$154)</f>
        <v>3.0089742906620485</v>
      </c>
      <c r="O43" s="31" t="str">
        <f>IF(K43=_xlfn.XLOOKUP(A43,SKUList,SKU_Data!$F$5:$F$154),"✓","≠")</f>
        <v>✓</v>
      </c>
    </row>
    <row r="44" spans="1:15" ht="15" x14ac:dyDescent="0.35">
      <c r="A44" s="9" t="str">
        <f>SKU_Data!A44</f>
        <v>22111</v>
      </c>
      <c r="B44" s="9" t="str">
        <f>_xlfn.XLOOKUP(A44,SKUList,SKU_Data!$B$5:$B$154)</f>
        <v>SCOTTIE DOG HOT WATER BOTTLE</v>
      </c>
      <c r="C44" s="27">
        <f>_xlfn.XLOOKUP(A44,SKUList,SKU_Data!$E$5:$E$154)</f>
        <v>22339.05</v>
      </c>
      <c r="D44" s="26">
        <f t="shared" si="10"/>
        <v>40</v>
      </c>
      <c r="E44" s="20">
        <f t="shared" si="11"/>
        <v>0.48098049364904538</v>
      </c>
      <c r="F44" s="31" t="str">
        <f t="shared" si="12"/>
        <v>A</v>
      </c>
      <c r="G44" s="32">
        <f t="shared" si="13"/>
        <v>82.92307692307692</v>
      </c>
      <c r="H44" s="32">
        <f t="shared" si="14"/>
        <v>133.6123814495551</v>
      </c>
      <c r="I44" s="33">
        <f t="shared" si="15"/>
        <v>1.6112810378888835</v>
      </c>
      <c r="J44" s="31" t="str">
        <f t="shared" si="16"/>
        <v>Z</v>
      </c>
      <c r="K44" s="31" t="str">
        <f t="shared" si="17"/>
        <v>AZ</v>
      </c>
      <c r="L44" s="33">
        <f t="shared" si="18"/>
        <v>3.0592269326683286</v>
      </c>
      <c r="M44" s="31" t="str">
        <f t="shared" si="19"/>
        <v>Yes</v>
      </c>
      <c r="N44" s="34">
        <f>_xlfn.XLOOKUP(A44,SKUList,SKU_Data!$C$5:$C$154)/_xlfn.XLOOKUP(A44,SKUList,SKU_Data!$D$5:$D$154)</f>
        <v>5.2271833561957024</v>
      </c>
      <c r="O44" s="31" t="str">
        <f>IF(K44=_xlfn.XLOOKUP(A44,SKUList,SKU_Data!$F$5:$F$154),"✓","≠")</f>
        <v>✓</v>
      </c>
    </row>
    <row r="45" spans="1:15" ht="15" x14ac:dyDescent="0.35">
      <c r="A45" s="9" t="str">
        <f>SKU_Data!A45</f>
        <v>21181</v>
      </c>
      <c r="B45" s="9" t="str">
        <f>_xlfn.XLOOKUP(A45,SKUList,SKU_Data!$B$5:$B$154)</f>
        <v>PLEASE ONE PERSON METAL SIGN</v>
      </c>
      <c r="C45" s="27">
        <f>_xlfn.XLOOKUP(A45,SKUList,SKU_Data!$E$5:$E$154)</f>
        <v>22318.65</v>
      </c>
      <c r="D45" s="26">
        <f t="shared" si="10"/>
        <v>41</v>
      </c>
      <c r="E45" s="20">
        <f t="shared" si="11"/>
        <v>0.48795398733040141</v>
      </c>
      <c r="F45" s="31" t="str">
        <f t="shared" si="12"/>
        <v>A</v>
      </c>
      <c r="G45" s="32">
        <f t="shared" si="13"/>
        <v>210.23076923076923</v>
      </c>
      <c r="H45" s="32">
        <f t="shared" si="14"/>
        <v>256.19658623681283</v>
      </c>
      <c r="I45" s="33">
        <f t="shared" si="15"/>
        <v>1.2186445741231493</v>
      </c>
      <c r="J45" s="31" t="str">
        <f t="shared" si="16"/>
        <v>Y</v>
      </c>
      <c r="K45" s="31" t="str">
        <f t="shared" si="17"/>
        <v>AY</v>
      </c>
      <c r="L45" s="33">
        <f t="shared" si="18"/>
        <v>1.6757424383817312</v>
      </c>
      <c r="M45" s="31" t="str">
        <f t="shared" si="19"/>
        <v>Yes</v>
      </c>
      <c r="N45" s="34">
        <f>_xlfn.XLOOKUP(A45,SKUList,SKU_Data!$C$5:$C$154)/_xlfn.XLOOKUP(A45,SKUList,SKU_Data!$D$5:$D$154)</f>
        <v>2.0432809376703616</v>
      </c>
      <c r="O45" s="31" t="str">
        <f>IF(K45=_xlfn.XLOOKUP(A45,SKUList,SKU_Data!$F$5:$F$154),"✓","≠")</f>
        <v>✓</v>
      </c>
    </row>
    <row r="46" spans="1:15" ht="15" x14ac:dyDescent="0.35">
      <c r="A46" s="9" t="str">
        <f>SKU_Data!A46</f>
        <v>84997D</v>
      </c>
      <c r="B46" s="9" t="str">
        <f>_xlfn.XLOOKUP(A46,SKUList,SKU_Data!$B$5:$B$154)</f>
        <v>PINK 3 PIECE MINI DOTS CUTLERY SET</v>
      </c>
      <c r="C46" s="27">
        <f>_xlfn.XLOOKUP(A46,SKUList,SKU_Data!$E$5:$E$154)</f>
        <v>22217.67</v>
      </c>
      <c r="D46" s="26">
        <f t="shared" si="10"/>
        <v>42</v>
      </c>
      <c r="E46" s="20">
        <f t="shared" si="11"/>
        <v>0.4948959296682871</v>
      </c>
      <c r="F46" s="31" t="str">
        <f t="shared" si="12"/>
        <v>A</v>
      </c>
      <c r="G46" s="32">
        <f t="shared" si="13"/>
        <v>104.09615384615384</v>
      </c>
      <c r="H46" s="32">
        <f t="shared" si="14"/>
        <v>108.07373293091585</v>
      </c>
      <c r="I46" s="33">
        <f t="shared" si="15"/>
        <v>1.0382106248674718</v>
      </c>
      <c r="J46" s="31" t="str">
        <f t="shared" si="16"/>
        <v>Y</v>
      </c>
      <c r="K46" s="31" t="str">
        <f t="shared" si="17"/>
        <v>AY</v>
      </c>
      <c r="L46" s="33">
        <f t="shared" si="18"/>
        <v>1.2005112815382906</v>
      </c>
      <c r="M46" s="31" t="str">
        <f t="shared" si="19"/>
        <v>No</v>
      </c>
      <c r="N46" s="34">
        <f>_xlfn.XLOOKUP(A46,SKUList,SKU_Data!$C$5:$C$154)/_xlfn.XLOOKUP(A46,SKUList,SKU_Data!$D$5:$D$154)</f>
        <v>4.1028723795513056</v>
      </c>
      <c r="O46" s="31" t="str">
        <f>IF(K46=_xlfn.XLOOKUP(A46,SKUList,SKU_Data!$F$5:$F$154),"✓","≠")</f>
        <v>✓</v>
      </c>
    </row>
    <row r="47" spans="1:15" ht="15" x14ac:dyDescent="0.35">
      <c r="A47" s="9" t="str">
        <f>SKU_Data!A47</f>
        <v>22189</v>
      </c>
      <c r="B47" s="9" t="str">
        <f>_xlfn.XLOOKUP(A47,SKUList,SKU_Data!$B$5:$B$154)</f>
        <v>CREAM HEART CARD HOLDER</v>
      </c>
      <c r="C47" s="27">
        <f>_xlfn.XLOOKUP(A47,SKUList,SKU_Data!$E$5:$E$154)</f>
        <v>22032.29</v>
      </c>
      <c r="D47" s="26">
        <f t="shared" si="10"/>
        <v>43</v>
      </c>
      <c r="E47" s="20">
        <f t="shared" si="11"/>
        <v>0.50177994976362461</v>
      </c>
      <c r="F47" s="31" t="str">
        <f t="shared" si="12"/>
        <v>A</v>
      </c>
      <c r="G47" s="32">
        <f t="shared" si="13"/>
        <v>151.63461538461539</v>
      </c>
      <c r="H47" s="32">
        <f t="shared" si="14"/>
        <v>323.1967183903335</v>
      </c>
      <c r="I47" s="33">
        <f t="shared" si="15"/>
        <v>2.1314178004181792</v>
      </c>
      <c r="J47" s="31" t="str">
        <f t="shared" si="16"/>
        <v>Z</v>
      </c>
      <c r="K47" s="31" t="str">
        <f t="shared" si="17"/>
        <v>AZ</v>
      </c>
      <c r="L47" s="33">
        <f t="shared" si="18"/>
        <v>1.3224899880559264</v>
      </c>
      <c r="M47" s="31" t="str">
        <f t="shared" si="19"/>
        <v>Yes</v>
      </c>
      <c r="N47" s="34">
        <f>_xlfn.XLOOKUP(A47,SKUList,SKU_Data!$C$5:$C$154)/_xlfn.XLOOKUP(A47,SKUList,SKU_Data!$D$5:$D$154)</f>
        <v>2.7953743823641202</v>
      </c>
      <c r="O47" s="31" t="str">
        <f>IF(K47=_xlfn.XLOOKUP(A47,SKUList,SKU_Data!$F$5:$F$154),"✓","≠")</f>
        <v>✓</v>
      </c>
    </row>
    <row r="48" spans="1:15" ht="15" x14ac:dyDescent="0.35">
      <c r="A48" s="9" t="str">
        <f>SKU_Data!A48</f>
        <v>21733</v>
      </c>
      <c r="B48" s="9" t="str">
        <f>_xlfn.XLOOKUP(A48,SKUList,SKU_Data!$B$5:$B$154)</f>
        <v>RED HANGING HEART T-LIGHT HOLDER</v>
      </c>
      <c r="C48" s="27">
        <f>_xlfn.XLOOKUP(A48,SKUList,SKU_Data!$E$5:$E$154)</f>
        <v>21991.32</v>
      </c>
      <c r="D48" s="26">
        <f t="shared" si="10"/>
        <v>44</v>
      </c>
      <c r="E48" s="20">
        <f t="shared" si="11"/>
        <v>0.50865116872465854</v>
      </c>
      <c r="F48" s="31" t="str">
        <f t="shared" si="12"/>
        <v>A</v>
      </c>
      <c r="G48" s="32">
        <f t="shared" si="13"/>
        <v>143</v>
      </c>
      <c r="H48" s="32">
        <f t="shared" si="14"/>
        <v>174.728809481279</v>
      </c>
      <c r="I48" s="33">
        <f t="shared" si="15"/>
        <v>1.2218797865823707</v>
      </c>
      <c r="J48" s="31" t="str">
        <f t="shared" si="16"/>
        <v>Y</v>
      </c>
      <c r="K48" s="31" t="str">
        <f t="shared" si="17"/>
        <v>AY</v>
      </c>
      <c r="L48" s="33">
        <f t="shared" si="18"/>
        <v>1.9174701395884302</v>
      </c>
      <c r="M48" s="31" t="str">
        <f t="shared" si="19"/>
        <v>Yes</v>
      </c>
      <c r="N48" s="34">
        <f>_xlfn.XLOOKUP(A48,SKUList,SKU_Data!$C$5:$C$154)/_xlfn.XLOOKUP(A48,SKUList,SKU_Data!$D$5:$D$154)</f>
        <v>2.9554899866488649</v>
      </c>
      <c r="O48" s="31" t="str">
        <f>IF(K48=_xlfn.XLOOKUP(A48,SKUList,SKU_Data!$F$5:$F$154),"✓","≠")</f>
        <v>✓</v>
      </c>
    </row>
    <row r="49" spans="1:15" ht="15" x14ac:dyDescent="0.35">
      <c r="A49" s="9" t="str">
        <f>SKU_Data!A49</f>
        <v>21175</v>
      </c>
      <c r="B49" s="9" t="str">
        <f>_xlfn.XLOOKUP(A49,SKUList,SKU_Data!$B$5:$B$154)</f>
        <v>GIN + TONIC DIET METAL SIGN</v>
      </c>
      <c r="C49" s="27">
        <f>_xlfn.XLOOKUP(A49,SKUList,SKU_Data!$E$5:$E$154)</f>
        <v>21985.59</v>
      </c>
      <c r="D49" s="26">
        <f t="shared" si="10"/>
        <v>45</v>
      </c>
      <c r="E49" s="20">
        <f t="shared" si="11"/>
        <v>0.51552059733910804</v>
      </c>
      <c r="F49" s="31" t="str">
        <f t="shared" si="12"/>
        <v>A</v>
      </c>
      <c r="G49" s="32">
        <f t="shared" si="13"/>
        <v>185.82692307692307</v>
      </c>
      <c r="H49" s="32">
        <f t="shared" si="14"/>
        <v>292.95678066801338</v>
      </c>
      <c r="I49" s="33">
        <f t="shared" si="15"/>
        <v>1.5765034248925485</v>
      </c>
      <c r="J49" s="31" t="str">
        <f t="shared" si="16"/>
        <v>Z</v>
      </c>
      <c r="K49" s="31" t="str">
        <f t="shared" si="17"/>
        <v>AZ</v>
      </c>
      <c r="L49" s="33">
        <f t="shared" si="18"/>
        <v>0.96969080553295361</v>
      </c>
      <c r="M49" s="31" t="str">
        <f t="shared" si="19"/>
        <v>No</v>
      </c>
      <c r="N49" s="34">
        <f>_xlfn.XLOOKUP(A49,SKUList,SKU_Data!$C$5:$C$154)/_xlfn.XLOOKUP(A49,SKUList,SKU_Data!$D$5:$D$154)</f>
        <v>2.2031061318737706</v>
      </c>
      <c r="O49" s="31" t="str">
        <f>IF(K49=_xlfn.XLOOKUP(A49,SKUList,SKU_Data!$F$5:$F$154),"✓","≠")</f>
        <v>✓</v>
      </c>
    </row>
    <row r="50" spans="1:15" ht="15" x14ac:dyDescent="0.35">
      <c r="A50" s="9" t="str">
        <f>SKU_Data!A50</f>
        <v>22138</v>
      </c>
      <c r="B50" s="9" t="str">
        <f>_xlfn.XLOOKUP(A50,SKUList,SKU_Data!$B$5:$B$154)</f>
        <v>BAKING SET 9 PIECE RETROSPOT</v>
      </c>
      <c r="C50" s="27">
        <f>_xlfn.XLOOKUP(A50,SKUList,SKU_Data!$E$5:$E$154)</f>
        <v>21968.5</v>
      </c>
      <c r="D50" s="26">
        <f t="shared" si="10"/>
        <v>46</v>
      </c>
      <c r="E50" s="20">
        <f t="shared" si="11"/>
        <v>0.52238468615894573</v>
      </c>
      <c r="F50" s="31" t="str">
        <f t="shared" si="12"/>
        <v>A</v>
      </c>
      <c r="G50" s="32">
        <f t="shared" si="13"/>
        <v>86.32692307692308</v>
      </c>
      <c r="H50" s="32">
        <f t="shared" si="14"/>
        <v>91.086195151678467</v>
      </c>
      <c r="I50" s="33">
        <f t="shared" si="15"/>
        <v>1.0551307970343684</v>
      </c>
      <c r="J50" s="31" t="str">
        <f t="shared" si="16"/>
        <v>Y</v>
      </c>
      <c r="K50" s="31" t="str">
        <f t="shared" si="17"/>
        <v>AY</v>
      </c>
      <c r="L50" s="33">
        <f t="shared" si="18"/>
        <v>0.66367390913988145</v>
      </c>
      <c r="M50" s="31" t="str">
        <f t="shared" si="19"/>
        <v>No</v>
      </c>
      <c r="N50" s="34">
        <f>_xlfn.XLOOKUP(A50,SKUList,SKU_Data!$C$5:$C$154)/_xlfn.XLOOKUP(A50,SKUList,SKU_Data!$D$5:$D$154)</f>
        <v>4.8944639718804916</v>
      </c>
      <c r="O50" s="31" t="str">
        <f>IF(K50=_xlfn.XLOOKUP(A50,SKUList,SKU_Data!$F$5:$F$154),"✓","≠")</f>
        <v>✓</v>
      </c>
    </row>
    <row r="51" spans="1:15" ht="15" x14ac:dyDescent="0.35">
      <c r="A51" s="9" t="str">
        <f>SKU_Data!A51</f>
        <v>22383</v>
      </c>
      <c r="B51" s="9" t="str">
        <f>_xlfn.XLOOKUP(A51,SKUList,SKU_Data!$B$5:$B$154)</f>
        <v>LUNCH BAG SUKI  DESIGN</v>
      </c>
      <c r="C51" s="27">
        <f>_xlfn.XLOOKUP(A51,SKUList,SKU_Data!$E$5:$E$154)</f>
        <v>21851.72</v>
      </c>
      <c r="D51" s="26">
        <f t="shared" si="10"/>
        <v>47</v>
      </c>
      <c r="E51" s="20">
        <f t="shared" si="11"/>
        <v>0.52921228690302136</v>
      </c>
      <c r="F51" s="31" t="str">
        <f t="shared" si="12"/>
        <v>A</v>
      </c>
      <c r="G51" s="32">
        <f t="shared" si="13"/>
        <v>234.51923076923077</v>
      </c>
      <c r="H51" s="32">
        <f t="shared" si="14"/>
        <v>116.04469902561559</v>
      </c>
      <c r="I51" s="33">
        <f t="shared" si="15"/>
        <v>0.49481954484067325</v>
      </c>
      <c r="J51" s="31" t="str">
        <f t="shared" si="16"/>
        <v>X</v>
      </c>
      <c r="K51" s="31" t="str">
        <f t="shared" si="17"/>
        <v>AX</v>
      </c>
      <c r="L51" s="33">
        <f t="shared" si="18"/>
        <v>0.92052386078220305</v>
      </c>
      <c r="M51" s="31" t="str">
        <f t="shared" si="19"/>
        <v>No</v>
      </c>
      <c r="N51" s="34">
        <f>_xlfn.XLOOKUP(A51,SKUList,SKU_Data!$C$5:$C$154)/_xlfn.XLOOKUP(A51,SKUList,SKU_Data!$D$5:$D$154)</f>
        <v>1.7884940051847049</v>
      </c>
      <c r="O51" s="31" t="str">
        <f>IF(K51=_xlfn.XLOOKUP(A51,SKUList,SKU_Data!$F$5:$F$154),"✓","≠")</f>
        <v>✓</v>
      </c>
    </row>
    <row r="52" spans="1:15" ht="15" x14ac:dyDescent="0.35">
      <c r="A52" s="9" t="str">
        <f>SKU_Data!A52</f>
        <v>48194</v>
      </c>
      <c r="B52" s="9" t="str">
        <f>_xlfn.XLOOKUP(A52,SKUList,SKU_Data!$B$5:$B$154)</f>
        <v>DOORMAT HEARTS</v>
      </c>
      <c r="C52" s="27">
        <f>_xlfn.XLOOKUP(A52,SKUList,SKU_Data!$E$5:$E$154)</f>
        <v>21741.17</v>
      </c>
      <c r="D52" s="26">
        <f t="shared" si="10"/>
        <v>48</v>
      </c>
      <c r="E52" s="20">
        <f t="shared" si="11"/>
        <v>0.53600534614362449</v>
      </c>
      <c r="F52" s="31" t="str">
        <f t="shared" si="12"/>
        <v>A</v>
      </c>
      <c r="G52" s="32">
        <f t="shared" si="13"/>
        <v>64.980769230769226</v>
      </c>
      <c r="H52" s="32">
        <f t="shared" si="14"/>
        <v>117.67127531683677</v>
      </c>
      <c r="I52" s="33">
        <f t="shared" si="15"/>
        <v>1.8108630708717113</v>
      </c>
      <c r="J52" s="31" t="str">
        <f t="shared" si="16"/>
        <v>Z</v>
      </c>
      <c r="K52" s="31" t="str">
        <f t="shared" si="17"/>
        <v>AZ</v>
      </c>
      <c r="L52" s="33">
        <f t="shared" si="18"/>
        <v>0.82551143200962696</v>
      </c>
      <c r="M52" s="31" t="str">
        <f t="shared" si="19"/>
        <v>No</v>
      </c>
      <c r="N52" s="34">
        <f>_xlfn.XLOOKUP(A52,SKUList,SKU_Data!$C$5:$C$154)/_xlfn.XLOOKUP(A52,SKUList,SKU_Data!$D$5:$D$154)</f>
        <v>6.4352445492044792</v>
      </c>
      <c r="O52" s="31" t="str">
        <f>IF(K52=_xlfn.XLOOKUP(A52,SKUList,SKU_Data!$F$5:$F$154),"✓","≠")</f>
        <v>✓</v>
      </c>
    </row>
    <row r="53" spans="1:15" ht="15" x14ac:dyDescent="0.35">
      <c r="A53" s="9" t="str">
        <f>SKU_Data!A53</f>
        <v>82482</v>
      </c>
      <c r="B53" s="9" t="str">
        <f>_xlfn.XLOOKUP(A53,SKUList,SKU_Data!$B$5:$B$154)</f>
        <v>WOODEN PICTURE FRAME WHITE FINISH</v>
      </c>
      <c r="C53" s="27">
        <f>_xlfn.XLOOKUP(A53,SKUList,SKU_Data!$E$5:$E$154)</f>
        <v>21689.93</v>
      </c>
      <c r="D53" s="26">
        <f t="shared" si="10"/>
        <v>49</v>
      </c>
      <c r="E53" s="20">
        <f t="shared" si="11"/>
        <v>0.54278239537393425</v>
      </c>
      <c r="F53" s="31" t="str">
        <f t="shared" si="12"/>
        <v>A</v>
      </c>
      <c r="G53" s="32">
        <f t="shared" si="13"/>
        <v>163.67307692307693</v>
      </c>
      <c r="H53" s="32">
        <f t="shared" si="14"/>
        <v>90.348936027643944</v>
      </c>
      <c r="I53" s="33">
        <f t="shared" si="15"/>
        <v>0.55200853876600686</v>
      </c>
      <c r="J53" s="31" t="str">
        <f t="shared" si="16"/>
        <v>X</v>
      </c>
      <c r="K53" s="31" t="str">
        <f t="shared" si="17"/>
        <v>AX</v>
      </c>
      <c r="L53" s="33">
        <f t="shared" si="18"/>
        <v>1.2588011417697431</v>
      </c>
      <c r="M53" s="31" t="str">
        <f t="shared" si="19"/>
        <v>No</v>
      </c>
      <c r="N53" s="34">
        <f>_xlfn.XLOOKUP(A53,SKUList,SKU_Data!$C$5:$C$154)/_xlfn.XLOOKUP(A53,SKUList,SKU_Data!$D$5:$D$154)</f>
        <v>2.5470124671165504</v>
      </c>
      <c r="O53" s="31" t="str">
        <f>IF(K53=_xlfn.XLOOKUP(A53,SKUList,SKU_Data!$F$5:$F$154),"✓","≠")</f>
        <v>✓</v>
      </c>
    </row>
    <row r="54" spans="1:15" ht="15" x14ac:dyDescent="0.35">
      <c r="A54" s="9" t="str">
        <f>SKU_Data!A54</f>
        <v>20727</v>
      </c>
      <c r="B54" s="9" t="str">
        <f>_xlfn.XLOOKUP(A54,SKUList,SKU_Data!$B$5:$B$154)</f>
        <v>LUNCH BAG  BLACK SKULL.</v>
      </c>
      <c r="C54" s="27">
        <f>_xlfn.XLOOKUP(A54,SKUList,SKU_Data!$E$5:$E$154)</f>
        <v>21521.08</v>
      </c>
      <c r="D54" s="26">
        <f t="shared" si="10"/>
        <v>50</v>
      </c>
      <c r="E54" s="20">
        <f t="shared" si="11"/>
        <v>0.54950668718351769</v>
      </c>
      <c r="F54" s="31" t="str">
        <f t="shared" si="12"/>
        <v>A</v>
      </c>
      <c r="G54" s="32">
        <f t="shared" si="13"/>
        <v>226.92307692307693</v>
      </c>
      <c r="H54" s="32">
        <f t="shared" si="14"/>
        <v>119.00450578944501</v>
      </c>
      <c r="I54" s="33">
        <f t="shared" si="15"/>
        <v>0.52442663568229997</v>
      </c>
      <c r="J54" s="31" t="str">
        <f t="shared" si="16"/>
        <v>X</v>
      </c>
      <c r="K54" s="31" t="str">
        <f t="shared" si="17"/>
        <v>AX</v>
      </c>
      <c r="L54" s="33">
        <f t="shared" si="18"/>
        <v>0.94059864702066531</v>
      </c>
      <c r="M54" s="31" t="str">
        <f t="shared" si="19"/>
        <v>No</v>
      </c>
      <c r="N54" s="34">
        <f>_xlfn.XLOOKUP(A54,SKUList,SKU_Data!$C$5:$C$154)/_xlfn.XLOOKUP(A54,SKUList,SKU_Data!$D$5:$D$154)</f>
        <v>1.8212436058700212</v>
      </c>
      <c r="O54" s="31" t="str">
        <f>IF(K54=_xlfn.XLOOKUP(A54,SKUList,SKU_Data!$F$5:$F$154),"✓","≠")</f>
        <v>✓</v>
      </c>
    </row>
    <row r="55" spans="1:15" ht="15" x14ac:dyDescent="0.35">
      <c r="A55" s="9" t="str">
        <f>SKU_Data!A55</f>
        <v>22139</v>
      </c>
      <c r="B55" s="9" t="str">
        <f>_xlfn.XLOOKUP(A55,SKUList,SKU_Data!$B$5:$B$154)</f>
        <v>RETROSPOT TEA SET CERAMIC 11 PC</v>
      </c>
      <c r="C55" s="27">
        <f>_xlfn.XLOOKUP(A55,SKUList,SKU_Data!$E$5:$E$154)</f>
        <v>21327.46</v>
      </c>
      <c r="D55" s="26">
        <f t="shared" si="10"/>
        <v>51</v>
      </c>
      <c r="E55" s="20">
        <f t="shared" si="11"/>
        <v>0.55617048215092713</v>
      </c>
      <c r="F55" s="31" t="str">
        <f t="shared" si="12"/>
        <v>A</v>
      </c>
      <c r="G55" s="32">
        <f t="shared" si="13"/>
        <v>81.40384615384616</v>
      </c>
      <c r="H55" s="32">
        <f t="shared" si="14"/>
        <v>54.63865600483858</v>
      </c>
      <c r="I55" s="33">
        <f t="shared" si="15"/>
        <v>0.67120484579532391</v>
      </c>
      <c r="J55" s="31" t="str">
        <f t="shared" si="16"/>
        <v>X</v>
      </c>
      <c r="K55" s="31" t="str">
        <f t="shared" si="17"/>
        <v>AX</v>
      </c>
      <c r="L55" s="33">
        <f t="shared" si="18"/>
        <v>2.1926001013684742</v>
      </c>
      <c r="M55" s="31" t="str">
        <f t="shared" si="19"/>
        <v>Yes</v>
      </c>
      <c r="N55" s="34">
        <f>_xlfn.XLOOKUP(A55,SKUList,SKU_Data!$C$5:$C$154)/_xlfn.XLOOKUP(A55,SKUList,SKU_Data!$D$5:$D$154)</f>
        <v>5.0416611996251177</v>
      </c>
      <c r="O55" s="31" t="str">
        <f>IF(K55=_xlfn.XLOOKUP(A55,SKUList,SKU_Data!$F$5:$F$154),"✓","≠")</f>
        <v>✓</v>
      </c>
    </row>
    <row r="56" spans="1:15" ht="15" x14ac:dyDescent="0.35">
      <c r="A56" s="9" t="str">
        <f>SKU_Data!A56</f>
        <v>20713</v>
      </c>
      <c r="B56" s="9" t="str">
        <f>_xlfn.XLOOKUP(A56,SKUList,SKU_Data!$B$5:$B$154)</f>
        <v>JUMBO BAG OWLS</v>
      </c>
      <c r="C56" s="27">
        <f>_xlfn.XLOOKUP(A56,SKUList,SKU_Data!$E$5:$E$154)</f>
        <v>21316.99</v>
      </c>
      <c r="D56" s="26">
        <f t="shared" si="10"/>
        <v>52</v>
      </c>
      <c r="E56" s="20">
        <f t="shared" si="11"/>
        <v>0.56283100575206479</v>
      </c>
      <c r="F56" s="31" t="str">
        <f t="shared" si="12"/>
        <v>A</v>
      </c>
      <c r="G56" s="32">
        <f t="shared" si="13"/>
        <v>204.57692307692307</v>
      </c>
      <c r="H56" s="32">
        <f t="shared" si="14"/>
        <v>217.58246993202246</v>
      </c>
      <c r="I56" s="33">
        <f t="shared" si="15"/>
        <v>1.0635728930687318</v>
      </c>
      <c r="J56" s="31" t="str">
        <f t="shared" si="16"/>
        <v>Y</v>
      </c>
      <c r="K56" s="31" t="str">
        <f t="shared" si="17"/>
        <v>AY</v>
      </c>
      <c r="L56" s="33">
        <f t="shared" si="18"/>
        <v>1.4744437033893165</v>
      </c>
      <c r="M56" s="31" t="str">
        <f t="shared" si="19"/>
        <v>Yes</v>
      </c>
      <c r="N56" s="34">
        <f>_xlfn.XLOOKUP(A56,SKUList,SKU_Data!$C$5:$C$154)/_xlfn.XLOOKUP(A56,SKUList,SKU_Data!$D$5:$D$154)</f>
        <v>2.0074229278198263</v>
      </c>
      <c r="O56" s="31" t="str">
        <f>IF(K56=_xlfn.XLOOKUP(A56,SKUList,SKU_Data!$F$5:$F$154),"✓","≠")</f>
        <v>✓</v>
      </c>
    </row>
    <row r="57" spans="1:15" ht="15" x14ac:dyDescent="0.35">
      <c r="A57" s="9" t="str">
        <f>SKU_Data!A57</f>
        <v>22630</v>
      </c>
      <c r="B57" s="9" t="str">
        <f>_xlfn.XLOOKUP(A57,SKUList,SKU_Data!$B$5:$B$154)</f>
        <v>DOLLY GIRL LUNCH BOX</v>
      </c>
      <c r="C57" s="27">
        <f>_xlfn.XLOOKUP(A57,SKUList,SKU_Data!$E$5:$E$154)</f>
        <v>21275.15</v>
      </c>
      <c r="D57" s="26">
        <f t="shared" si="10"/>
        <v>53</v>
      </c>
      <c r="E57" s="20">
        <f t="shared" si="11"/>
        <v>0.56947845638617123</v>
      </c>
      <c r="F57" s="31" t="str">
        <f t="shared" si="12"/>
        <v>A</v>
      </c>
      <c r="G57" s="32">
        <f t="shared" si="13"/>
        <v>224.19230769230768</v>
      </c>
      <c r="H57" s="32">
        <f t="shared" si="14"/>
        <v>171.19350803862318</v>
      </c>
      <c r="I57" s="33">
        <f t="shared" si="15"/>
        <v>0.76360116812561385</v>
      </c>
      <c r="J57" s="31" t="str">
        <f t="shared" si="16"/>
        <v>Y</v>
      </c>
      <c r="K57" s="31" t="str">
        <f t="shared" si="17"/>
        <v>AY</v>
      </c>
      <c r="L57" s="33">
        <f t="shared" si="18"/>
        <v>1.9067478912839737</v>
      </c>
      <c r="M57" s="31" t="str">
        <f t="shared" si="19"/>
        <v>Yes</v>
      </c>
      <c r="N57" s="34">
        <f>_xlfn.XLOOKUP(A57,SKUList,SKU_Data!$C$5:$C$154)/_xlfn.XLOOKUP(A57,SKUList,SKU_Data!$D$5:$D$154)</f>
        <v>1.8229805597452657</v>
      </c>
      <c r="O57" s="31" t="str">
        <f>IF(K57=_xlfn.XLOOKUP(A57,SKUList,SKU_Data!$F$5:$F$154),"✓","≠")</f>
        <v>✓</v>
      </c>
    </row>
    <row r="58" spans="1:15" ht="15" x14ac:dyDescent="0.35">
      <c r="A58" s="9" t="str">
        <f>SKU_Data!A58</f>
        <v>21523</v>
      </c>
      <c r="B58" s="9" t="str">
        <f>_xlfn.XLOOKUP(A58,SKUList,SKU_Data!$B$5:$B$154)</f>
        <v>DOORMAT FANCY FONT HOME SWEET HOME</v>
      </c>
      <c r="C58" s="27">
        <f>_xlfn.XLOOKUP(A58,SKUList,SKU_Data!$E$5:$E$154)</f>
        <v>21257.46</v>
      </c>
      <c r="D58" s="26">
        <f t="shared" si="10"/>
        <v>54</v>
      </c>
      <c r="E58" s="20">
        <f t="shared" si="11"/>
        <v>0.57612037975481944</v>
      </c>
      <c r="F58" s="31" t="str">
        <f t="shared" si="12"/>
        <v>A</v>
      </c>
      <c r="G58" s="32">
        <f t="shared" si="13"/>
        <v>61.653846153846153</v>
      </c>
      <c r="H58" s="32">
        <f t="shared" si="14"/>
        <v>103.79030228138919</v>
      </c>
      <c r="I58" s="33">
        <f t="shared" si="15"/>
        <v>1.6834359696295189</v>
      </c>
      <c r="J58" s="31" t="str">
        <f t="shared" si="16"/>
        <v>Z</v>
      </c>
      <c r="K58" s="31" t="str">
        <f t="shared" si="17"/>
        <v>AZ</v>
      </c>
      <c r="L58" s="33">
        <f t="shared" si="18"/>
        <v>0.77987846049966236</v>
      </c>
      <c r="M58" s="31" t="str">
        <f t="shared" si="19"/>
        <v>No</v>
      </c>
      <c r="N58" s="34">
        <f>_xlfn.XLOOKUP(A58,SKUList,SKU_Data!$C$5:$C$154)/_xlfn.XLOOKUP(A58,SKUList,SKU_Data!$D$5:$D$154)</f>
        <v>6.6326720647773278</v>
      </c>
      <c r="O58" s="31" t="str">
        <f>IF(K58=_xlfn.XLOOKUP(A58,SKUList,SKU_Data!$F$5:$F$154),"✓","≠")</f>
        <v>✓</v>
      </c>
    </row>
    <row r="59" spans="1:15" ht="15" x14ac:dyDescent="0.35">
      <c r="A59" s="9" t="str">
        <f>SKU_Data!A59</f>
        <v>20712</v>
      </c>
      <c r="B59" s="9" t="str">
        <f>_xlfn.XLOOKUP(A59,SKUList,SKU_Data!$B$5:$B$154)</f>
        <v>JUMBO BAG WOODLAND ANIMALS</v>
      </c>
      <c r="C59" s="27">
        <f>_xlfn.XLOOKUP(A59,SKUList,SKU_Data!$E$5:$E$154)</f>
        <v>21156.18</v>
      </c>
      <c r="D59" s="26">
        <f t="shared" si="10"/>
        <v>55</v>
      </c>
      <c r="E59" s="20">
        <f t="shared" si="11"/>
        <v>0.58273065804457402</v>
      </c>
      <c r="F59" s="31" t="str">
        <f t="shared" si="12"/>
        <v>A</v>
      </c>
      <c r="G59" s="32">
        <f t="shared" si="13"/>
        <v>179.90384615384616</v>
      </c>
      <c r="H59" s="32">
        <f t="shared" si="14"/>
        <v>121.38825404548481</v>
      </c>
      <c r="I59" s="33">
        <f t="shared" si="15"/>
        <v>0.67473962697650558</v>
      </c>
      <c r="J59" s="31" t="str">
        <f t="shared" si="16"/>
        <v>X</v>
      </c>
      <c r="K59" s="31" t="str">
        <f t="shared" si="17"/>
        <v>AX</v>
      </c>
      <c r="L59" s="33">
        <f t="shared" si="18"/>
        <v>1.3199495480344754</v>
      </c>
      <c r="M59" s="31" t="str">
        <f t="shared" si="19"/>
        <v>Yes</v>
      </c>
      <c r="N59" s="34">
        <f>_xlfn.XLOOKUP(A59,SKUList,SKU_Data!$C$5:$C$154)/_xlfn.XLOOKUP(A59,SKUList,SKU_Data!$D$5:$D$154)</f>
        <v>2.2493632100052108</v>
      </c>
      <c r="O59" s="31" t="str">
        <f>IF(K59=_xlfn.XLOOKUP(A59,SKUList,SKU_Data!$F$5:$F$154),"✓","≠")</f>
        <v>✓</v>
      </c>
    </row>
    <row r="60" spans="1:15" ht="15" x14ac:dyDescent="0.35">
      <c r="A60" s="9" t="str">
        <f>SKU_Data!A60</f>
        <v>85066</v>
      </c>
      <c r="B60" s="9" t="str">
        <f>_xlfn.XLOOKUP(A60,SKUList,SKU_Data!$B$5:$B$154)</f>
        <v>CREAM SWEETHEART MINI CHEST</v>
      </c>
      <c r="C60" s="27">
        <f>_xlfn.XLOOKUP(A60,SKUList,SKU_Data!$E$5:$E$154)</f>
        <v>21010.39</v>
      </c>
      <c r="D60" s="26">
        <f t="shared" si="10"/>
        <v>56</v>
      </c>
      <c r="E60" s="20">
        <f t="shared" si="11"/>
        <v>0.58929538404313686</v>
      </c>
      <c r="F60" s="31" t="str">
        <f t="shared" si="12"/>
        <v>A</v>
      </c>
      <c r="G60" s="32">
        <f t="shared" si="13"/>
        <v>31.673076923076923</v>
      </c>
      <c r="H60" s="32">
        <f t="shared" si="14"/>
        <v>33.173176710891077</v>
      </c>
      <c r="I60" s="33">
        <f t="shared" si="15"/>
        <v>1.047361984800447</v>
      </c>
      <c r="J60" s="31" t="str">
        <f t="shared" si="16"/>
        <v>Y</v>
      </c>
      <c r="K60" s="31" t="str">
        <f t="shared" si="17"/>
        <v>AY</v>
      </c>
      <c r="L60" s="33">
        <f t="shared" si="18"/>
        <v>1.3453268977621764</v>
      </c>
      <c r="M60" s="31" t="str">
        <f t="shared" si="19"/>
        <v>Yes</v>
      </c>
      <c r="N60" s="34">
        <f>_xlfn.XLOOKUP(A60,SKUList,SKU_Data!$C$5:$C$154)/_xlfn.XLOOKUP(A60,SKUList,SKU_Data!$D$5:$D$154)</f>
        <v>12.712278931750742</v>
      </c>
      <c r="O60" s="31" t="str">
        <f>IF(K60=_xlfn.XLOOKUP(A60,SKUList,SKU_Data!$F$5:$F$154),"✓","≠")</f>
        <v>✓</v>
      </c>
    </row>
    <row r="61" spans="1:15" ht="15" x14ac:dyDescent="0.35">
      <c r="A61" s="9" t="str">
        <f>SKU_Data!A61</f>
        <v>20728</v>
      </c>
      <c r="B61" s="9" t="str">
        <f>_xlfn.XLOOKUP(A61,SKUList,SKU_Data!$B$5:$B$154)</f>
        <v>LUNCH BAG CARS BLUE</v>
      </c>
      <c r="C61" s="27">
        <f>_xlfn.XLOOKUP(A61,SKUList,SKU_Data!$E$5:$E$154)</f>
        <v>20969.29</v>
      </c>
      <c r="D61" s="26">
        <f t="shared" si="10"/>
        <v>57</v>
      </c>
      <c r="E61" s="20">
        <f t="shared" si="11"/>
        <v>0.59584726828871282</v>
      </c>
      <c r="F61" s="31" t="str">
        <f t="shared" si="12"/>
        <v>A</v>
      </c>
      <c r="G61" s="32">
        <f t="shared" si="13"/>
        <v>219.25</v>
      </c>
      <c r="H61" s="32">
        <f t="shared" si="14"/>
        <v>120.18203105387799</v>
      </c>
      <c r="I61" s="33">
        <f t="shared" si="15"/>
        <v>0.54815065474972857</v>
      </c>
      <c r="J61" s="31" t="str">
        <f t="shared" si="16"/>
        <v>X</v>
      </c>
      <c r="K61" s="31" t="str">
        <f t="shared" si="17"/>
        <v>AX</v>
      </c>
      <c r="L61" s="33">
        <f t="shared" si="18"/>
        <v>0.77551218564909219</v>
      </c>
      <c r="M61" s="31" t="str">
        <f t="shared" si="19"/>
        <v>No</v>
      </c>
      <c r="N61" s="34">
        <f>_xlfn.XLOOKUP(A61,SKUList,SKU_Data!$C$5:$C$154)/_xlfn.XLOOKUP(A61,SKUList,SKU_Data!$D$5:$D$154)</f>
        <v>1.8335591907016788</v>
      </c>
      <c r="O61" s="31" t="str">
        <f>IF(K61=_xlfn.XLOOKUP(A61,SKUList,SKU_Data!$F$5:$F$154),"✓","≠")</f>
        <v>✓</v>
      </c>
    </row>
    <row r="62" spans="1:15" ht="15" x14ac:dyDescent="0.35">
      <c r="A62" s="9" t="str">
        <f>SKU_Data!A62</f>
        <v>84029E</v>
      </c>
      <c r="B62" s="9" t="str">
        <f>_xlfn.XLOOKUP(A62,SKUList,SKU_Data!$B$5:$B$154)</f>
        <v>RED WOOLLY HOTTIE WHITE HEART.</v>
      </c>
      <c r="C62" s="27">
        <f>_xlfn.XLOOKUP(A62,SKUList,SKU_Data!$E$5:$E$154)</f>
        <v>20832.95</v>
      </c>
      <c r="D62" s="26">
        <f t="shared" si="10"/>
        <v>58</v>
      </c>
      <c r="E62" s="20">
        <f t="shared" si="11"/>
        <v>0.60235655290892975</v>
      </c>
      <c r="F62" s="31" t="str">
        <f t="shared" si="12"/>
        <v>A</v>
      </c>
      <c r="G62" s="32">
        <f t="shared" si="13"/>
        <v>86.615384615384613</v>
      </c>
      <c r="H62" s="32">
        <f t="shared" si="14"/>
        <v>198.42034543907764</v>
      </c>
      <c r="I62" s="33">
        <f t="shared" si="15"/>
        <v>2.2908210397051594</v>
      </c>
      <c r="J62" s="31" t="str">
        <f t="shared" si="16"/>
        <v>Z</v>
      </c>
      <c r="K62" s="31" t="str">
        <f t="shared" si="17"/>
        <v>AZ</v>
      </c>
      <c r="L62" s="33">
        <f t="shared" si="18"/>
        <v>3.4905888679752621</v>
      </c>
      <c r="M62" s="31" t="str">
        <f t="shared" si="19"/>
        <v>Yes</v>
      </c>
      <c r="N62" s="34">
        <f>_xlfn.XLOOKUP(A62,SKUList,SKU_Data!$C$5:$C$154)/_xlfn.XLOOKUP(A62,SKUList,SKU_Data!$D$5:$D$154)</f>
        <v>4.6187910643889625</v>
      </c>
      <c r="O62" s="31" t="str">
        <f>IF(K62=_xlfn.XLOOKUP(A62,SKUList,SKU_Data!$F$5:$F$154),"✓","≠")</f>
        <v>✓</v>
      </c>
    </row>
    <row r="63" spans="1:15" ht="15" x14ac:dyDescent="0.35">
      <c r="A63" s="9" t="str">
        <f>SKU_Data!A63</f>
        <v>21212</v>
      </c>
      <c r="B63" s="9" t="str">
        <f>_xlfn.XLOOKUP(A63,SKUList,SKU_Data!$B$5:$B$154)</f>
        <v>PACK OF 72 RETROSPOT CAKE CASES</v>
      </c>
      <c r="C63" s="27">
        <f>_xlfn.XLOOKUP(A63,SKUList,SKU_Data!$E$5:$E$154)</f>
        <v>20790.64</v>
      </c>
      <c r="D63" s="26">
        <f t="shared" si="10"/>
        <v>59</v>
      </c>
      <c r="E63" s="20">
        <f t="shared" si="11"/>
        <v>0.60885261770995258</v>
      </c>
      <c r="F63" s="31" t="str">
        <f t="shared" si="12"/>
        <v>A</v>
      </c>
      <c r="G63" s="32">
        <f t="shared" si="13"/>
        <v>692.98076923076928</v>
      </c>
      <c r="H63" s="32">
        <f t="shared" si="14"/>
        <v>432.85194182825927</v>
      </c>
      <c r="I63" s="33">
        <f t="shared" si="15"/>
        <v>0.62462330997833992</v>
      </c>
      <c r="J63" s="31" t="str">
        <f t="shared" si="16"/>
        <v>X</v>
      </c>
      <c r="K63" s="31" t="str">
        <f t="shared" si="17"/>
        <v>AX</v>
      </c>
      <c r="L63" s="33">
        <f t="shared" si="18"/>
        <v>1.4143528406663819</v>
      </c>
      <c r="M63" s="31" t="str">
        <f t="shared" si="19"/>
        <v>Yes</v>
      </c>
      <c r="N63" s="34">
        <f>_xlfn.XLOOKUP(A63,SKUList,SKU_Data!$C$5:$C$154)/_xlfn.XLOOKUP(A63,SKUList,SKU_Data!$D$5:$D$154)</f>
        <v>0.57626975417032489</v>
      </c>
      <c r="O63" s="31" t="str">
        <f>IF(K63=_xlfn.XLOOKUP(A63,SKUList,SKU_Data!$F$5:$F$154),"✓","≠")</f>
        <v>✓</v>
      </c>
    </row>
    <row r="64" spans="1:15" ht="15" x14ac:dyDescent="0.35">
      <c r="A64" s="9" t="str">
        <f>SKU_Data!A64</f>
        <v>21928</v>
      </c>
      <c r="B64" s="9" t="str">
        <f>_xlfn.XLOOKUP(A64,SKUList,SKU_Data!$B$5:$B$154)</f>
        <v>JUMBO BAG SCANDINAVIAN PAISLEY</v>
      </c>
      <c r="C64" s="27">
        <f>_xlfn.XLOOKUP(A64,SKUList,SKU_Data!$E$5:$E$154)</f>
        <v>19988.02</v>
      </c>
      <c r="D64" s="26">
        <f t="shared" si="10"/>
        <v>60</v>
      </c>
      <c r="E64" s="20">
        <f t="shared" si="11"/>
        <v>0.61509790275957776</v>
      </c>
      <c r="F64" s="31" t="str">
        <f t="shared" si="12"/>
        <v>A</v>
      </c>
      <c r="G64" s="32">
        <f t="shared" si="13"/>
        <v>189.88461538461539</v>
      </c>
      <c r="H64" s="32">
        <f t="shared" si="14"/>
        <v>130.05106898056019</v>
      </c>
      <c r="I64" s="33">
        <f t="shared" si="15"/>
        <v>0.68489523870661628</v>
      </c>
      <c r="J64" s="31" t="str">
        <f t="shared" si="16"/>
        <v>X</v>
      </c>
      <c r="K64" s="31" t="str">
        <f t="shared" si="17"/>
        <v>AX</v>
      </c>
      <c r="L64" s="33">
        <f t="shared" si="18"/>
        <v>1.3102264291017074</v>
      </c>
      <c r="M64" s="31" t="str">
        <f t="shared" si="19"/>
        <v>Yes</v>
      </c>
      <c r="N64" s="34">
        <f>_xlfn.XLOOKUP(A64,SKUList,SKU_Data!$C$5:$C$154)/_xlfn.XLOOKUP(A64,SKUList,SKU_Data!$D$5:$D$154)</f>
        <v>2.0185788954635107</v>
      </c>
      <c r="O64" s="31" t="str">
        <f>IF(K64=_xlfn.XLOOKUP(A64,SKUList,SKU_Data!$F$5:$F$154),"✓","≠")</f>
        <v>✓</v>
      </c>
    </row>
    <row r="65" spans="1:15" ht="15" x14ac:dyDescent="0.35">
      <c r="A65" s="9" t="str">
        <f>SKU_Data!A65</f>
        <v>82494L</v>
      </c>
      <c r="B65" s="9" t="str">
        <f>_xlfn.XLOOKUP(A65,SKUList,SKU_Data!$B$5:$B$154)</f>
        <v>WOODEN FRAME ANTIQUE WHITE</v>
      </c>
      <c r="C65" s="27">
        <f>_xlfn.XLOOKUP(A65,SKUList,SKU_Data!$E$5:$E$154)</f>
        <v>19883.54</v>
      </c>
      <c r="D65" s="26">
        <f t="shared" si="10"/>
        <v>61</v>
      </c>
      <c r="E65" s="20">
        <f t="shared" si="11"/>
        <v>0.62131054288579468</v>
      </c>
      <c r="F65" s="31" t="str">
        <f t="shared" si="12"/>
        <v>A</v>
      </c>
      <c r="G65" s="32">
        <f t="shared" si="13"/>
        <v>122</v>
      </c>
      <c r="H65" s="32">
        <f t="shared" si="14"/>
        <v>75.69702250211877</v>
      </c>
      <c r="I65" s="33">
        <f t="shared" si="15"/>
        <v>0.62046739755835056</v>
      </c>
      <c r="J65" s="31" t="str">
        <f t="shared" si="16"/>
        <v>X</v>
      </c>
      <c r="K65" s="31" t="str">
        <f t="shared" si="17"/>
        <v>AX</v>
      </c>
      <c r="L65" s="33">
        <f t="shared" si="18"/>
        <v>1.5320523042576941</v>
      </c>
      <c r="M65" s="31" t="str">
        <f t="shared" si="19"/>
        <v>Yes</v>
      </c>
      <c r="N65" s="34">
        <f>_xlfn.XLOOKUP(A65,SKUList,SKU_Data!$C$5:$C$154)/_xlfn.XLOOKUP(A65,SKUList,SKU_Data!$D$5:$D$154)</f>
        <v>3.105184576296518</v>
      </c>
      <c r="O65" s="31" t="str">
        <f>IF(K65=_xlfn.XLOOKUP(A65,SKUList,SKU_Data!$F$5:$F$154),"✓","≠")</f>
        <v>✓</v>
      </c>
    </row>
    <row r="66" spans="1:15" ht="15" x14ac:dyDescent="0.35">
      <c r="A66" s="9" t="str">
        <f>SKU_Data!A66</f>
        <v>20724</v>
      </c>
      <c r="B66" s="9" t="str">
        <f>_xlfn.XLOOKUP(A66,SKUList,SKU_Data!$B$5:$B$154)</f>
        <v>RED RETROSPOT CHARLOTTE BAG</v>
      </c>
      <c r="C66" s="27">
        <f>_xlfn.XLOOKUP(A66,SKUList,SKU_Data!$E$5:$E$154)</f>
        <v>19797.89</v>
      </c>
      <c r="D66" s="26">
        <f t="shared" si="10"/>
        <v>62</v>
      </c>
      <c r="E66" s="20">
        <f t="shared" si="11"/>
        <v>0.62749642154867002</v>
      </c>
      <c r="F66" s="31" t="str">
        <f t="shared" si="12"/>
        <v>A</v>
      </c>
      <c r="G66" s="32">
        <f t="shared" si="13"/>
        <v>317.42307692307691</v>
      </c>
      <c r="H66" s="32">
        <f t="shared" si="14"/>
        <v>158.43367464316145</v>
      </c>
      <c r="I66" s="33">
        <f t="shared" si="15"/>
        <v>0.49912462628404192</v>
      </c>
      <c r="J66" s="31" t="str">
        <f t="shared" si="16"/>
        <v>X</v>
      </c>
      <c r="K66" s="31" t="str">
        <f t="shared" si="17"/>
        <v>AX</v>
      </c>
      <c r="L66" s="33">
        <f t="shared" si="18"/>
        <v>1.1236370793150954</v>
      </c>
      <c r="M66" s="31" t="str">
        <f t="shared" si="19"/>
        <v>No</v>
      </c>
      <c r="N66" s="34">
        <f>_xlfn.XLOOKUP(A66,SKUList,SKU_Data!$C$5:$C$154)/_xlfn.XLOOKUP(A66,SKUList,SKU_Data!$D$5:$D$154)</f>
        <v>1.1936278319086617</v>
      </c>
      <c r="O66" s="31" t="str">
        <f>IF(K66=_xlfn.XLOOKUP(A66,SKUList,SKU_Data!$F$5:$F$154),"✓","≠")</f>
        <v>✓</v>
      </c>
    </row>
    <row r="67" spans="1:15" ht="15" x14ac:dyDescent="0.35">
      <c r="A67" s="9" t="str">
        <f>SKU_Data!A67</f>
        <v>22659</v>
      </c>
      <c r="B67" s="9" t="str">
        <f>_xlfn.XLOOKUP(A67,SKUList,SKU_Data!$B$5:$B$154)</f>
        <v>LUNCH BOX I LOVE LONDON</v>
      </c>
      <c r="C67" s="27">
        <f>_xlfn.XLOOKUP(A67,SKUList,SKU_Data!$E$5:$E$154)</f>
        <v>19754.740000000002</v>
      </c>
      <c r="D67" s="26">
        <f t="shared" si="10"/>
        <v>63</v>
      </c>
      <c r="E67" s="20">
        <f t="shared" si="11"/>
        <v>0.63366881793316598</v>
      </c>
      <c r="F67" s="31" t="str">
        <f t="shared" si="12"/>
        <v>A</v>
      </c>
      <c r="G67" s="32">
        <f t="shared" si="13"/>
        <v>211.86538461538461</v>
      </c>
      <c r="H67" s="32">
        <f t="shared" si="14"/>
        <v>201.95660850652303</v>
      </c>
      <c r="I67" s="33">
        <f t="shared" si="15"/>
        <v>0.95323079262405352</v>
      </c>
      <c r="J67" s="31" t="str">
        <f t="shared" si="16"/>
        <v>Y</v>
      </c>
      <c r="K67" s="31" t="str">
        <f t="shared" si="17"/>
        <v>AY</v>
      </c>
      <c r="L67" s="33">
        <f t="shared" si="18"/>
        <v>1.6342330082407197</v>
      </c>
      <c r="M67" s="31" t="str">
        <f t="shared" si="19"/>
        <v>Yes</v>
      </c>
      <c r="N67" s="34">
        <f>_xlfn.XLOOKUP(A67,SKUList,SKU_Data!$C$5:$C$154)/_xlfn.XLOOKUP(A67,SKUList,SKU_Data!$D$5:$D$154)</f>
        <v>1.8027475357428293</v>
      </c>
      <c r="O67" s="31" t="str">
        <f>IF(K67=_xlfn.XLOOKUP(A67,SKUList,SKU_Data!$F$5:$F$154),"✓","≠")</f>
        <v>✓</v>
      </c>
    </row>
    <row r="68" spans="1:15" ht="15" x14ac:dyDescent="0.35">
      <c r="A68" s="9" t="str">
        <f>SKU_Data!A68</f>
        <v>48185</v>
      </c>
      <c r="B68" s="9" t="str">
        <f>_xlfn.XLOOKUP(A68,SKUList,SKU_Data!$B$5:$B$154)</f>
        <v>DOORMAT FAIRY CAKE</v>
      </c>
      <c r="C68" s="27">
        <f>_xlfn.XLOOKUP(A68,SKUList,SKU_Data!$E$5:$E$154)</f>
        <v>19078.23</v>
      </c>
      <c r="D68" s="26">
        <f t="shared" si="10"/>
        <v>64</v>
      </c>
      <c r="E68" s="20">
        <f t="shared" si="11"/>
        <v>0.63962983781368998</v>
      </c>
      <c r="F68" s="31" t="str">
        <f t="shared" si="12"/>
        <v>A</v>
      </c>
      <c r="G68" s="32">
        <f t="shared" si="13"/>
        <v>56.019230769230766</v>
      </c>
      <c r="H68" s="32">
        <f t="shared" si="14"/>
        <v>132.95930239556137</v>
      </c>
      <c r="I68" s="33">
        <f t="shared" si="15"/>
        <v>2.3734581958699592</v>
      </c>
      <c r="J68" s="31" t="str">
        <f t="shared" si="16"/>
        <v>Z</v>
      </c>
      <c r="K68" s="31" t="str">
        <f t="shared" si="17"/>
        <v>AZ</v>
      </c>
      <c r="L68" s="33">
        <f t="shared" si="18"/>
        <v>0.77420589360887859</v>
      </c>
      <c r="M68" s="31" t="str">
        <f t="shared" si="19"/>
        <v>No</v>
      </c>
      <c r="N68" s="34">
        <f>_xlfn.XLOOKUP(A68,SKUList,SKU_Data!$C$5:$C$154)/_xlfn.XLOOKUP(A68,SKUList,SKU_Data!$D$5:$D$154)</f>
        <v>6.5885503206021747</v>
      </c>
      <c r="O68" s="31" t="str">
        <f>IF(K68=_xlfn.XLOOKUP(A68,SKUList,SKU_Data!$F$5:$F$154),"✓","≠")</f>
        <v>✓</v>
      </c>
    </row>
    <row r="69" spans="1:15" ht="15" x14ac:dyDescent="0.35">
      <c r="A69" s="9" t="str">
        <f>SKU_Data!A69</f>
        <v>84997B</v>
      </c>
      <c r="B69" s="9" t="str">
        <f>_xlfn.XLOOKUP(A69,SKUList,SKU_Data!$B$5:$B$154)</f>
        <v>RED 3 PIECE MINI DOTS CUTLERY SET</v>
      </c>
      <c r="C69" s="27">
        <f>_xlfn.XLOOKUP(A69,SKUList,SKU_Data!$E$5:$E$154)</f>
        <v>18906.11</v>
      </c>
      <c r="D69" s="26">
        <f t="shared" ref="D69:D100" si="20">_xlfn.RANK.EQ(C69,$C$5:$C$154)</f>
        <v>65</v>
      </c>
      <c r="E69" s="20">
        <f t="shared" ref="E69:E100" si="21">SUMIFS($C$5:$C$154,$C$5:$C$154,"&gt;="&amp;C69)/SUM($C$5:$C$154)</f>
        <v>0.64553707855737397</v>
      </c>
      <c r="F69" s="31" t="str">
        <f t="shared" ref="F69:F100" si="22">IF(E69&lt;=A_Limit,"A",IF(E69&lt;=B_Limit,"B","C"))</f>
        <v>A</v>
      </c>
      <c r="G69" s="32">
        <f t="shared" ref="G69:G100" si="23">AVERAGE(_xlfn.XLOOKUP(A69,DemandCodes,DemandLast52))</f>
        <v>87.365384615384613</v>
      </c>
      <c r="H69" s="32">
        <f t="shared" ref="H69:H100" si="24">_xlfn.STDEV.S(_xlfn.XLOOKUP(A69,DemandCodes,DemandLast52))</f>
        <v>88.279420213221286</v>
      </c>
      <c r="I69" s="33">
        <f t="shared" ref="I69:I100" si="25">H69/G69</f>
        <v>1.0104622168363431</v>
      </c>
      <c r="J69" s="31" t="str">
        <f t="shared" ref="J69:J100" si="26">IF(I69&lt;=X_Limit,"X",IF(I69&lt;=Y_Limit,"Y","Z"))</f>
        <v>Y</v>
      </c>
      <c r="K69" s="31" t="str">
        <f t="shared" ref="K69:K100" si="27">F69&amp;J69</f>
        <v>AY</v>
      </c>
      <c r="L69" s="33">
        <f t="shared" ref="L69:L100" si="28">AVERAGE(_xlfn.XLOOKUP(A69,DemandCodes,DemandPeak2010))/AVERAGE(_xlfn.XLOOKUP(A69,DemandCodes,DemandTrain))</f>
        <v>1.1177460050462573</v>
      </c>
      <c r="M69" s="31" t="str">
        <f t="shared" ref="M69:M100" si="29">IF(L69&gt;=SeasonalLimit,"Yes","No")</f>
        <v>No</v>
      </c>
      <c r="N69" s="34">
        <f>_xlfn.XLOOKUP(A69,SKUList,SKU_Data!$C$5:$C$154)/_xlfn.XLOOKUP(A69,SKUList,SKU_Data!$D$5:$D$154)</f>
        <v>4.1590702253336254</v>
      </c>
      <c r="O69" s="31" t="str">
        <f>IF(K69=_xlfn.XLOOKUP(A69,SKUList,SKU_Data!$F$5:$F$154),"✓","≠")</f>
        <v>✓</v>
      </c>
    </row>
    <row r="70" spans="1:15" ht="15" x14ac:dyDescent="0.35">
      <c r="A70" s="9" t="str">
        <f>SKU_Data!A70</f>
        <v>22501</v>
      </c>
      <c r="B70" s="9" t="str">
        <f>_xlfn.XLOOKUP(A70,SKUList,SKU_Data!$B$5:$B$154)</f>
        <v>PICNIC BASKET WICKER LARGE</v>
      </c>
      <c r="C70" s="27">
        <f>_xlfn.XLOOKUP(A70,SKUList,SKU_Data!$E$5:$E$154)</f>
        <v>18767.650000000001</v>
      </c>
      <c r="D70" s="26">
        <f t="shared" si="20"/>
        <v>66</v>
      </c>
      <c r="E70" s="20">
        <f t="shared" si="21"/>
        <v>0.65140105727870801</v>
      </c>
      <c r="F70" s="31" t="str">
        <f t="shared" si="22"/>
        <v>A</v>
      </c>
      <c r="G70" s="32">
        <f t="shared" si="23"/>
        <v>29.557692307692307</v>
      </c>
      <c r="H70" s="32">
        <f t="shared" si="24"/>
        <v>48.438930001272482</v>
      </c>
      <c r="I70" s="33">
        <f t="shared" si="25"/>
        <v>1.638792687095751</v>
      </c>
      <c r="J70" s="31" t="str">
        <f t="shared" si="26"/>
        <v>Z</v>
      </c>
      <c r="K70" s="31" t="str">
        <f t="shared" si="27"/>
        <v>AZ</v>
      </c>
      <c r="L70" s="33">
        <f t="shared" si="28"/>
        <v>0.83478260869565213</v>
      </c>
      <c r="M70" s="31" t="str">
        <f t="shared" si="29"/>
        <v>No</v>
      </c>
      <c r="N70" s="34">
        <f>_xlfn.XLOOKUP(A70,SKUList,SKU_Data!$C$5:$C$154)/_xlfn.XLOOKUP(A70,SKUList,SKU_Data!$D$5:$D$154)</f>
        <v>11.993807199511897</v>
      </c>
      <c r="O70" s="31" t="str">
        <f>IF(K70=_xlfn.XLOOKUP(A70,SKUList,SKU_Data!$F$5:$F$154),"✓","≠")</f>
        <v>✓</v>
      </c>
    </row>
    <row r="71" spans="1:15" ht="15" x14ac:dyDescent="0.35">
      <c r="A71" s="9" t="str">
        <f>SKU_Data!A71</f>
        <v>20914</v>
      </c>
      <c r="B71" s="9" t="str">
        <f>_xlfn.XLOOKUP(A71,SKUList,SKU_Data!$B$5:$B$154)</f>
        <v>SET/5 RED RETROSPOT LID GLASS BOWLS</v>
      </c>
      <c r="C71" s="27">
        <f>_xlfn.XLOOKUP(A71,SKUList,SKU_Data!$E$5:$E$154)</f>
        <v>17983.02</v>
      </c>
      <c r="D71" s="26">
        <f t="shared" si="20"/>
        <v>67</v>
      </c>
      <c r="E71" s="20">
        <f t="shared" si="21"/>
        <v>0.65701987724952615</v>
      </c>
      <c r="F71" s="31" t="str">
        <f t="shared" si="22"/>
        <v>A</v>
      </c>
      <c r="G71" s="32">
        <f t="shared" si="23"/>
        <v>120.5</v>
      </c>
      <c r="H71" s="32">
        <f t="shared" si="24"/>
        <v>99.615043355635294</v>
      </c>
      <c r="I71" s="33">
        <f t="shared" si="25"/>
        <v>0.8266808577231145</v>
      </c>
      <c r="J71" s="31" t="str">
        <f t="shared" si="26"/>
        <v>Y</v>
      </c>
      <c r="K71" s="31" t="str">
        <f t="shared" si="27"/>
        <v>AY</v>
      </c>
      <c r="L71" s="33">
        <f t="shared" si="28"/>
        <v>1.301097688109401</v>
      </c>
      <c r="M71" s="31" t="str">
        <f t="shared" si="29"/>
        <v>Yes</v>
      </c>
      <c r="N71" s="34">
        <f>_xlfn.XLOOKUP(A71,SKUList,SKU_Data!$C$5:$C$154)/_xlfn.XLOOKUP(A71,SKUList,SKU_Data!$D$5:$D$154)</f>
        <v>2.8689072067828545</v>
      </c>
      <c r="O71" s="31" t="str">
        <f>IF(K71=_xlfn.XLOOKUP(A71,SKUList,SKU_Data!$F$5:$F$154),"✓","≠")</f>
        <v>✓</v>
      </c>
    </row>
    <row r="72" spans="1:15" ht="15" x14ac:dyDescent="0.35">
      <c r="A72" s="9" t="str">
        <f>SKU_Data!A72</f>
        <v>15036</v>
      </c>
      <c r="B72" s="9" t="str">
        <f>_xlfn.XLOOKUP(A72,SKUList,SKU_Data!$B$5:$B$154)</f>
        <v>ASSORTED COLOURS SILK FAN</v>
      </c>
      <c r="C72" s="27">
        <f>_xlfn.XLOOKUP(A72,SKUList,SKU_Data!$E$5:$E$154)</f>
        <v>17965.169999999998</v>
      </c>
      <c r="D72" s="26">
        <f t="shared" si="20"/>
        <v>68</v>
      </c>
      <c r="E72" s="20">
        <f t="shared" si="21"/>
        <v>0.66263311996266006</v>
      </c>
      <c r="F72" s="31" t="str">
        <f t="shared" si="22"/>
        <v>A</v>
      </c>
      <c r="G72" s="32">
        <f t="shared" si="23"/>
        <v>442.26923076923077</v>
      </c>
      <c r="H72" s="32">
        <f t="shared" si="24"/>
        <v>526.98458195940236</v>
      </c>
      <c r="I72" s="33">
        <f t="shared" si="25"/>
        <v>1.1915470154747771</v>
      </c>
      <c r="J72" s="31" t="str">
        <f t="shared" si="26"/>
        <v>Y</v>
      </c>
      <c r="K72" s="31" t="str">
        <f t="shared" si="27"/>
        <v>AY</v>
      </c>
      <c r="L72" s="33">
        <f t="shared" si="28"/>
        <v>0.82628024069753159</v>
      </c>
      <c r="M72" s="31" t="str">
        <f t="shared" si="29"/>
        <v>No</v>
      </c>
      <c r="N72" s="34">
        <f>_xlfn.XLOOKUP(A72,SKUList,SKU_Data!$C$5:$C$154)/_xlfn.XLOOKUP(A72,SKUList,SKU_Data!$D$5:$D$154)</f>
        <v>0.77857233181588259</v>
      </c>
      <c r="O72" s="31" t="str">
        <f>IF(K72=_xlfn.XLOOKUP(A72,SKUList,SKU_Data!$F$5:$F$154),"✓","≠")</f>
        <v>✓</v>
      </c>
    </row>
    <row r="73" spans="1:15" ht="15" x14ac:dyDescent="0.35">
      <c r="A73" s="9" t="str">
        <f>SKU_Data!A73</f>
        <v>20726</v>
      </c>
      <c r="B73" s="9" t="str">
        <f>_xlfn.XLOOKUP(A73,SKUList,SKU_Data!$B$5:$B$154)</f>
        <v>LUNCH BAG WOODLAND</v>
      </c>
      <c r="C73" s="27">
        <f>_xlfn.XLOOKUP(A73,SKUList,SKU_Data!$E$5:$E$154)</f>
        <v>17906.28</v>
      </c>
      <c r="D73" s="26">
        <f t="shared" si="20"/>
        <v>69</v>
      </c>
      <c r="E73" s="20">
        <f t="shared" si="21"/>
        <v>0.66822796241220739</v>
      </c>
      <c r="F73" s="31" t="str">
        <f t="shared" si="22"/>
        <v>A</v>
      </c>
      <c r="G73" s="32">
        <f t="shared" si="23"/>
        <v>186.90384615384616</v>
      </c>
      <c r="H73" s="32">
        <f t="shared" si="24"/>
        <v>116.6511910658177</v>
      </c>
      <c r="I73" s="33">
        <f t="shared" si="25"/>
        <v>0.62412408019575261</v>
      </c>
      <c r="J73" s="31" t="str">
        <f t="shared" si="26"/>
        <v>X</v>
      </c>
      <c r="K73" s="31" t="str">
        <f t="shared" si="27"/>
        <v>AX</v>
      </c>
      <c r="L73" s="33">
        <f t="shared" si="28"/>
        <v>0.77814974228173661</v>
      </c>
      <c r="M73" s="31" t="str">
        <f t="shared" si="29"/>
        <v>No</v>
      </c>
      <c r="N73" s="34">
        <f>_xlfn.XLOOKUP(A73,SKUList,SKU_Data!$C$5:$C$154)/_xlfn.XLOOKUP(A73,SKUList,SKU_Data!$D$5:$D$154)</f>
        <v>1.8407489031731457</v>
      </c>
      <c r="O73" s="31" t="str">
        <f>IF(K73=_xlfn.XLOOKUP(A73,SKUList,SKU_Data!$F$5:$F$154),"✓","≠")</f>
        <v>✓</v>
      </c>
    </row>
    <row r="74" spans="1:15" ht="15" x14ac:dyDescent="0.35">
      <c r="A74" s="9" t="str">
        <f>SKU_Data!A74</f>
        <v>22467</v>
      </c>
      <c r="B74" s="9" t="str">
        <f>_xlfn.XLOOKUP(A74,SKUList,SKU_Data!$B$5:$B$154)</f>
        <v>GUMBALL COAT RACK</v>
      </c>
      <c r="C74" s="27">
        <f>_xlfn.XLOOKUP(A74,SKUList,SKU_Data!$E$5:$E$154)</f>
        <v>17721.27</v>
      </c>
      <c r="D74" s="26">
        <f t="shared" si="20"/>
        <v>70</v>
      </c>
      <c r="E74" s="20">
        <f t="shared" si="21"/>
        <v>0.6737649982262286</v>
      </c>
      <c r="F74" s="31" t="str">
        <f t="shared" si="22"/>
        <v>A</v>
      </c>
      <c r="G74" s="32">
        <f t="shared" si="23"/>
        <v>144.15384615384616</v>
      </c>
      <c r="H74" s="32">
        <f t="shared" si="24"/>
        <v>98.193363582187729</v>
      </c>
      <c r="I74" s="33">
        <f t="shared" si="25"/>
        <v>0.68117061182947725</v>
      </c>
      <c r="J74" s="31" t="str">
        <f t="shared" si="26"/>
        <v>X</v>
      </c>
      <c r="K74" s="31" t="str">
        <f t="shared" si="27"/>
        <v>AX</v>
      </c>
      <c r="L74" s="33">
        <f t="shared" si="28"/>
        <v>1.7523659305993693</v>
      </c>
      <c r="M74" s="31" t="str">
        <f t="shared" si="29"/>
        <v>Yes</v>
      </c>
      <c r="N74" s="34">
        <f>_xlfn.XLOOKUP(A74,SKUList,SKU_Data!$C$5:$C$154)/_xlfn.XLOOKUP(A74,SKUList,SKU_Data!$D$5:$D$154)</f>
        <v>2.3726224745807474</v>
      </c>
      <c r="O74" s="31" t="str">
        <f>IF(K74=_xlfn.XLOOKUP(A74,SKUList,SKU_Data!$F$5:$F$154),"✓","≠")</f>
        <v>✓</v>
      </c>
    </row>
    <row r="75" spans="1:15" ht="15" x14ac:dyDescent="0.35">
      <c r="A75" s="9" t="str">
        <f>SKU_Data!A75</f>
        <v>22382</v>
      </c>
      <c r="B75" s="9" t="str">
        <f>_xlfn.XLOOKUP(A75,SKUList,SKU_Data!$B$5:$B$154)</f>
        <v>LUNCH BAG SPACEBOY DESIGN</v>
      </c>
      <c r="C75" s="27">
        <f>_xlfn.XLOOKUP(A75,SKUList,SKU_Data!$E$5:$E$154)</f>
        <v>17623.77</v>
      </c>
      <c r="D75" s="26">
        <f t="shared" si="20"/>
        <v>71</v>
      </c>
      <c r="E75" s="20">
        <f t="shared" si="21"/>
        <v>0.67927157002768945</v>
      </c>
      <c r="F75" s="31" t="str">
        <f t="shared" si="22"/>
        <v>A</v>
      </c>
      <c r="G75" s="32">
        <f t="shared" si="23"/>
        <v>196.15384615384616</v>
      </c>
      <c r="H75" s="32">
        <f t="shared" si="24"/>
        <v>98.15601519137978</v>
      </c>
      <c r="I75" s="33">
        <f t="shared" si="25"/>
        <v>0.50040321470115179</v>
      </c>
      <c r="J75" s="31" t="str">
        <f t="shared" si="26"/>
        <v>X</v>
      </c>
      <c r="K75" s="31" t="str">
        <f t="shared" si="27"/>
        <v>AX</v>
      </c>
      <c r="L75" s="33">
        <f t="shared" si="28"/>
        <v>0.78835193540726667</v>
      </c>
      <c r="M75" s="31" t="str">
        <f t="shared" si="29"/>
        <v>No</v>
      </c>
      <c r="N75" s="34">
        <f>_xlfn.XLOOKUP(A75,SKUList,SKU_Data!$C$5:$C$154)/_xlfn.XLOOKUP(A75,SKUList,SKU_Data!$D$5:$D$154)</f>
        <v>1.7246954339221932</v>
      </c>
      <c r="O75" s="31" t="str">
        <f>IF(K75=_xlfn.XLOOKUP(A75,SKUList,SKU_Data!$F$5:$F$154),"✓","≠")</f>
        <v>✓</v>
      </c>
    </row>
    <row r="76" spans="1:15" ht="15" x14ac:dyDescent="0.35">
      <c r="A76" s="9" t="str">
        <f>SKU_Data!A76</f>
        <v>21166</v>
      </c>
      <c r="B76" s="9" t="str">
        <f>_xlfn.XLOOKUP(A76,SKUList,SKU_Data!$B$5:$B$154)</f>
        <v>COOK WITH WINE METAL SIGN</v>
      </c>
      <c r="C76" s="27">
        <f>_xlfn.XLOOKUP(A76,SKUList,SKU_Data!$E$5:$E$154)</f>
        <v>17610.87</v>
      </c>
      <c r="D76" s="26">
        <f t="shared" si="20"/>
        <v>72</v>
      </c>
      <c r="E76" s="20">
        <f t="shared" si="21"/>
        <v>0.68477411120594989</v>
      </c>
      <c r="F76" s="31" t="str">
        <f t="shared" si="22"/>
        <v>A</v>
      </c>
      <c r="G76" s="32">
        <f t="shared" si="23"/>
        <v>169.01923076923077</v>
      </c>
      <c r="H76" s="32">
        <f t="shared" si="24"/>
        <v>156.22827571451339</v>
      </c>
      <c r="I76" s="33">
        <f t="shared" si="25"/>
        <v>0.92432248687617435</v>
      </c>
      <c r="J76" s="31" t="str">
        <f t="shared" si="26"/>
        <v>Y</v>
      </c>
      <c r="K76" s="31" t="str">
        <f t="shared" si="27"/>
        <v>AY</v>
      </c>
      <c r="L76" s="33">
        <f t="shared" si="28"/>
        <v>1.4560118334859478</v>
      </c>
      <c r="M76" s="31" t="str">
        <f t="shared" si="29"/>
        <v>Yes</v>
      </c>
      <c r="N76" s="34">
        <f>_xlfn.XLOOKUP(A76,SKUList,SKU_Data!$C$5:$C$154)/_xlfn.XLOOKUP(A76,SKUList,SKU_Data!$D$5:$D$154)</f>
        <v>2.0049605144404334</v>
      </c>
      <c r="O76" s="31" t="str">
        <f>IF(K76=_xlfn.XLOOKUP(A76,SKUList,SKU_Data!$F$5:$F$154),"✓","≠")</f>
        <v>✓</v>
      </c>
    </row>
    <row r="77" spans="1:15" ht="15" x14ac:dyDescent="0.35">
      <c r="A77" s="9" t="str">
        <f>SKU_Data!A77</f>
        <v>21843</v>
      </c>
      <c r="B77" s="9" t="str">
        <f>_xlfn.XLOOKUP(A77,SKUList,SKU_Data!$B$5:$B$154)</f>
        <v>RED RETROSPOT CAKE STAND</v>
      </c>
      <c r="C77" s="27">
        <f>_xlfn.XLOOKUP(A77,SKUList,SKU_Data!$E$5:$E$154)</f>
        <v>17502.87</v>
      </c>
      <c r="D77" s="26">
        <f t="shared" si="20"/>
        <v>73</v>
      </c>
      <c r="E77" s="20">
        <f t="shared" si="21"/>
        <v>0.69024290763183571</v>
      </c>
      <c r="F77" s="31" t="str">
        <f t="shared" si="22"/>
        <v>A</v>
      </c>
      <c r="G77" s="32">
        <f t="shared" si="23"/>
        <v>30.615384615384617</v>
      </c>
      <c r="H77" s="32">
        <f t="shared" si="24"/>
        <v>34.403119925865504</v>
      </c>
      <c r="I77" s="33">
        <f t="shared" si="25"/>
        <v>1.1237199975785215</v>
      </c>
      <c r="J77" s="31" t="str">
        <f t="shared" si="26"/>
        <v>Y</v>
      </c>
      <c r="K77" s="31" t="str">
        <f t="shared" si="27"/>
        <v>AY</v>
      </c>
      <c r="L77" s="33">
        <f t="shared" si="28"/>
        <v>0.95365561326408299</v>
      </c>
      <c r="M77" s="31" t="str">
        <f t="shared" si="29"/>
        <v>No</v>
      </c>
      <c r="N77" s="34">
        <f>_xlfn.XLOOKUP(A77,SKUList,SKU_Data!$C$5:$C$154)/_xlfn.XLOOKUP(A77,SKUList,SKU_Data!$D$5:$D$154)</f>
        <v>10.445318039624608</v>
      </c>
      <c r="O77" s="31" t="str">
        <f>IF(K77=_xlfn.XLOOKUP(A77,SKUList,SKU_Data!$F$5:$F$154),"✓","≠")</f>
        <v>✓</v>
      </c>
    </row>
    <row r="78" spans="1:15" ht="15" x14ac:dyDescent="0.35">
      <c r="A78" s="9" t="str">
        <f>SKU_Data!A78</f>
        <v>22328</v>
      </c>
      <c r="B78" s="9" t="str">
        <f>_xlfn.XLOOKUP(A78,SKUList,SKU_Data!$B$5:$B$154)</f>
        <v>ROUND SNACK BOXES SET OF 4 FRUITS</v>
      </c>
      <c r="C78" s="27">
        <f>_xlfn.XLOOKUP(A78,SKUList,SKU_Data!$E$5:$E$154)</f>
        <v>17157.98</v>
      </c>
      <c r="D78" s="26">
        <f t="shared" si="20"/>
        <v>74</v>
      </c>
      <c r="E78" s="20">
        <f t="shared" si="21"/>
        <v>0.69560394269062442</v>
      </c>
      <c r="F78" s="31" t="str">
        <f t="shared" si="22"/>
        <v>A</v>
      </c>
      <c r="G78" s="32">
        <f t="shared" si="23"/>
        <v>127.57692307692308</v>
      </c>
      <c r="H78" s="32">
        <f t="shared" si="24"/>
        <v>211.13858901380169</v>
      </c>
      <c r="I78" s="33">
        <f t="shared" si="25"/>
        <v>1.6549904475004051</v>
      </c>
      <c r="J78" s="31" t="str">
        <f t="shared" si="26"/>
        <v>Z</v>
      </c>
      <c r="K78" s="31" t="str">
        <f t="shared" si="27"/>
        <v>AZ</v>
      </c>
      <c r="L78" s="33">
        <f t="shared" si="28"/>
        <v>0.88844027034143769</v>
      </c>
      <c r="M78" s="31" t="str">
        <f t="shared" si="29"/>
        <v>No</v>
      </c>
      <c r="N78" s="34">
        <f>_xlfn.XLOOKUP(A78,SKUList,SKU_Data!$C$5:$C$154)/_xlfn.XLOOKUP(A78,SKUList,SKU_Data!$D$5:$D$154)</f>
        <v>2.7834435912581217</v>
      </c>
      <c r="O78" s="31" t="str">
        <f>IF(K78=_xlfn.XLOOKUP(A78,SKUList,SKU_Data!$F$5:$F$154),"✓","≠")</f>
        <v>✓</v>
      </c>
    </row>
    <row r="79" spans="1:15" ht="15" x14ac:dyDescent="0.35">
      <c r="A79" s="9" t="str">
        <f>SKU_Data!A79</f>
        <v>21485</v>
      </c>
      <c r="B79" s="9" t="str">
        <f>_xlfn.XLOOKUP(A79,SKUList,SKU_Data!$B$5:$B$154)</f>
        <v>RETROSPOT HEART HOT WATER BOTTLE</v>
      </c>
      <c r="C79" s="27">
        <f>_xlfn.XLOOKUP(A79,SKUList,SKU_Data!$E$5:$E$154)</f>
        <v>16865.63</v>
      </c>
      <c r="D79" s="26">
        <f t="shared" si="20"/>
        <v>75</v>
      </c>
      <c r="E79" s="20">
        <f t="shared" si="21"/>
        <v>0.70087363257944335</v>
      </c>
      <c r="F79" s="31" t="str">
        <f t="shared" si="22"/>
        <v>A</v>
      </c>
      <c r="G79" s="32">
        <f t="shared" si="23"/>
        <v>64.84615384615384</v>
      </c>
      <c r="H79" s="32">
        <f t="shared" si="24"/>
        <v>97.638064060818493</v>
      </c>
      <c r="I79" s="33">
        <f t="shared" si="25"/>
        <v>1.5056878206294668</v>
      </c>
      <c r="J79" s="31" t="str">
        <f t="shared" si="26"/>
        <v>Z</v>
      </c>
      <c r="K79" s="31" t="str">
        <f t="shared" si="27"/>
        <v>AZ</v>
      </c>
      <c r="L79" s="33">
        <f t="shared" si="28"/>
        <v>2.7127478753541072</v>
      </c>
      <c r="M79" s="31" t="str">
        <f t="shared" si="29"/>
        <v>Yes</v>
      </c>
      <c r="N79" s="34">
        <f>_xlfn.XLOOKUP(A79,SKUList,SKU_Data!$C$5:$C$154)/_xlfn.XLOOKUP(A79,SKUList,SKU_Data!$D$5:$D$154)</f>
        <v>5.0013649764150943</v>
      </c>
      <c r="O79" s="31" t="str">
        <f>IF(K79=_xlfn.XLOOKUP(A79,SKUList,SKU_Data!$F$5:$F$154),"✓","≠")</f>
        <v>✓</v>
      </c>
    </row>
    <row r="80" spans="1:15" ht="15" x14ac:dyDescent="0.35">
      <c r="A80" s="9" t="str">
        <f>SKU_Data!A80</f>
        <v>82486</v>
      </c>
      <c r="B80" s="9" t="str">
        <f>_xlfn.XLOOKUP(A80,SKUList,SKU_Data!$B$5:$B$154)</f>
        <v>WOOD S/3 CABINET ANT WHITE FINISH</v>
      </c>
      <c r="C80" s="27">
        <f>_xlfn.XLOOKUP(A80,SKUList,SKU_Data!$E$5:$E$154)</f>
        <v>16787.04</v>
      </c>
      <c r="D80" s="26">
        <f t="shared" si="20"/>
        <v>76</v>
      </c>
      <c r="E80" s="20">
        <f t="shared" si="21"/>
        <v>0.70611876691188147</v>
      </c>
      <c r="F80" s="31" t="str">
        <f t="shared" si="22"/>
        <v>A</v>
      </c>
      <c r="G80" s="32">
        <f t="shared" si="23"/>
        <v>37.57692307692308</v>
      </c>
      <c r="H80" s="32">
        <f t="shared" si="24"/>
        <v>20.007200815320346</v>
      </c>
      <c r="I80" s="33">
        <f t="shared" si="25"/>
        <v>0.53243318444045951</v>
      </c>
      <c r="J80" s="31" t="str">
        <f t="shared" si="26"/>
        <v>X</v>
      </c>
      <c r="K80" s="31" t="str">
        <f t="shared" si="27"/>
        <v>AX</v>
      </c>
      <c r="L80" s="33">
        <f t="shared" si="28"/>
        <v>1.4714878175220323</v>
      </c>
      <c r="M80" s="31" t="str">
        <f t="shared" si="29"/>
        <v>Yes</v>
      </c>
      <c r="N80" s="34">
        <f>_xlfn.XLOOKUP(A80,SKUList,SKU_Data!$C$5:$C$154)/_xlfn.XLOOKUP(A80,SKUList,SKU_Data!$D$5:$D$154)</f>
        <v>8.5831058358061334</v>
      </c>
      <c r="O80" s="31" t="str">
        <f>IF(K80=_xlfn.XLOOKUP(A80,SKUList,SKU_Data!$F$5:$F$154),"✓","≠")</f>
        <v>✓</v>
      </c>
    </row>
    <row r="81" spans="1:15" ht="15" x14ac:dyDescent="0.35">
      <c r="A81" s="9" t="str">
        <f>SKU_Data!A81</f>
        <v>22384</v>
      </c>
      <c r="B81" s="9" t="str">
        <f>_xlfn.XLOOKUP(A81,SKUList,SKU_Data!$B$5:$B$154)</f>
        <v>LUNCH BAG PINK POLKADOT</v>
      </c>
      <c r="C81" s="27">
        <f>_xlfn.XLOOKUP(A81,SKUList,SKU_Data!$E$5:$E$154)</f>
        <v>16759.91</v>
      </c>
      <c r="D81" s="26">
        <f t="shared" si="20"/>
        <v>77</v>
      </c>
      <c r="E81" s="20">
        <f t="shared" si="21"/>
        <v>0.71135542443754263</v>
      </c>
      <c r="F81" s="31" t="str">
        <f t="shared" si="22"/>
        <v>A</v>
      </c>
      <c r="G81" s="32">
        <f t="shared" si="23"/>
        <v>194.98076923076923</v>
      </c>
      <c r="H81" s="32">
        <f t="shared" si="24"/>
        <v>129.03024275143684</v>
      </c>
      <c r="I81" s="33">
        <f t="shared" si="25"/>
        <v>0.66175881478200183</v>
      </c>
      <c r="J81" s="31" t="str">
        <f t="shared" si="26"/>
        <v>X</v>
      </c>
      <c r="K81" s="31" t="str">
        <f t="shared" si="27"/>
        <v>AX</v>
      </c>
      <c r="L81" s="33">
        <f t="shared" si="28"/>
        <v>0.806537438236412</v>
      </c>
      <c r="M81" s="31" t="str">
        <f t="shared" si="29"/>
        <v>No</v>
      </c>
      <c r="N81" s="34">
        <f>_xlfn.XLOOKUP(A81,SKUList,SKU_Data!$C$5:$C$154)/_xlfn.XLOOKUP(A81,SKUList,SKU_Data!$D$5:$D$154)</f>
        <v>1.6515508696919639</v>
      </c>
      <c r="O81" s="31" t="str">
        <f>IF(K81=_xlfn.XLOOKUP(A81,SKUList,SKU_Data!$F$5:$F$154),"✓","≠")</f>
        <v>✓</v>
      </c>
    </row>
    <row r="82" spans="1:15" ht="15" x14ac:dyDescent="0.35">
      <c r="A82" s="9" t="str">
        <f>SKU_Data!A82</f>
        <v>84997C</v>
      </c>
      <c r="B82" s="9" t="str">
        <f>_xlfn.XLOOKUP(A82,SKUList,SKU_Data!$B$5:$B$154)</f>
        <v>BLUE 3 PIECE MINI DOTS CUTLERY SET</v>
      </c>
      <c r="C82" s="27">
        <f>_xlfn.XLOOKUP(A82,SKUList,SKU_Data!$E$5:$E$154)</f>
        <v>16590.86</v>
      </c>
      <c r="D82" s="26">
        <f t="shared" si="20"/>
        <v>78</v>
      </c>
      <c r="E82" s="20">
        <f t="shared" si="21"/>
        <v>0.71653926205219498</v>
      </c>
      <c r="F82" s="31" t="str">
        <f t="shared" si="22"/>
        <v>A</v>
      </c>
      <c r="G82" s="32">
        <f t="shared" si="23"/>
        <v>77.442307692307693</v>
      </c>
      <c r="H82" s="32">
        <f t="shared" si="24"/>
        <v>85.901086176688366</v>
      </c>
      <c r="I82" s="33">
        <f t="shared" si="25"/>
        <v>1.1092268391328024</v>
      </c>
      <c r="J82" s="31" t="str">
        <f t="shared" si="26"/>
        <v>Y</v>
      </c>
      <c r="K82" s="31" t="str">
        <f t="shared" si="27"/>
        <v>AY</v>
      </c>
      <c r="L82" s="33">
        <f t="shared" si="28"/>
        <v>1.2921805300446079</v>
      </c>
      <c r="M82" s="31" t="str">
        <f t="shared" si="29"/>
        <v>No</v>
      </c>
      <c r="N82" s="34">
        <f>_xlfn.XLOOKUP(A82,SKUList,SKU_Data!$C$5:$C$154)/_xlfn.XLOOKUP(A82,SKUList,SKU_Data!$D$5:$D$154)</f>
        <v>4.1199131082423035</v>
      </c>
      <c r="O82" s="31" t="str">
        <f>IF(K82=_xlfn.XLOOKUP(A82,SKUList,SKU_Data!$F$5:$F$154),"✓","≠")</f>
        <v>✓</v>
      </c>
    </row>
    <row r="83" spans="1:15" ht="15" x14ac:dyDescent="0.35">
      <c r="A83" s="9" t="str">
        <f>SKU_Data!A83</f>
        <v>22492</v>
      </c>
      <c r="B83" s="9" t="str">
        <f>_xlfn.XLOOKUP(A83,SKUList,SKU_Data!$B$5:$B$154)</f>
        <v>MINI PAINT SET VINTAGE</v>
      </c>
      <c r="C83" s="27">
        <f>_xlfn.XLOOKUP(A83,SKUList,SKU_Data!$E$5:$E$154)</f>
        <v>16531.95</v>
      </c>
      <c r="D83" s="26">
        <f t="shared" si="20"/>
        <v>79</v>
      </c>
      <c r="E83" s="20">
        <f t="shared" si="21"/>
        <v>0.7217046931542328</v>
      </c>
      <c r="F83" s="31" t="str">
        <f t="shared" si="22"/>
        <v>A</v>
      </c>
      <c r="G83" s="32">
        <f t="shared" si="23"/>
        <v>500.53846153846155</v>
      </c>
      <c r="H83" s="32">
        <f t="shared" si="24"/>
        <v>416.9279084501847</v>
      </c>
      <c r="I83" s="33">
        <f t="shared" si="25"/>
        <v>0.83295878436336268</v>
      </c>
      <c r="J83" s="31" t="str">
        <f t="shared" si="26"/>
        <v>Y</v>
      </c>
      <c r="K83" s="31" t="str">
        <f t="shared" si="27"/>
        <v>AY</v>
      </c>
      <c r="L83" s="33">
        <f t="shared" si="28"/>
        <v>1.7242951548206507</v>
      </c>
      <c r="M83" s="31" t="str">
        <f t="shared" si="29"/>
        <v>Yes</v>
      </c>
      <c r="N83" s="34">
        <f>_xlfn.XLOOKUP(A83,SKUList,SKU_Data!$C$5:$C$154)/_xlfn.XLOOKUP(A83,SKUList,SKU_Data!$D$5:$D$154)</f>
        <v>0.6352711256863941</v>
      </c>
      <c r="O83" s="31" t="str">
        <f>IF(K83=_xlfn.XLOOKUP(A83,SKUList,SKU_Data!$F$5:$F$154),"✓","≠")</f>
        <v>✓</v>
      </c>
    </row>
    <row r="84" spans="1:15" ht="15" x14ac:dyDescent="0.35">
      <c r="A84" s="9" t="str">
        <f>SKU_Data!A84</f>
        <v>21754</v>
      </c>
      <c r="B84" s="9" t="str">
        <f>_xlfn.XLOOKUP(A84,SKUList,SKU_Data!$B$5:$B$154)</f>
        <v>HOME BUILDING BLOCK WORD</v>
      </c>
      <c r="C84" s="27">
        <f>_xlfn.XLOOKUP(A84,SKUList,SKU_Data!$E$5:$E$154)</f>
        <v>16527.84</v>
      </c>
      <c r="D84" s="26">
        <f t="shared" si="20"/>
        <v>80</v>
      </c>
      <c r="E84" s="20">
        <f t="shared" si="21"/>
        <v>0.72686884008097175</v>
      </c>
      <c r="F84" s="31" t="str">
        <f t="shared" si="22"/>
        <v>A</v>
      </c>
      <c r="G84" s="32">
        <f t="shared" si="23"/>
        <v>52</v>
      </c>
      <c r="H84" s="32">
        <f t="shared" si="24"/>
        <v>28.673961680091793</v>
      </c>
      <c r="I84" s="33">
        <f t="shared" si="25"/>
        <v>0.55142234000176527</v>
      </c>
      <c r="J84" s="31" t="str">
        <f t="shared" si="26"/>
        <v>X</v>
      </c>
      <c r="K84" s="31" t="str">
        <f t="shared" si="27"/>
        <v>AX</v>
      </c>
      <c r="L84" s="33">
        <f t="shared" si="28"/>
        <v>1.4413589364844903</v>
      </c>
      <c r="M84" s="31" t="str">
        <f t="shared" si="29"/>
        <v>Yes</v>
      </c>
      <c r="N84" s="34">
        <f>_xlfn.XLOOKUP(A84,SKUList,SKU_Data!$C$5:$C$154)/_xlfn.XLOOKUP(A84,SKUList,SKU_Data!$D$5:$D$154)</f>
        <v>6.1110279001468424</v>
      </c>
      <c r="O84" s="31" t="str">
        <f>IF(K84=_xlfn.XLOOKUP(A84,SKUList,SKU_Data!$F$5:$F$154),"✓","≠")</f>
        <v>✓</v>
      </c>
    </row>
    <row r="85" spans="1:15" ht="15" x14ac:dyDescent="0.35">
      <c r="A85" s="9" t="str">
        <f>SKU_Data!A85</f>
        <v>22077</v>
      </c>
      <c r="B85" s="9" t="str">
        <f>_xlfn.XLOOKUP(A85,SKUList,SKU_Data!$B$5:$B$154)</f>
        <v>6 RIBBONS RUSTIC CHARM</v>
      </c>
      <c r="C85" s="27">
        <f>_xlfn.XLOOKUP(A85,SKUList,SKU_Data!$E$5:$E$154)</f>
        <v>16522.099999999999</v>
      </c>
      <c r="D85" s="26">
        <f t="shared" si="20"/>
        <v>81</v>
      </c>
      <c r="E85" s="20">
        <f t="shared" si="21"/>
        <v>0.73203119353661239</v>
      </c>
      <c r="F85" s="31" t="str">
        <f t="shared" si="22"/>
        <v>A</v>
      </c>
      <c r="G85" s="32">
        <f t="shared" si="23"/>
        <v>170.59615384615384</v>
      </c>
      <c r="H85" s="32">
        <f t="shared" si="24"/>
        <v>98.97756917909895</v>
      </c>
      <c r="I85" s="33">
        <f t="shared" si="25"/>
        <v>0.58018640483746431</v>
      </c>
      <c r="J85" s="31" t="str">
        <f t="shared" si="26"/>
        <v>X</v>
      </c>
      <c r="K85" s="31" t="str">
        <f t="shared" si="27"/>
        <v>AX</v>
      </c>
      <c r="L85" s="33">
        <f t="shared" si="28"/>
        <v>2.1307749627421759</v>
      </c>
      <c r="M85" s="31" t="str">
        <f t="shared" si="29"/>
        <v>Yes</v>
      </c>
      <c r="N85" s="34">
        <f>_xlfn.XLOOKUP(A85,SKUList,SKU_Data!$C$5:$C$154)/_xlfn.XLOOKUP(A85,SKUList,SKU_Data!$D$5:$D$154)</f>
        <v>1.8616732172936554</v>
      </c>
      <c r="O85" s="31" t="str">
        <f>IF(K85=_xlfn.XLOOKUP(A85,SKUList,SKU_Data!$F$5:$F$154),"✓","≠")</f>
        <v>✓</v>
      </c>
    </row>
    <row r="86" spans="1:15" ht="15" x14ac:dyDescent="0.35">
      <c r="A86" s="9" t="str">
        <f>SKU_Data!A86</f>
        <v>22385</v>
      </c>
      <c r="B86" s="9" t="str">
        <f>_xlfn.XLOOKUP(A86,SKUList,SKU_Data!$B$5:$B$154)</f>
        <v>JUMBO BAG SPACEBOY DESIGN</v>
      </c>
      <c r="C86" s="27">
        <f>_xlfn.XLOOKUP(A86,SKUList,SKU_Data!$E$5:$E$154)</f>
        <v>16133.32</v>
      </c>
      <c r="D86" s="26">
        <f t="shared" si="20"/>
        <v>82</v>
      </c>
      <c r="E86" s="20">
        <f t="shared" si="21"/>
        <v>0.7370720721327324</v>
      </c>
      <c r="F86" s="31" t="str">
        <f t="shared" si="22"/>
        <v>A</v>
      </c>
      <c r="G86" s="32">
        <f t="shared" si="23"/>
        <v>157.48076923076923</v>
      </c>
      <c r="H86" s="32">
        <f t="shared" si="24"/>
        <v>132.67304503111419</v>
      </c>
      <c r="I86" s="33">
        <f t="shared" si="25"/>
        <v>0.84247140574159696</v>
      </c>
      <c r="J86" s="31" t="str">
        <f t="shared" si="26"/>
        <v>Y</v>
      </c>
      <c r="K86" s="31" t="str">
        <f t="shared" si="27"/>
        <v>AY</v>
      </c>
      <c r="L86" s="33">
        <f t="shared" si="28"/>
        <v>1.3256328676165445</v>
      </c>
      <c r="M86" s="31" t="str">
        <f t="shared" si="29"/>
        <v>Yes</v>
      </c>
      <c r="N86" s="34">
        <f>_xlfn.XLOOKUP(A86,SKUList,SKU_Data!$C$5:$C$154)/_xlfn.XLOOKUP(A86,SKUList,SKU_Data!$D$5:$D$154)</f>
        <v>1.9680341880341878</v>
      </c>
      <c r="O86" s="31" t="str">
        <f>IF(K86=_xlfn.XLOOKUP(A86,SKUList,SKU_Data!$F$5:$F$154),"✓","≠")</f>
        <v>✓</v>
      </c>
    </row>
    <row r="87" spans="1:15" ht="15" x14ac:dyDescent="0.35">
      <c r="A87" s="9" t="str">
        <f>SKU_Data!A87</f>
        <v>82583</v>
      </c>
      <c r="B87" s="9" t="str">
        <f>_xlfn.XLOOKUP(A87,SKUList,SKU_Data!$B$5:$B$154)</f>
        <v>HOT BATHS METAL SIGN</v>
      </c>
      <c r="C87" s="27">
        <f>_xlfn.XLOOKUP(A87,SKUList,SKU_Data!$E$5:$E$154)</f>
        <v>16001.53</v>
      </c>
      <c r="D87" s="26">
        <f t="shared" si="20"/>
        <v>83</v>
      </c>
      <c r="E87" s="20">
        <f t="shared" si="21"/>
        <v>0.74207177275741298</v>
      </c>
      <c r="F87" s="31" t="str">
        <f t="shared" si="22"/>
        <v>A</v>
      </c>
      <c r="G87" s="32">
        <f t="shared" si="23"/>
        <v>132.86538461538461</v>
      </c>
      <c r="H87" s="32">
        <f t="shared" si="24"/>
        <v>135.3621183788361</v>
      </c>
      <c r="I87" s="33">
        <f t="shared" si="25"/>
        <v>1.0187914540019507</v>
      </c>
      <c r="J87" s="31" t="str">
        <f t="shared" si="26"/>
        <v>Y</v>
      </c>
      <c r="K87" s="31" t="str">
        <f t="shared" si="27"/>
        <v>AY</v>
      </c>
      <c r="L87" s="33">
        <f t="shared" si="28"/>
        <v>1.3052831029870706</v>
      </c>
      <c r="M87" s="31" t="str">
        <f t="shared" si="29"/>
        <v>Yes</v>
      </c>
      <c r="N87" s="34">
        <f>_xlfn.XLOOKUP(A87,SKUList,SKU_Data!$C$5:$C$154)/_xlfn.XLOOKUP(A87,SKUList,SKU_Data!$D$5:$D$154)</f>
        <v>2.3112720240653202</v>
      </c>
      <c r="O87" s="31" t="str">
        <f>IF(K87=_xlfn.XLOOKUP(A87,SKUList,SKU_Data!$F$5:$F$154),"✓","≠")</f>
        <v>✓</v>
      </c>
    </row>
    <row r="88" spans="1:15" ht="15" x14ac:dyDescent="0.35">
      <c r="A88" s="9" t="str">
        <f>SKU_Data!A88</f>
        <v>15056BL</v>
      </c>
      <c r="B88" s="9" t="str">
        <f>_xlfn.XLOOKUP(A88,SKUList,SKU_Data!$B$5:$B$154)</f>
        <v>EDWARDIAN PARASOL BLACK</v>
      </c>
      <c r="C88" s="27">
        <f>_xlfn.XLOOKUP(A88,SKUList,SKU_Data!$E$5:$E$154)</f>
        <v>15835.43</v>
      </c>
      <c r="D88" s="26">
        <f t="shared" si="20"/>
        <v>84</v>
      </c>
      <c r="E88" s="20">
        <f t="shared" si="21"/>
        <v>0.7470195752027472</v>
      </c>
      <c r="F88" s="31" t="str">
        <f t="shared" si="22"/>
        <v>A</v>
      </c>
      <c r="G88" s="32">
        <f t="shared" si="23"/>
        <v>54.730769230769234</v>
      </c>
      <c r="H88" s="32">
        <f t="shared" si="24"/>
        <v>50.759376757486365</v>
      </c>
      <c r="I88" s="33">
        <f t="shared" si="25"/>
        <v>0.92743766387536575</v>
      </c>
      <c r="J88" s="31" t="str">
        <f t="shared" si="26"/>
        <v>Y</v>
      </c>
      <c r="K88" s="31" t="str">
        <f t="shared" si="27"/>
        <v>AY</v>
      </c>
      <c r="L88" s="33">
        <f t="shared" si="28"/>
        <v>1.4399838340293682</v>
      </c>
      <c r="M88" s="31" t="str">
        <f t="shared" si="29"/>
        <v>Yes</v>
      </c>
      <c r="N88" s="34">
        <f>_xlfn.XLOOKUP(A88,SKUList,SKU_Data!$C$5:$C$154)/_xlfn.XLOOKUP(A88,SKUList,SKU_Data!$D$5:$D$154)</f>
        <v>5.7273185689948898</v>
      </c>
      <c r="O88" s="31" t="str">
        <f>IF(K88=_xlfn.XLOOKUP(A88,SKUList,SKU_Data!$F$5:$F$154),"✓","≠")</f>
        <v>✓</v>
      </c>
    </row>
    <row r="89" spans="1:15" ht="15" x14ac:dyDescent="0.35">
      <c r="A89" s="9" t="str">
        <f>SKU_Data!A89</f>
        <v>20719</v>
      </c>
      <c r="B89" s="9" t="str">
        <f>_xlfn.XLOOKUP(A89,SKUList,SKU_Data!$B$5:$B$154)</f>
        <v>WOODLAND CHARLOTTE BAG</v>
      </c>
      <c r="C89" s="27">
        <f>_xlfn.XLOOKUP(A89,SKUList,SKU_Data!$E$5:$E$154)</f>
        <v>15722.6</v>
      </c>
      <c r="D89" s="26">
        <f t="shared" si="20"/>
        <v>85</v>
      </c>
      <c r="E89" s="20">
        <f t="shared" si="21"/>
        <v>0.75193212375539209</v>
      </c>
      <c r="F89" s="31" t="str">
        <f t="shared" si="22"/>
        <v>A</v>
      </c>
      <c r="G89" s="32">
        <f t="shared" si="23"/>
        <v>242.34615384615384</v>
      </c>
      <c r="H89" s="32">
        <f t="shared" si="24"/>
        <v>125.06968796499869</v>
      </c>
      <c r="I89" s="33">
        <f t="shared" si="25"/>
        <v>0.51607869974447962</v>
      </c>
      <c r="J89" s="31" t="str">
        <f t="shared" si="26"/>
        <v>X</v>
      </c>
      <c r="K89" s="31" t="str">
        <f t="shared" si="27"/>
        <v>AX</v>
      </c>
      <c r="L89" s="33">
        <f t="shared" si="28"/>
        <v>1.2051799529095193</v>
      </c>
      <c r="M89" s="31" t="str">
        <f t="shared" si="29"/>
        <v>No</v>
      </c>
      <c r="N89" s="34">
        <f>_xlfn.XLOOKUP(A89,SKUList,SKU_Data!$C$5:$C$154)/_xlfn.XLOOKUP(A89,SKUList,SKU_Data!$D$5:$D$154)</f>
        <v>1.2435110901368569</v>
      </c>
      <c r="O89" s="31" t="str">
        <f>IF(K89=_xlfn.XLOOKUP(A89,SKUList,SKU_Data!$F$5:$F$154),"✓","≠")</f>
        <v>✓</v>
      </c>
    </row>
    <row r="90" spans="1:15" ht="15" x14ac:dyDescent="0.35">
      <c r="A90" s="9" t="str">
        <f>SKU_Data!A90</f>
        <v>84978</v>
      </c>
      <c r="B90" s="9" t="str">
        <f>_xlfn.XLOOKUP(A90,SKUList,SKU_Data!$B$5:$B$154)</f>
        <v>HANGING HEART JAR T-LIGHT HOLDER</v>
      </c>
      <c r="C90" s="27">
        <f>_xlfn.XLOOKUP(A90,SKUList,SKU_Data!$E$5:$E$154)</f>
        <v>15719.88</v>
      </c>
      <c r="D90" s="26">
        <f t="shared" si="20"/>
        <v>86</v>
      </c>
      <c r="E90" s="20">
        <f t="shared" si="21"/>
        <v>0.75684382244019943</v>
      </c>
      <c r="F90" s="31" t="str">
        <f t="shared" si="22"/>
        <v>A</v>
      </c>
      <c r="G90" s="32">
        <f t="shared" si="23"/>
        <v>229.30769230769232</v>
      </c>
      <c r="H90" s="32">
        <f t="shared" si="24"/>
        <v>134.35489124856332</v>
      </c>
      <c r="I90" s="33">
        <f t="shared" si="25"/>
        <v>0.58591532580722006</v>
      </c>
      <c r="J90" s="31" t="str">
        <f t="shared" si="26"/>
        <v>X</v>
      </c>
      <c r="K90" s="31" t="str">
        <f t="shared" si="27"/>
        <v>AX</v>
      </c>
      <c r="L90" s="33">
        <f t="shared" si="28"/>
        <v>0.79044353974716097</v>
      </c>
      <c r="M90" s="31" t="str">
        <f t="shared" si="29"/>
        <v>No</v>
      </c>
      <c r="N90" s="34">
        <f>_xlfn.XLOOKUP(A90,SKUList,SKU_Data!$C$5:$C$154)/_xlfn.XLOOKUP(A90,SKUList,SKU_Data!$D$5:$D$154)</f>
        <v>1.3164602794081177</v>
      </c>
      <c r="O90" s="31" t="str">
        <f>IF(K90=_xlfn.XLOOKUP(A90,SKUList,SKU_Data!$F$5:$F$154),"✓","≠")</f>
        <v>✓</v>
      </c>
    </row>
    <row r="91" spans="1:15" ht="15" x14ac:dyDescent="0.35">
      <c r="A91" s="9" t="str">
        <f>SKU_Data!A91</f>
        <v>71477</v>
      </c>
      <c r="B91" s="9" t="str">
        <f>_xlfn.XLOOKUP(A91,SKUList,SKU_Data!$B$5:$B$154)</f>
        <v>COLOUR GLASS. STAR T-LIGHT HOLDER</v>
      </c>
      <c r="C91" s="27">
        <f>_xlfn.XLOOKUP(A91,SKUList,SKU_Data!$E$5:$E$154)</f>
        <v>15596.11</v>
      </c>
      <c r="D91" s="26">
        <f t="shared" si="20"/>
        <v>87</v>
      </c>
      <c r="E91" s="20">
        <f t="shared" si="21"/>
        <v>0.76171684901388259</v>
      </c>
      <c r="F91" s="31" t="str">
        <f t="shared" si="22"/>
        <v>A</v>
      </c>
      <c r="G91" s="32">
        <f t="shared" si="23"/>
        <v>103.17307692307692</v>
      </c>
      <c r="H91" s="32">
        <f t="shared" si="24"/>
        <v>164.31792726820606</v>
      </c>
      <c r="I91" s="33">
        <f t="shared" si="25"/>
        <v>1.5926434702603385</v>
      </c>
      <c r="J91" s="31" t="str">
        <f t="shared" si="26"/>
        <v>Z</v>
      </c>
      <c r="K91" s="31" t="str">
        <f t="shared" si="27"/>
        <v>AZ</v>
      </c>
      <c r="L91" s="33">
        <f t="shared" si="28"/>
        <v>2.7824267782426779</v>
      </c>
      <c r="M91" s="31" t="str">
        <f t="shared" si="29"/>
        <v>Yes</v>
      </c>
      <c r="N91" s="34">
        <f>_xlfn.XLOOKUP(A91,SKUList,SKU_Data!$C$5:$C$154)/_xlfn.XLOOKUP(A91,SKUList,SKU_Data!$D$5:$D$154)</f>
        <v>3.012648985460936</v>
      </c>
      <c r="O91" s="31" t="str">
        <f>IF(K91=_xlfn.XLOOKUP(A91,SKUList,SKU_Data!$F$5:$F$154),"✓","≠")</f>
        <v>✓</v>
      </c>
    </row>
    <row r="92" spans="1:15" ht="15" x14ac:dyDescent="0.35">
      <c r="A92" s="9" t="str">
        <f>SKU_Data!A92</f>
        <v>22624</v>
      </c>
      <c r="B92" s="9" t="str">
        <f>_xlfn.XLOOKUP(A92,SKUList,SKU_Data!$B$5:$B$154)</f>
        <v>IVORY KITCHEN SCALES</v>
      </c>
      <c r="C92" s="27">
        <f>_xlfn.XLOOKUP(A92,SKUList,SKU_Data!$E$5:$E$154)</f>
        <v>15585.22</v>
      </c>
      <c r="D92" s="26">
        <f t="shared" si="20"/>
        <v>88</v>
      </c>
      <c r="E92" s="20">
        <f t="shared" si="21"/>
        <v>0.76658647299170135</v>
      </c>
      <c r="F92" s="31" t="str">
        <f t="shared" si="22"/>
        <v>A</v>
      </c>
      <c r="G92" s="32">
        <f t="shared" si="23"/>
        <v>34.615384615384613</v>
      </c>
      <c r="H92" s="32">
        <f t="shared" si="24"/>
        <v>24.651415936864716</v>
      </c>
      <c r="I92" s="33">
        <f t="shared" si="25"/>
        <v>0.71215201595386957</v>
      </c>
      <c r="J92" s="31" t="str">
        <f t="shared" si="26"/>
        <v>X</v>
      </c>
      <c r="K92" s="31" t="str">
        <f t="shared" si="27"/>
        <v>AX</v>
      </c>
      <c r="L92" s="33">
        <f t="shared" si="28"/>
        <v>2.0535211267605638</v>
      </c>
      <c r="M92" s="31" t="str">
        <f t="shared" si="29"/>
        <v>Yes</v>
      </c>
      <c r="N92" s="34">
        <f>_xlfn.XLOOKUP(A92,SKUList,SKU_Data!$C$5:$C$154)/_xlfn.XLOOKUP(A92,SKUList,SKU_Data!$D$5:$D$154)</f>
        <v>8.6532305998899286</v>
      </c>
      <c r="O92" s="31" t="str">
        <f>IF(K92=_xlfn.XLOOKUP(A92,SKUList,SKU_Data!$F$5:$F$154),"✓","≠")</f>
        <v>✓</v>
      </c>
    </row>
    <row r="93" spans="1:15" ht="15" x14ac:dyDescent="0.35">
      <c r="A93" s="9" t="str">
        <f>SKU_Data!A93</f>
        <v>22379</v>
      </c>
      <c r="B93" s="9" t="str">
        <f>_xlfn.XLOOKUP(A93,SKUList,SKU_Data!$B$5:$B$154)</f>
        <v>RECYCLING BAG RETROSPOT</v>
      </c>
      <c r="C93" s="27">
        <f>_xlfn.XLOOKUP(A93,SKUList,SKU_Data!$E$5:$E$154)</f>
        <v>15418.04</v>
      </c>
      <c r="D93" s="26">
        <f t="shared" si="20"/>
        <v>89</v>
      </c>
      <c r="E93" s="20">
        <f t="shared" si="21"/>
        <v>0.77140386134264971</v>
      </c>
      <c r="F93" s="31" t="str">
        <f t="shared" si="22"/>
        <v>A</v>
      </c>
      <c r="G93" s="32">
        <f t="shared" si="23"/>
        <v>131.55769230769232</v>
      </c>
      <c r="H93" s="32">
        <f t="shared" si="24"/>
        <v>144.31629389908201</v>
      </c>
      <c r="I93" s="33">
        <f t="shared" si="25"/>
        <v>1.0969810382622809</v>
      </c>
      <c r="J93" s="31" t="str">
        <f t="shared" si="26"/>
        <v>Y</v>
      </c>
      <c r="K93" s="31" t="str">
        <f t="shared" si="27"/>
        <v>AY</v>
      </c>
      <c r="L93" s="33">
        <f t="shared" si="28"/>
        <v>1.471919221698113</v>
      </c>
      <c r="M93" s="31" t="str">
        <f t="shared" si="29"/>
        <v>Yes</v>
      </c>
      <c r="N93" s="34">
        <f>_xlfn.XLOOKUP(A93,SKUList,SKU_Data!$C$5:$C$154)/_xlfn.XLOOKUP(A93,SKUList,SKU_Data!$D$5:$D$154)</f>
        <v>2.2511077279976801</v>
      </c>
      <c r="O93" s="31" t="str">
        <f>IF(K93=_xlfn.XLOOKUP(A93,SKUList,SKU_Data!$F$5:$F$154),"✓","≠")</f>
        <v>✓</v>
      </c>
    </row>
    <row r="94" spans="1:15" ht="15" x14ac:dyDescent="0.35">
      <c r="A94" s="9" t="str">
        <f>SKU_Data!A94</f>
        <v>84029G</v>
      </c>
      <c r="B94" s="9" t="str">
        <f>_xlfn.XLOOKUP(A94,SKUList,SKU_Data!$B$5:$B$154)</f>
        <v>KNITTED UNION FLAG HOT WATER BOTTLE</v>
      </c>
      <c r="C94" s="27">
        <f>_xlfn.XLOOKUP(A94,SKUList,SKU_Data!$E$5:$E$154)</f>
        <v>15417.74</v>
      </c>
      <c r="D94" s="26">
        <f t="shared" si="20"/>
        <v>90</v>
      </c>
      <c r="E94" s="20">
        <f t="shared" si="21"/>
        <v>0.77622115595817498</v>
      </c>
      <c r="F94" s="31" t="str">
        <f t="shared" si="22"/>
        <v>A</v>
      </c>
      <c r="G94" s="32">
        <f t="shared" si="23"/>
        <v>62.67307692307692</v>
      </c>
      <c r="H94" s="32">
        <f t="shared" si="24"/>
        <v>111.5369843091442</v>
      </c>
      <c r="I94" s="33">
        <f t="shared" si="25"/>
        <v>1.7796634501612454</v>
      </c>
      <c r="J94" s="31" t="str">
        <f t="shared" si="26"/>
        <v>Z</v>
      </c>
      <c r="K94" s="31" t="str">
        <f t="shared" si="27"/>
        <v>AZ</v>
      </c>
      <c r="L94" s="33">
        <f t="shared" si="28"/>
        <v>2.9187930336168488</v>
      </c>
      <c r="M94" s="31" t="str">
        <f t="shared" si="29"/>
        <v>Yes</v>
      </c>
      <c r="N94" s="34">
        <f>_xlfn.XLOOKUP(A94,SKUList,SKU_Data!$C$5:$C$154)/_xlfn.XLOOKUP(A94,SKUList,SKU_Data!$D$5:$D$154)</f>
        <v>4.7283043079743354</v>
      </c>
      <c r="O94" s="31" t="str">
        <f>IF(K94=_xlfn.XLOOKUP(A94,SKUList,SKU_Data!$F$5:$F$154),"✓","≠")</f>
        <v>✓</v>
      </c>
    </row>
    <row r="95" spans="1:15" ht="15" x14ac:dyDescent="0.35">
      <c r="A95" s="9" t="str">
        <f>SKU_Data!A95</f>
        <v>21232</v>
      </c>
      <c r="B95" s="9" t="str">
        <f>_xlfn.XLOOKUP(A95,SKUList,SKU_Data!$B$5:$B$154)</f>
        <v>STRAWBERRY CERAMIC TRINKET BOX</v>
      </c>
      <c r="C95" s="27">
        <f>_xlfn.XLOOKUP(A95,SKUList,SKU_Data!$E$5:$E$154)</f>
        <v>15121.38</v>
      </c>
      <c r="D95" s="26">
        <f t="shared" si="20"/>
        <v>91</v>
      </c>
      <c r="E95" s="20">
        <f t="shared" si="21"/>
        <v>0.78094585247357273</v>
      </c>
      <c r="F95" s="31" t="str">
        <f t="shared" si="22"/>
        <v>A</v>
      </c>
      <c r="G95" s="32">
        <f t="shared" si="23"/>
        <v>211.11538461538461</v>
      </c>
      <c r="H95" s="32">
        <f t="shared" si="24"/>
        <v>164.17239311356059</v>
      </c>
      <c r="I95" s="33">
        <f t="shared" si="25"/>
        <v>0.77764296246175535</v>
      </c>
      <c r="J95" s="31" t="str">
        <f t="shared" si="26"/>
        <v>Y</v>
      </c>
      <c r="K95" s="31" t="str">
        <f t="shared" si="27"/>
        <v>AY</v>
      </c>
      <c r="L95" s="33">
        <f t="shared" si="28"/>
        <v>1.6705236381685071</v>
      </c>
      <c r="M95" s="31" t="str">
        <f t="shared" si="29"/>
        <v>Yes</v>
      </c>
      <c r="N95" s="34">
        <f>_xlfn.XLOOKUP(A95,SKUList,SKU_Data!$C$5:$C$154)/_xlfn.XLOOKUP(A95,SKUList,SKU_Data!$D$5:$D$154)</f>
        <v>1.3697641467922204</v>
      </c>
      <c r="O95" s="31" t="str">
        <f>IF(K95=_xlfn.XLOOKUP(A95,SKUList,SKU_Data!$F$5:$F$154),"✓","≠")</f>
        <v>✓</v>
      </c>
    </row>
    <row r="96" spans="1:15" ht="15" x14ac:dyDescent="0.35">
      <c r="A96" s="9" t="str">
        <f>SKU_Data!A96</f>
        <v>22084</v>
      </c>
      <c r="B96" s="9" t="str">
        <f>_xlfn.XLOOKUP(A96,SKUList,SKU_Data!$B$5:$B$154)</f>
        <v>PAPER CHAIN KIT EMPIRE</v>
      </c>
      <c r="C96" s="27">
        <f>_xlfn.XLOOKUP(A96,SKUList,SKU_Data!$E$5:$E$154)</f>
        <v>14948.92</v>
      </c>
      <c r="D96" s="26">
        <f t="shared" si="20"/>
        <v>92</v>
      </c>
      <c r="E96" s="20">
        <f t="shared" si="21"/>
        <v>0.78561666361865079</v>
      </c>
      <c r="F96" s="31" t="str">
        <f t="shared" si="22"/>
        <v>A</v>
      </c>
      <c r="G96" s="32">
        <f t="shared" si="23"/>
        <v>98.65384615384616</v>
      </c>
      <c r="H96" s="32">
        <f t="shared" si="24"/>
        <v>189.0374882019473</v>
      </c>
      <c r="I96" s="33">
        <f t="shared" si="25"/>
        <v>1.9161694710528769</v>
      </c>
      <c r="J96" s="31" t="str">
        <f t="shared" si="26"/>
        <v>Z</v>
      </c>
      <c r="K96" s="31" t="str">
        <f t="shared" si="27"/>
        <v>AZ</v>
      </c>
      <c r="L96" s="33">
        <f t="shared" si="28"/>
        <v>0.63034337771548699</v>
      </c>
      <c r="M96" s="31" t="str">
        <f t="shared" si="29"/>
        <v>No</v>
      </c>
      <c r="N96" s="34">
        <f>_xlfn.XLOOKUP(A96,SKUList,SKU_Data!$C$5:$C$154)/_xlfn.XLOOKUP(A96,SKUList,SKU_Data!$D$5:$D$154)</f>
        <v>2.9122034224187656</v>
      </c>
      <c r="O96" s="31" t="str">
        <f>IF(K96=_xlfn.XLOOKUP(A96,SKUList,SKU_Data!$F$5:$F$154),"✓","≠")</f>
        <v>✓</v>
      </c>
    </row>
    <row r="97" spans="1:15" ht="15" x14ac:dyDescent="0.35">
      <c r="A97" s="9" t="str">
        <f>SKU_Data!A97</f>
        <v>84078A</v>
      </c>
      <c r="B97" s="9" t="str">
        <f>_xlfn.XLOOKUP(A97,SKUList,SKU_Data!$B$5:$B$154)</f>
        <v>SET/4 WHITE RETRO STORAGE CUBES</v>
      </c>
      <c r="C97" s="27">
        <f>_xlfn.XLOOKUP(A97,SKUList,SKU_Data!$E$5:$E$154)</f>
        <v>14896.96</v>
      </c>
      <c r="D97" s="26">
        <f t="shared" si="20"/>
        <v>93</v>
      </c>
      <c r="E97" s="20">
        <f t="shared" si="21"/>
        <v>0.79027123978841973</v>
      </c>
      <c r="F97" s="31" t="str">
        <f t="shared" si="22"/>
        <v>A</v>
      </c>
      <c r="G97" s="32">
        <f t="shared" si="23"/>
        <v>7.4038461538461542</v>
      </c>
      <c r="H97" s="32">
        <f t="shared" si="24"/>
        <v>8.8478636291139043</v>
      </c>
      <c r="I97" s="33">
        <f t="shared" si="25"/>
        <v>1.1950361265296701</v>
      </c>
      <c r="J97" s="31" t="str">
        <f t="shared" si="26"/>
        <v>Y</v>
      </c>
      <c r="K97" s="31" t="str">
        <f t="shared" si="27"/>
        <v>AY</v>
      </c>
      <c r="L97" s="33">
        <f t="shared" si="28"/>
        <v>1.5371367061356298</v>
      </c>
      <c r="M97" s="31" t="str">
        <f t="shared" si="29"/>
        <v>Yes</v>
      </c>
      <c r="N97" s="34">
        <f>_xlfn.XLOOKUP(A97,SKUList,SKU_Data!$C$5:$C$154)/_xlfn.XLOOKUP(A97,SKUList,SKU_Data!$D$5:$D$154)</f>
        <v>39.378560975609751</v>
      </c>
      <c r="O97" s="31" t="str">
        <f>IF(K97=_xlfn.XLOOKUP(A97,SKUList,SKU_Data!$F$5:$F$154),"✓","≠")</f>
        <v>✓</v>
      </c>
    </row>
    <row r="98" spans="1:15" ht="15" x14ac:dyDescent="0.35">
      <c r="A98" s="9" t="str">
        <f>SKU_Data!A98</f>
        <v>22507</v>
      </c>
      <c r="B98" s="9" t="str">
        <f>_xlfn.XLOOKUP(A98,SKUList,SKU_Data!$B$5:$B$154)</f>
        <v>MEMO BOARD RETROSPOT  DESIGN</v>
      </c>
      <c r="C98" s="27">
        <f>_xlfn.XLOOKUP(A98,SKUList,SKU_Data!$E$5:$E$154)</f>
        <v>13875.52</v>
      </c>
      <c r="D98" s="26">
        <f t="shared" si="20"/>
        <v>94</v>
      </c>
      <c r="E98" s="20">
        <f t="shared" si="21"/>
        <v>0.79460666558906312</v>
      </c>
      <c r="F98" s="31" t="str">
        <f t="shared" si="22"/>
        <v>A</v>
      </c>
      <c r="G98" s="32">
        <f t="shared" si="23"/>
        <v>56.153846153846153</v>
      </c>
      <c r="H98" s="32">
        <f t="shared" si="24"/>
        <v>90.04233963027346</v>
      </c>
      <c r="I98" s="33">
        <f t="shared" si="25"/>
        <v>1.6034937194432259</v>
      </c>
      <c r="J98" s="31" t="str">
        <f t="shared" si="26"/>
        <v>Z</v>
      </c>
      <c r="K98" s="31" t="str">
        <f t="shared" si="27"/>
        <v>AZ</v>
      </c>
      <c r="L98" s="33">
        <f t="shared" si="28"/>
        <v>2.194395796847636</v>
      </c>
      <c r="M98" s="31" t="str">
        <f t="shared" si="29"/>
        <v>Yes</v>
      </c>
      <c r="N98" s="34">
        <f>_xlfn.XLOOKUP(A98,SKUList,SKU_Data!$C$5:$C$154)/_xlfn.XLOOKUP(A98,SKUList,SKU_Data!$D$5:$D$154)</f>
        <v>4.7521250427058419</v>
      </c>
      <c r="O98" s="31" t="str">
        <f>IF(K98=_xlfn.XLOOKUP(A98,SKUList,SKU_Data!$F$5:$F$154),"✓","≠")</f>
        <v>✓</v>
      </c>
    </row>
    <row r="99" spans="1:15" ht="15" x14ac:dyDescent="0.35">
      <c r="A99" s="9" t="str">
        <f>SKU_Data!A99</f>
        <v>48184</v>
      </c>
      <c r="B99" s="9" t="str">
        <f>_xlfn.XLOOKUP(A99,SKUList,SKU_Data!$B$5:$B$154)</f>
        <v>DOORMAT ENGLISH ROSE</v>
      </c>
      <c r="C99" s="27">
        <f>_xlfn.XLOOKUP(A99,SKUList,SKU_Data!$E$5:$E$154)</f>
        <v>13836.46</v>
      </c>
      <c r="D99" s="26">
        <f t="shared" si="20"/>
        <v>95</v>
      </c>
      <c r="E99" s="20">
        <f t="shared" si="21"/>
        <v>0.79892988703759771</v>
      </c>
      <c r="F99" s="31" t="str">
        <f t="shared" si="22"/>
        <v>A</v>
      </c>
      <c r="G99" s="32">
        <f t="shared" si="23"/>
        <v>37.96153846153846</v>
      </c>
      <c r="H99" s="32">
        <f t="shared" si="24"/>
        <v>54.568525560990302</v>
      </c>
      <c r="I99" s="33">
        <f t="shared" si="25"/>
        <v>1.4374687584455399</v>
      </c>
      <c r="J99" s="31" t="str">
        <f t="shared" si="26"/>
        <v>Z</v>
      </c>
      <c r="K99" s="31" t="str">
        <f t="shared" si="27"/>
        <v>AZ</v>
      </c>
      <c r="L99" s="33">
        <f t="shared" si="28"/>
        <v>0.9414990859232174</v>
      </c>
      <c r="M99" s="31" t="str">
        <f t="shared" si="29"/>
        <v>No</v>
      </c>
      <c r="N99" s="34">
        <f>_xlfn.XLOOKUP(A99,SKUList,SKU_Data!$C$5:$C$154)/_xlfn.XLOOKUP(A99,SKUList,SKU_Data!$D$5:$D$154)</f>
        <v>7.0122020202020199</v>
      </c>
      <c r="O99" s="31" t="str">
        <f>IF(K99=_xlfn.XLOOKUP(A99,SKUList,SKU_Data!$F$5:$F$154),"✓","≠")</f>
        <v>✓</v>
      </c>
    </row>
    <row r="100" spans="1:15" ht="15" x14ac:dyDescent="0.35">
      <c r="A100" s="9" t="str">
        <f>SKU_Data!A100</f>
        <v>22622</v>
      </c>
      <c r="B100" s="9" t="str">
        <f>_xlfn.XLOOKUP(A100,SKUList,SKU_Data!$B$5:$B$154)</f>
        <v>BOX OF VINTAGE ALPHABET BLOCKS</v>
      </c>
      <c r="C100" s="27">
        <f>_xlfn.XLOOKUP(A100,SKUList,SKU_Data!$E$5:$E$154)</f>
        <v>13740.77</v>
      </c>
      <c r="D100" s="26">
        <f t="shared" si="20"/>
        <v>96</v>
      </c>
      <c r="E100" s="20">
        <f t="shared" si="21"/>
        <v>0.80322321001062547</v>
      </c>
      <c r="F100" s="31" t="str">
        <f t="shared" si="22"/>
        <v>B</v>
      </c>
      <c r="G100" s="32">
        <f t="shared" si="23"/>
        <v>25.73076923076923</v>
      </c>
      <c r="H100" s="32">
        <f t="shared" si="24"/>
        <v>44.435066255404323</v>
      </c>
      <c r="I100" s="33">
        <f t="shared" si="25"/>
        <v>1.7269233522279708</v>
      </c>
      <c r="J100" s="31" t="str">
        <f t="shared" si="26"/>
        <v>Z</v>
      </c>
      <c r="K100" s="31" t="str">
        <f t="shared" si="27"/>
        <v>BZ</v>
      </c>
      <c r="L100" s="33">
        <f t="shared" si="28"/>
        <v>2.7212500000000004</v>
      </c>
      <c r="M100" s="31" t="str">
        <f t="shared" si="29"/>
        <v>Yes</v>
      </c>
      <c r="N100" s="34">
        <f>_xlfn.XLOOKUP(A100,SKUList,SKU_Data!$C$5:$C$154)/_xlfn.XLOOKUP(A100,SKUList,SKU_Data!$D$5:$D$154)</f>
        <v>10.282842339008143</v>
      </c>
      <c r="O100" s="31" t="str">
        <f>IF(K100=_xlfn.XLOOKUP(A100,SKUList,SKU_Data!$F$5:$F$154),"✓","≠")</f>
        <v>✓</v>
      </c>
    </row>
    <row r="101" spans="1:15" ht="15" x14ac:dyDescent="0.35">
      <c r="A101" s="9" t="str">
        <f>SKU_Data!A101</f>
        <v>85152</v>
      </c>
      <c r="B101" s="9" t="str">
        <f>_xlfn.XLOOKUP(A101,SKUList,SKU_Data!$B$5:$B$154)</f>
        <v>HAND OVER THE CHOCOLATE   SIGN</v>
      </c>
      <c r="C101" s="27">
        <f>_xlfn.XLOOKUP(A101,SKUList,SKU_Data!$E$5:$E$154)</f>
        <v>13685.49</v>
      </c>
      <c r="D101" s="26">
        <f t="shared" ref="D101:D132" si="30">_xlfn.RANK.EQ(C101,$C$5:$C$154)</f>
        <v>97</v>
      </c>
      <c r="E101" s="20">
        <f t="shared" ref="E101:E132" si="31">SUMIFS($C$5:$C$154,$C$5:$C$154,"&gt;="&amp;C101)/SUM($C$5:$C$154)</f>
        <v>0.80749926066966005</v>
      </c>
      <c r="F101" s="31" t="str">
        <f t="shared" ref="F101:F132" si="32">IF(E101&lt;=A_Limit,"A",IF(E101&lt;=B_Limit,"B","C"))</f>
        <v>B</v>
      </c>
      <c r="G101" s="32">
        <f t="shared" ref="G101:G132" si="33">AVERAGE(_xlfn.XLOOKUP(A101,DemandCodes,DemandLast52))</f>
        <v>136.38461538461539</v>
      </c>
      <c r="H101" s="32">
        <f t="shared" ref="H101:H132" si="34">_xlfn.STDEV.S(_xlfn.XLOOKUP(A101,DemandCodes,DemandLast52))</f>
        <v>124.18394860853006</v>
      </c>
      <c r="I101" s="33">
        <f t="shared" ref="I101:I132" si="35">H101/G101</f>
        <v>0.91054220637952099</v>
      </c>
      <c r="J101" s="31" t="str">
        <f t="shared" ref="J101:J132" si="36">IF(I101&lt;=X_Limit,"X",IF(I101&lt;=Y_Limit,"Y","Z"))</f>
        <v>Y</v>
      </c>
      <c r="K101" s="31" t="str">
        <f t="shared" ref="K101:K132" si="37">F101&amp;J101</f>
        <v>BY</v>
      </c>
      <c r="L101" s="33">
        <f t="shared" ref="L101:L132" si="38">AVERAGE(_xlfn.XLOOKUP(A101,DemandCodes,DemandPeak2010))/AVERAGE(_xlfn.XLOOKUP(A101,DemandCodes,DemandTrain))</f>
        <v>1.2069928953460525</v>
      </c>
      <c r="M101" s="31" t="str">
        <f t="shared" ref="M101:M132" si="39">IF(L101&gt;=SeasonalLimit,"Yes","No")</f>
        <v>No</v>
      </c>
      <c r="N101" s="34">
        <f>_xlfn.XLOOKUP(A101,SKUList,SKU_Data!$C$5:$C$154)/_xlfn.XLOOKUP(A101,SKUList,SKU_Data!$D$5:$D$154)</f>
        <v>1.9302667597765362</v>
      </c>
      <c r="O101" s="31" t="str">
        <f>IF(K101=_xlfn.XLOOKUP(A101,SKUList,SKU_Data!$F$5:$F$154),"✓","≠")</f>
        <v>✓</v>
      </c>
    </row>
    <row r="102" spans="1:15" ht="15" x14ac:dyDescent="0.35">
      <c r="A102" s="9" t="str">
        <f>SKU_Data!A102</f>
        <v>22625</v>
      </c>
      <c r="B102" s="9" t="str">
        <f>_xlfn.XLOOKUP(A102,SKUList,SKU_Data!$B$5:$B$154)</f>
        <v>RED KITCHEN SCALES</v>
      </c>
      <c r="C102" s="27">
        <f>_xlfn.XLOOKUP(A102,SKUList,SKU_Data!$E$5:$E$154)</f>
        <v>13370.77</v>
      </c>
      <c r="D102" s="26">
        <f t="shared" si="30"/>
        <v>98</v>
      </c>
      <c r="E102" s="20">
        <f t="shared" si="31"/>
        <v>0.81167697662066363</v>
      </c>
      <c r="F102" s="31" t="str">
        <f t="shared" si="32"/>
        <v>B</v>
      </c>
      <c r="G102" s="32">
        <f t="shared" si="33"/>
        <v>29.615384615384617</v>
      </c>
      <c r="H102" s="32">
        <f t="shared" si="34"/>
        <v>23.55731753942057</v>
      </c>
      <c r="I102" s="33">
        <f t="shared" si="35"/>
        <v>0.79544189094147377</v>
      </c>
      <c r="J102" s="31" t="str">
        <f t="shared" si="36"/>
        <v>Y</v>
      </c>
      <c r="K102" s="31" t="str">
        <f t="shared" si="37"/>
        <v>BY</v>
      </c>
      <c r="L102" s="33">
        <f t="shared" si="38"/>
        <v>1.9711677078327727</v>
      </c>
      <c r="M102" s="31" t="str">
        <f t="shared" si="39"/>
        <v>Yes</v>
      </c>
      <c r="N102" s="34">
        <f>_xlfn.XLOOKUP(A102,SKUList,SKU_Data!$C$5:$C$154)/_xlfn.XLOOKUP(A102,SKUList,SKU_Data!$D$5:$D$154)</f>
        <v>8.6819270166453268</v>
      </c>
      <c r="O102" s="31" t="str">
        <f>IF(K102=_xlfn.XLOOKUP(A102,SKUList,SKU_Data!$F$5:$F$154),"✓","≠")</f>
        <v>✓</v>
      </c>
    </row>
    <row r="103" spans="1:15" ht="15" x14ac:dyDescent="0.35">
      <c r="A103" s="9" t="str">
        <f>SKU_Data!A103</f>
        <v>21930</v>
      </c>
      <c r="B103" s="9" t="str">
        <f>_xlfn.XLOOKUP(A103,SKUList,SKU_Data!$B$5:$B$154)</f>
        <v>JUMBO STORAGE BAG SKULLS</v>
      </c>
      <c r="C103" s="27">
        <f>_xlfn.XLOOKUP(A103,SKUList,SKU_Data!$E$5:$E$154)</f>
        <v>13332.21</v>
      </c>
      <c r="D103" s="26">
        <f t="shared" si="30"/>
        <v>99</v>
      </c>
      <c r="E103" s="20">
        <f t="shared" si="31"/>
        <v>0.81584264444526378</v>
      </c>
      <c r="F103" s="31" t="str">
        <f t="shared" si="32"/>
        <v>B</v>
      </c>
      <c r="G103" s="32">
        <f t="shared" si="33"/>
        <v>117.57692307692308</v>
      </c>
      <c r="H103" s="32">
        <f t="shared" si="34"/>
        <v>81.367080628192326</v>
      </c>
      <c r="I103" s="33">
        <f t="shared" si="35"/>
        <v>0.6920327433212301</v>
      </c>
      <c r="J103" s="31" t="str">
        <f t="shared" si="36"/>
        <v>X</v>
      </c>
      <c r="K103" s="31" t="str">
        <f t="shared" si="37"/>
        <v>BX</v>
      </c>
      <c r="L103" s="33">
        <f t="shared" si="38"/>
        <v>1.3048245614035088</v>
      </c>
      <c r="M103" s="31" t="str">
        <f t="shared" si="39"/>
        <v>Yes</v>
      </c>
      <c r="N103" s="34">
        <f>_xlfn.XLOOKUP(A103,SKUList,SKU_Data!$C$5:$C$154)/_xlfn.XLOOKUP(A103,SKUList,SKU_Data!$D$5:$D$154)</f>
        <v>2.1805541932319765</v>
      </c>
      <c r="O103" s="31" t="str">
        <f>IF(K103=_xlfn.XLOOKUP(A103,SKUList,SKU_Data!$F$5:$F$154),"✓","≠")</f>
        <v>✓</v>
      </c>
    </row>
    <row r="104" spans="1:15" ht="15" x14ac:dyDescent="0.35">
      <c r="A104" s="9" t="str">
        <f>SKU_Data!A104</f>
        <v>22083</v>
      </c>
      <c r="B104" s="9" t="str">
        <f>_xlfn.XLOOKUP(A104,SKUList,SKU_Data!$B$5:$B$154)</f>
        <v>PAPER CHAIN KIT RETROSPOT</v>
      </c>
      <c r="C104" s="27">
        <f>_xlfn.XLOOKUP(A104,SKUList,SKU_Data!$E$5:$E$154)</f>
        <v>13244.97</v>
      </c>
      <c r="D104" s="26">
        <f t="shared" si="30"/>
        <v>100</v>
      </c>
      <c r="E104" s="20">
        <f t="shared" si="31"/>
        <v>0.81998105400877908</v>
      </c>
      <c r="F104" s="31" t="str">
        <f t="shared" si="32"/>
        <v>B</v>
      </c>
      <c r="G104" s="32">
        <f t="shared" si="33"/>
        <v>84.230769230769226</v>
      </c>
      <c r="H104" s="32">
        <f t="shared" si="34"/>
        <v>47.171200662540926</v>
      </c>
      <c r="I104" s="33">
        <f t="shared" si="35"/>
        <v>0.56002338686121655</v>
      </c>
      <c r="J104" s="31" t="str">
        <f t="shared" si="36"/>
        <v>X</v>
      </c>
      <c r="K104" s="31" t="str">
        <f t="shared" si="37"/>
        <v>BX</v>
      </c>
      <c r="L104" s="33">
        <f t="shared" si="38"/>
        <v>1.3304020100502514</v>
      </c>
      <c r="M104" s="31" t="str">
        <f t="shared" si="39"/>
        <v>Yes</v>
      </c>
      <c r="N104" s="34">
        <f>_xlfn.XLOOKUP(A104,SKUList,SKU_Data!$C$5:$C$154)/_xlfn.XLOOKUP(A104,SKUList,SKU_Data!$D$5:$D$154)</f>
        <v>3.0360357708852161</v>
      </c>
      <c r="O104" s="31" t="str">
        <f>IF(K104=_xlfn.XLOOKUP(A104,SKUList,SKU_Data!$F$5:$F$154),"✓","≠")</f>
        <v>✓</v>
      </c>
    </row>
    <row r="105" spans="1:15" ht="15" x14ac:dyDescent="0.35">
      <c r="A105" s="9" t="str">
        <f>SKU_Data!A105</f>
        <v>82483</v>
      </c>
      <c r="B105" s="9" t="str">
        <f>_xlfn.XLOOKUP(A105,SKUList,SKU_Data!$B$5:$B$154)</f>
        <v>WOOD 2 DRAWER CABINET WHITE FINISH</v>
      </c>
      <c r="C105" s="27">
        <f>_xlfn.XLOOKUP(A105,SKUList,SKU_Data!$E$5:$E$154)</f>
        <v>13150.7</v>
      </c>
      <c r="D105" s="26">
        <f t="shared" si="30"/>
        <v>101</v>
      </c>
      <c r="E105" s="20">
        <f t="shared" si="31"/>
        <v>0.82409000877779115</v>
      </c>
      <c r="F105" s="31" t="str">
        <f t="shared" si="32"/>
        <v>B</v>
      </c>
      <c r="G105" s="32">
        <f t="shared" si="33"/>
        <v>40.57692307692308</v>
      </c>
      <c r="H105" s="32">
        <f t="shared" si="34"/>
        <v>33.968466434555673</v>
      </c>
      <c r="I105" s="33">
        <f t="shared" si="35"/>
        <v>0.83713756142032936</v>
      </c>
      <c r="J105" s="31" t="str">
        <f t="shared" si="36"/>
        <v>Y</v>
      </c>
      <c r="K105" s="31" t="str">
        <f t="shared" si="37"/>
        <v>BY</v>
      </c>
      <c r="L105" s="33">
        <f t="shared" si="38"/>
        <v>1.6401673640167362</v>
      </c>
      <c r="M105" s="31" t="str">
        <f t="shared" si="39"/>
        <v>Yes</v>
      </c>
      <c r="N105" s="34">
        <f>_xlfn.XLOOKUP(A105,SKUList,SKU_Data!$C$5:$C$154)/_xlfn.XLOOKUP(A105,SKUList,SKU_Data!$D$5:$D$154)</f>
        <v>6.307268335529205</v>
      </c>
      <c r="O105" s="31" t="str">
        <f>IF(K105=_xlfn.XLOOKUP(A105,SKUList,SKU_Data!$F$5:$F$154),"✓","≠")</f>
        <v>✓</v>
      </c>
    </row>
    <row r="106" spans="1:15" ht="15" x14ac:dyDescent="0.35">
      <c r="A106" s="9" t="str">
        <f>SKU_Data!A106</f>
        <v>22551</v>
      </c>
      <c r="B106" s="9" t="str">
        <f>_xlfn.XLOOKUP(A106,SKUList,SKU_Data!$B$5:$B$154)</f>
        <v>PLASTERS IN TIN SPACEBOY</v>
      </c>
      <c r="C106" s="27">
        <f>_xlfn.XLOOKUP(A106,SKUList,SKU_Data!$E$5:$E$154)</f>
        <v>13142.23</v>
      </c>
      <c r="D106" s="26">
        <f t="shared" si="30"/>
        <v>102</v>
      </c>
      <c r="E106" s="20">
        <f t="shared" si="31"/>
        <v>0.82819631708335295</v>
      </c>
      <c r="F106" s="31" t="str">
        <f t="shared" si="32"/>
        <v>B</v>
      </c>
      <c r="G106" s="32">
        <f t="shared" si="33"/>
        <v>150.26923076923077</v>
      </c>
      <c r="H106" s="32">
        <f t="shared" si="34"/>
        <v>113.52344758831921</v>
      </c>
      <c r="I106" s="33">
        <f t="shared" si="35"/>
        <v>0.75546701748049638</v>
      </c>
      <c r="J106" s="31" t="str">
        <f t="shared" si="36"/>
        <v>Y</v>
      </c>
      <c r="K106" s="31" t="str">
        <f t="shared" si="37"/>
        <v>BY</v>
      </c>
      <c r="L106" s="33">
        <f t="shared" si="38"/>
        <v>2.0459361099878692</v>
      </c>
      <c r="M106" s="31" t="str">
        <f t="shared" si="39"/>
        <v>Yes</v>
      </c>
      <c r="N106" s="34">
        <f>_xlfn.XLOOKUP(A106,SKUList,SKU_Data!$C$5:$C$154)/_xlfn.XLOOKUP(A106,SKUList,SKU_Data!$D$5:$D$154)</f>
        <v>1.6817646308810403</v>
      </c>
      <c r="O106" s="31" t="str">
        <f>IF(K106=_xlfn.XLOOKUP(A106,SKUList,SKU_Data!$F$5:$F$154),"✓","≠")</f>
        <v>✓</v>
      </c>
    </row>
    <row r="107" spans="1:15" ht="15" x14ac:dyDescent="0.35">
      <c r="A107" s="9" t="str">
        <f>SKU_Data!A107</f>
        <v>84077</v>
      </c>
      <c r="B107" s="9" t="str">
        <f>_xlfn.XLOOKUP(A107,SKUList,SKU_Data!$B$5:$B$154)</f>
        <v>WORLD WAR 2 GLIDERS ASSTD DESIGNS</v>
      </c>
      <c r="C107" s="27">
        <f>_xlfn.XLOOKUP(A107,SKUList,SKU_Data!$E$5:$E$154)</f>
        <v>13134.38</v>
      </c>
      <c r="D107" s="26">
        <f t="shared" si="30"/>
        <v>103</v>
      </c>
      <c r="E107" s="20">
        <f t="shared" si="31"/>
        <v>0.8323001726453394</v>
      </c>
      <c r="F107" s="31" t="str">
        <f t="shared" si="32"/>
        <v>B</v>
      </c>
      <c r="G107" s="32">
        <f t="shared" si="33"/>
        <v>1004.5</v>
      </c>
      <c r="H107" s="32">
        <f t="shared" si="34"/>
        <v>1010.5245289103138</v>
      </c>
      <c r="I107" s="33">
        <f t="shared" si="35"/>
        <v>1.005997539980402</v>
      </c>
      <c r="J107" s="31" t="str">
        <f t="shared" si="36"/>
        <v>Y</v>
      </c>
      <c r="K107" s="31" t="str">
        <f t="shared" si="37"/>
        <v>BY</v>
      </c>
      <c r="L107" s="33">
        <f t="shared" si="38"/>
        <v>1.7230619774017835</v>
      </c>
      <c r="M107" s="31" t="str">
        <f t="shared" si="39"/>
        <v>Yes</v>
      </c>
      <c r="N107" s="34">
        <f>_xlfn.XLOOKUP(A107,SKUList,SKU_Data!$C$5:$C$154)/_xlfn.XLOOKUP(A107,SKUList,SKU_Data!$D$5:$D$154)</f>
        <v>0.25055769734625893</v>
      </c>
      <c r="O107" s="31" t="str">
        <f>IF(K107=_xlfn.XLOOKUP(A107,SKUList,SKU_Data!$F$5:$F$154),"✓","≠")</f>
        <v>✓</v>
      </c>
    </row>
    <row r="108" spans="1:15" ht="15" x14ac:dyDescent="0.35">
      <c r="A108" s="9" t="str">
        <f>SKU_Data!A108</f>
        <v>21524</v>
      </c>
      <c r="B108" s="9" t="str">
        <f>_xlfn.XLOOKUP(A108,SKUList,SKU_Data!$B$5:$B$154)</f>
        <v>DOORMAT SPOTTY HOME SWEET HOME</v>
      </c>
      <c r="C108" s="27">
        <f>_xlfn.XLOOKUP(A108,SKUList,SKU_Data!$E$5:$E$154)</f>
        <v>13126.6</v>
      </c>
      <c r="D108" s="26">
        <f t="shared" si="30"/>
        <v>104</v>
      </c>
      <c r="E108" s="20">
        <f t="shared" si="31"/>
        <v>0.83640159733534925</v>
      </c>
      <c r="F108" s="31" t="str">
        <f t="shared" si="32"/>
        <v>B</v>
      </c>
      <c r="G108" s="32">
        <f t="shared" si="33"/>
        <v>32.634615384615387</v>
      </c>
      <c r="H108" s="32">
        <f t="shared" si="34"/>
        <v>25.891954118692251</v>
      </c>
      <c r="I108" s="33">
        <f t="shared" si="35"/>
        <v>0.79338928354272065</v>
      </c>
      <c r="J108" s="31" t="str">
        <f t="shared" si="36"/>
        <v>Y</v>
      </c>
      <c r="K108" s="31" t="str">
        <f t="shared" si="37"/>
        <v>BY</v>
      </c>
      <c r="L108" s="33">
        <f t="shared" si="38"/>
        <v>0.97948046278105205</v>
      </c>
      <c r="M108" s="31" t="str">
        <f t="shared" si="39"/>
        <v>No</v>
      </c>
      <c r="N108" s="34">
        <f>_xlfn.XLOOKUP(A108,SKUList,SKU_Data!$C$5:$C$154)/_xlfn.XLOOKUP(A108,SKUList,SKU_Data!$D$5:$D$154)</f>
        <v>7.7366412213740459</v>
      </c>
      <c r="O108" s="31" t="str">
        <f>IF(K108=_xlfn.XLOOKUP(A108,SKUList,SKU_Data!$F$5:$F$154),"✓","≠")</f>
        <v>✓</v>
      </c>
    </row>
    <row r="109" spans="1:15" ht="15" x14ac:dyDescent="0.35">
      <c r="A109" s="9" t="str">
        <f>SKU_Data!A109</f>
        <v>22554</v>
      </c>
      <c r="B109" s="9" t="str">
        <f>_xlfn.XLOOKUP(A109,SKUList,SKU_Data!$B$5:$B$154)</f>
        <v>PLASTERS IN TIN WOODLAND ANIMALS</v>
      </c>
      <c r="C109" s="27">
        <f>_xlfn.XLOOKUP(A109,SKUList,SKU_Data!$E$5:$E$154)</f>
        <v>13104.19</v>
      </c>
      <c r="D109" s="26">
        <f t="shared" si="30"/>
        <v>105</v>
      </c>
      <c r="E109" s="20">
        <f t="shared" si="31"/>
        <v>0.84049601998924139</v>
      </c>
      <c r="F109" s="31" t="str">
        <f t="shared" si="32"/>
        <v>B</v>
      </c>
      <c r="G109" s="32">
        <f t="shared" si="33"/>
        <v>148.11538461538461</v>
      </c>
      <c r="H109" s="32">
        <f t="shared" si="34"/>
        <v>105.20468450133598</v>
      </c>
      <c r="I109" s="33">
        <f t="shared" si="35"/>
        <v>0.71028870346266826</v>
      </c>
      <c r="J109" s="31" t="str">
        <f t="shared" si="36"/>
        <v>X</v>
      </c>
      <c r="K109" s="31" t="str">
        <f t="shared" si="37"/>
        <v>BX</v>
      </c>
      <c r="L109" s="33">
        <f t="shared" si="38"/>
        <v>1.5793816388467374</v>
      </c>
      <c r="M109" s="31" t="str">
        <f t="shared" si="39"/>
        <v>Yes</v>
      </c>
      <c r="N109" s="34">
        <f>_xlfn.XLOOKUP(A109,SKUList,SKU_Data!$C$5:$C$154)/_xlfn.XLOOKUP(A109,SKUList,SKU_Data!$D$5:$D$154)</f>
        <v>1.7012081231406029</v>
      </c>
      <c r="O109" s="31" t="str">
        <f>IF(K109=_xlfn.XLOOKUP(A109,SKUList,SKU_Data!$F$5:$F$154),"✓","≠")</f>
        <v>✓</v>
      </c>
    </row>
    <row r="110" spans="1:15" ht="15" x14ac:dyDescent="0.35">
      <c r="A110" s="9" t="str">
        <f>SKU_Data!A110</f>
        <v>22558</v>
      </c>
      <c r="B110" s="9" t="str">
        <f>_xlfn.XLOOKUP(A110,SKUList,SKU_Data!$B$5:$B$154)</f>
        <v>CLOTHES PEGS RETROSPOT PACK 24</v>
      </c>
      <c r="C110" s="27">
        <f>_xlfn.XLOOKUP(A110,SKUList,SKU_Data!$E$5:$E$154)</f>
        <v>13031.37</v>
      </c>
      <c r="D110" s="26">
        <f t="shared" si="30"/>
        <v>106</v>
      </c>
      <c r="E110" s="20">
        <f t="shared" si="31"/>
        <v>0.84456768993139353</v>
      </c>
      <c r="F110" s="31" t="str">
        <f t="shared" si="32"/>
        <v>B</v>
      </c>
      <c r="G110" s="32">
        <f t="shared" si="33"/>
        <v>164.69230769230768</v>
      </c>
      <c r="H110" s="32">
        <f t="shared" si="34"/>
        <v>113.69955911783363</v>
      </c>
      <c r="I110" s="33">
        <f t="shared" si="35"/>
        <v>0.69037565087895247</v>
      </c>
      <c r="J110" s="31" t="str">
        <f t="shared" si="36"/>
        <v>X</v>
      </c>
      <c r="K110" s="31" t="str">
        <f t="shared" si="37"/>
        <v>BX</v>
      </c>
      <c r="L110" s="33">
        <f t="shared" si="38"/>
        <v>0.36676646706586824</v>
      </c>
      <c r="M110" s="31" t="str">
        <f t="shared" si="39"/>
        <v>No</v>
      </c>
      <c r="N110" s="34">
        <f>_xlfn.XLOOKUP(A110,SKUList,SKU_Data!$C$5:$C$154)/_xlfn.XLOOKUP(A110,SKUList,SKU_Data!$D$5:$D$154)</f>
        <v>1.5219407321324809</v>
      </c>
      <c r="O110" s="31" t="str">
        <f>IF(K110=_xlfn.XLOOKUP(A110,SKUList,SKU_Data!$F$5:$F$154),"✓","≠")</f>
        <v>✓</v>
      </c>
    </row>
    <row r="111" spans="1:15" ht="15" x14ac:dyDescent="0.35">
      <c r="A111" s="9" t="str">
        <f>SKU_Data!A111</f>
        <v>22171</v>
      </c>
      <c r="B111" s="9" t="str">
        <f>_xlfn.XLOOKUP(A111,SKUList,SKU_Data!$B$5:$B$154)</f>
        <v>3 HOOK PHOTO SHELF ANTIQUE WHITE</v>
      </c>
      <c r="C111" s="27">
        <f>_xlfn.XLOOKUP(A111,SKUList,SKU_Data!$E$5:$E$154)</f>
        <v>12780.38</v>
      </c>
      <c r="D111" s="26">
        <f t="shared" si="30"/>
        <v>107</v>
      </c>
      <c r="E111" s="20">
        <f t="shared" si="31"/>
        <v>0.84856093769392971</v>
      </c>
      <c r="F111" s="31" t="str">
        <f t="shared" si="32"/>
        <v>B</v>
      </c>
      <c r="G111" s="32">
        <f t="shared" si="33"/>
        <v>33.884615384615387</v>
      </c>
      <c r="H111" s="32">
        <f t="shared" si="34"/>
        <v>54.951191835690842</v>
      </c>
      <c r="I111" s="33">
        <f t="shared" si="35"/>
        <v>1.6217150825516025</v>
      </c>
      <c r="J111" s="31" t="str">
        <f t="shared" si="36"/>
        <v>Z</v>
      </c>
      <c r="K111" s="31" t="str">
        <f t="shared" si="37"/>
        <v>BZ</v>
      </c>
      <c r="L111" s="33">
        <f t="shared" si="38"/>
        <v>0.90393317090149672</v>
      </c>
      <c r="M111" s="31" t="str">
        <f t="shared" si="39"/>
        <v>No</v>
      </c>
      <c r="N111" s="34">
        <f>_xlfn.XLOOKUP(A111,SKUList,SKU_Data!$C$5:$C$154)/_xlfn.XLOOKUP(A111,SKUList,SKU_Data!$D$5:$D$154)</f>
        <v>7.5645005549389568</v>
      </c>
      <c r="O111" s="31" t="str">
        <f>IF(K111=_xlfn.XLOOKUP(A111,SKUList,SKU_Data!$F$5:$F$154),"✓","≠")</f>
        <v>✓</v>
      </c>
    </row>
    <row r="112" spans="1:15" ht="15" x14ac:dyDescent="0.35">
      <c r="A112" s="9" t="str">
        <f>SKU_Data!A112</f>
        <v>22499</v>
      </c>
      <c r="B112" s="9" t="str">
        <f>_xlfn.XLOOKUP(A112,SKUList,SKU_Data!$B$5:$B$154)</f>
        <v>WOODEN UNION JACK BUNTING</v>
      </c>
      <c r="C112" s="27">
        <f>_xlfn.XLOOKUP(A112,SKUList,SKU_Data!$E$5:$E$154)</f>
        <v>12555.92</v>
      </c>
      <c r="D112" s="26">
        <f t="shared" si="30"/>
        <v>108</v>
      </c>
      <c r="E112" s="20">
        <f t="shared" si="31"/>
        <v>0.8524840526127806</v>
      </c>
      <c r="F112" s="31" t="str">
        <f t="shared" si="32"/>
        <v>B</v>
      </c>
      <c r="G112" s="32">
        <f t="shared" si="33"/>
        <v>39.53846153846154</v>
      </c>
      <c r="H112" s="32">
        <f t="shared" si="34"/>
        <v>55.111459802007559</v>
      </c>
      <c r="I112" s="33">
        <f t="shared" si="35"/>
        <v>1.3938696058873508</v>
      </c>
      <c r="J112" s="31" t="str">
        <f t="shared" si="36"/>
        <v>Z</v>
      </c>
      <c r="K112" s="31" t="str">
        <f t="shared" si="37"/>
        <v>BZ</v>
      </c>
      <c r="L112" s="33">
        <f t="shared" si="38"/>
        <v>0.37225433526011559</v>
      </c>
      <c r="M112" s="31" t="str">
        <f t="shared" si="39"/>
        <v>No</v>
      </c>
      <c r="N112" s="34">
        <f>_xlfn.XLOOKUP(A112,SKUList,SKU_Data!$C$5:$C$154)/_xlfn.XLOOKUP(A112,SKUList,SKU_Data!$D$5:$D$154)</f>
        <v>6.1066601941747569</v>
      </c>
      <c r="O112" s="31" t="str">
        <f>IF(K112=_xlfn.XLOOKUP(A112,SKUList,SKU_Data!$F$5:$F$154),"✓","≠")</f>
        <v>✓</v>
      </c>
    </row>
    <row r="113" spans="1:15" ht="15" x14ac:dyDescent="0.35">
      <c r="A113" s="9" t="str">
        <f>SKU_Data!A113</f>
        <v>22427</v>
      </c>
      <c r="B113" s="9" t="str">
        <f>_xlfn.XLOOKUP(A113,SKUList,SKU_Data!$B$5:$B$154)</f>
        <v>ENAMEL FLOWER JUG CREAM</v>
      </c>
      <c r="C113" s="27">
        <f>_xlfn.XLOOKUP(A113,SKUList,SKU_Data!$E$5:$E$154)</f>
        <v>12462.8</v>
      </c>
      <c r="D113" s="26">
        <f t="shared" si="30"/>
        <v>109</v>
      </c>
      <c r="E113" s="20">
        <f t="shared" si="31"/>
        <v>0.85637807205625061</v>
      </c>
      <c r="F113" s="31" t="str">
        <f t="shared" si="32"/>
        <v>B</v>
      </c>
      <c r="G113" s="32">
        <f t="shared" si="33"/>
        <v>39.884615384615387</v>
      </c>
      <c r="H113" s="32">
        <f t="shared" si="34"/>
        <v>29.988660501474548</v>
      </c>
      <c r="I113" s="33">
        <f t="shared" si="35"/>
        <v>0.7518854127659963</v>
      </c>
      <c r="J113" s="31" t="str">
        <f t="shared" si="36"/>
        <v>Y</v>
      </c>
      <c r="K113" s="31" t="str">
        <f t="shared" si="37"/>
        <v>BY</v>
      </c>
      <c r="L113" s="33">
        <f t="shared" si="38"/>
        <v>0.47978910369068545</v>
      </c>
      <c r="M113" s="31" t="str">
        <f t="shared" si="39"/>
        <v>No</v>
      </c>
      <c r="N113" s="34">
        <f>_xlfn.XLOOKUP(A113,SKUList,SKU_Data!$C$5:$C$154)/_xlfn.XLOOKUP(A113,SKUList,SKU_Data!$D$5:$D$154)</f>
        <v>6.0139391056137006</v>
      </c>
      <c r="O113" s="31" t="str">
        <f>IF(K113=_xlfn.XLOOKUP(A113,SKUList,SKU_Data!$F$5:$F$154),"✓","≠")</f>
        <v>✓</v>
      </c>
    </row>
    <row r="114" spans="1:15" ht="15" x14ac:dyDescent="0.35">
      <c r="A114" s="9" t="str">
        <f>SKU_Data!A114</f>
        <v>20750</v>
      </c>
      <c r="B114" s="9" t="str">
        <f>_xlfn.XLOOKUP(A114,SKUList,SKU_Data!$B$5:$B$154)</f>
        <v>RED RETROSPOT MINI CASES</v>
      </c>
      <c r="C114" s="27">
        <f>_xlfn.XLOOKUP(A114,SKUList,SKU_Data!$E$5:$E$154)</f>
        <v>12215.82</v>
      </c>
      <c r="D114" s="26">
        <f t="shared" si="30"/>
        <v>110</v>
      </c>
      <c r="E114" s="20">
        <f t="shared" si="31"/>
        <v>0.86019492225026239</v>
      </c>
      <c r="F114" s="31" t="str">
        <f t="shared" si="32"/>
        <v>B</v>
      </c>
      <c r="G114" s="32">
        <f t="shared" si="33"/>
        <v>32.57692307692308</v>
      </c>
      <c r="H114" s="32">
        <f t="shared" si="34"/>
        <v>21.202428785998535</v>
      </c>
      <c r="I114" s="33">
        <f t="shared" si="35"/>
        <v>0.6508419698181368</v>
      </c>
      <c r="J114" s="31" t="str">
        <f t="shared" si="36"/>
        <v>X</v>
      </c>
      <c r="K114" s="31" t="str">
        <f t="shared" si="37"/>
        <v>BX</v>
      </c>
      <c r="L114" s="33">
        <f t="shared" si="38"/>
        <v>1.3330078125</v>
      </c>
      <c r="M114" s="31" t="str">
        <f t="shared" si="39"/>
        <v>Yes</v>
      </c>
      <c r="N114" s="34">
        <f>_xlfn.XLOOKUP(A114,SKUList,SKU_Data!$C$5:$C$154)/_xlfn.XLOOKUP(A114,SKUList,SKU_Data!$D$5:$D$154)</f>
        <v>7.2138352941176471</v>
      </c>
      <c r="O114" s="31" t="str">
        <f>IF(K114=_xlfn.XLOOKUP(A114,SKUList,SKU_Data!$F$5:$F$154),"✓","≠")</f>
        <v>✓</v>
      </c>
    </row>
    <row r="115" spans="1:15" ht="15" x14ac:dyDescent="0.35">
      <c r="A115" s="9" t="str">
        <f>SKU_Data!A115</f>
        <v>21755</v>
      </c>
      <c r="B115" s="9" t="str">
        <f>_xlfn.XLOOKUP(A115,SKUList,SKU_Data!$B$5:$B$154)</f>
        <v>LOVE BUILDING BLOCK WORD</v>
      </c>
      <c r="C115" s="27">
        <f>_xlfn.XLOOKUP(A115,SKUList,SKU_Data!$E$5:$E$154)</f>
        <v>12193.33</v>
      </c>
      <c r="D115" s="26">
        <f t="shared" si="30"/>
        <v>111</v>
      </c>
      <c r="E115" s="20">
        <f t="shared" si="31"/>
        <v>0.86400474541204375</v>
      </c>
      <c r="F115" s="31" t="str">
        <f t="shared" si="32"/>
        <v>B</v>
      </c>
      <c r="G115" s="32">
        <f t="shared" si="33"/>
        <v>37.96153846153846</v>
      </c>
      <c r="H115" s="32">
        <f t="shared" si="34"/>
        <v>23.915670093436638</v>
      </c>
      <c r="I115" s="33">
        <f t="shared" si="35"/>
        <v>0.62999738847958731</v>
      </c>
      <c r="J115" s="31" t="str">
        <f t="shared" si="36"/>
        <v>X</v>
      </c>
      <c r="K115" s="31" t="str">
        <f t="shared" si="37"/>
        <v>BX</v>
      </c>
      <c r="L115" s="33">
        <f t="shared" si="38"/>
        <v>1.3983253588516746</v>
      </c>
      <c r="M115" s="31" t="str">
        <f t="shared" si="39"/>
        <v>Yes</v>
      </c>
      <c r="N115" s="34">
        <f>_xlfn.XLOOKUP(A115,SKUList,SKU_Data!$C$5:$C$154)/_xlfn.XLOOKUP(A115,SKUList,SKU_Data!$D$5:$D$154)</f>
        <v>6.1753672032193156</v>
      </c>
      <c r="O115" s="31" t="str">
        <f>IF(K115=_xlfn.XLOOKUP(A115,SKUList,SKU_Data!$F$5:$F$154),"✓","≠")</f>
        <v>✓</v>
      </c>
    </row>
    <row r="116" spans="1:15" ht="15" x14ac:dyDescent="0.35">
      <c r="A116" s="9" t="str">
        <f>SKU_Data!A116</f>
        <v>20971</v>
      </c>
      <c r="B116" s="9" t="str">
        <f>_xlfn.XLOOKUP(A116,SKUList,SKU_Data!$B$5:$B$154)</f>
        <v>PINK BLUE FELT CRAFT TRINKET BOX</v>
      </c>
      <c r="C116" s="27">
        <f>_xlfn.XLOOKUP(A116,SKUList,SKU_Data!$E$5:$E$154)</f>
        <v>12192.09</v>
      </c>
      <c r="D116" s="26">
        <f t="shared" si="30"/>
        <v>112</v>
      </c>
      <c r="E116" s="20">
        <f t="shared" si="31"/>
        <v>0.86781418113407549</v>
      </c>
      <c r="F116" s="31" t="str">
        <f t="shared" si="32"/>
        <v>B</v>
      </c>
      <c r="G116" s="32">
        <f t="shared" si="33"/>
        <v>183.25</v>
      </c>
      <c r="H116" s="32">
        <f t="shared" si="34"/>
        <v>427.44851197794208</v>
      </c>
      <c r="I116" s="33">
        <f t="shared" si="35"/>
        <v>2.332597609702276</v>
      </c>
      <c r="J116" s="31" t="str">
        <f t="shared" si="36"/>
        <v>Z</v>
      </c>
      <c r="K116" s="31" t="str">
        <f t="shared" si="37"/>
        <v>BZ</v>
      </c>
      <c r="L116" s="33">
        <f t="shared" si="38"/>
        <v>2.2704407237780613</v>
      </c>
      <c r="M116" s="31" t="str">
        <f t="shared" si="39"/>
        <v>Yes</v>
      </c>
      <c r="N116" s="34">
        <f>_xlfn.XLOOKUP(A116,SKUList,SKU_Data!$C$5:$C$154)/_xlfn.XLOOKUP(A116,SKUList,SKU_Data!$D$5:$D$154)</f>
        <v>1.2531889400921659</v>
      </c>
      <c r="O116" s="31" t="str">
        <f>IF(K116=_xlfn.XLOOKUP(A116,SKUList,SKU_Data!$F$5:$F$154),"✓","≠")</f>
        <v>✓</v>
      </c>
    </row>
    <row r="117" spans="1:15" ht="15" x14ac:dyDescent="0.35">
      <c r="A117" s="9" t="str">
        <f>SKU_Data!A117</f>
        <v>22158</v>
      </c>
      <c r="B117" s="9" t="str">
        <f>_xlfn.XLOOKUP(A117,SKUList,SKU_Data!$B$5:$B$154)</f>
        <v>3 HEARTS HANGING DECORATION RUSTIC</v>
      </c>
      <c r="C117" s="27">
        <f>_xlfn.XLOOKUP(A117,SKUList,SKU_Data!$E$5:$E$154)</f>
        <v>12128.66</v>
      </c>
      <c r="D117" s="26">
        <f t="shared" si="30"/>
        <v>113</v>
      </c>
      <c r="E117" s="20">
        <f t="shared" si="31"/>
        <v>0.87160379806311539</v>
      </c>
      <c r="F117" s="31" t="str">
        <f t="shared" si="32"/>
        <v>B</v>
      </c>
      <c r="G117" s="32">
        <f t="shared" si="33"/>
        <v>67.807692307692307</v>
      </c>
      <c r="H117" s="32">
        <f t="shared" si="34"/>
        <v>123.08056320031767</v>
      </c>
      <c r="I117" s="33">
        <f t="shared" si="35"/>
        <v>1.8151416013660009</v>
      </c>
      <c r="J117" s="31" t="str">
        <f t="shared" si="36"/>
        <v>Z</v>
      </c>
      <c r="K117" s="31" t="str">
        <f t="shared" si="37"/>
        <v>BZ</v>
      </c>
      <c r="L117" s="33">
        <f t="shared" si="38"/>
        <v>5.0283960092095166</v>
      </c>
      <c r="M117" s="31" t="str">
        <f t="shared" si="39"/>
        <v>Yes</v>
      </c>
      <c r="N117" s="34">
        <f>_xlfn.XLOOKUP(A117,SKUList,SKU_Data!$C$5:$C$154)/_xlfn.XLOOKUP(A117,SKUList,SKU_Data!$D$5:$D$154)</f>
        <v>3.4483917467495759</v>
      </c>
      <c r="O117" s="31" t="str">
        <f>IF(K117=_xlfn.XLOOKUP(A117,SKUList,SKU_Data!$F$5:$F$154),"✓","≠")</f>
        <v>✓</v>
      </c>
    </row>
    <row r="118" spans="1:15" ht="15" x14ac:dyDescent="0.35">
      <c r="A118" s="9" t="str">
        <f>SKU_Data!A118</f>
        <v>22607</v>
      </c>
      <c r="B118" s="9" t="str">
        <f>_xlfn.XLOOKUP(A118,SKUList,SKU_Data!$B$5:$B$154)</f>
        <v>WOODEN ROUNDERS GARDEN SET</v>
      </c>
      <c r="C118" s="27">
        <f>_xlfn.XLOOKUP(A118,SKUList,SKU_Data!$E$5:$E$154)</f>
        <v>12097.16</v>
      </c>
      <c r="D118" s="26">
        <f t="shared" si="30"/>
        <v>114</v>
      </c>
      <c r="E118" s="20">
        <f t="shared" si="31"/>
        <v>0.87538357277271273</v>
      </c>
      <c r="F118" s="31" t="str">
        <f t="shared" si="32"/>
        <v>B</v>
      </c>
      <c r="G118" s="32">
        <f t="shared" si="33"/>
        <v>24.73076923076923</v>
      </c>
      <c r="H118" s="32">
        <f t="shared" si="34"/>
        <v>31.171955334830724</v>
      </c>
      <c r="I118" s="33">
        <f t="shared" si="35"/>
        <v>1.2604523152497649</v>
      </c>
      <c r="J118" s="31" t="str">
        <f t="shared" si="36"/>
        <v>Z</v>
      </c>
      <c r="K118" s="31" t="str">
        <f t="shared" si="37"/>
        <v>BZ</v>
      </c>
      <c r="L118" s="33">
        <f t="shared" si="38"/>
        <v>0.18599746942218473</v>
      </c>
      <c r="M118" s="31" t="str">
        <f t="shared" si="39"/>
        <v>No</v>
      </c>
      <c r="N118" s="34">
        <f>_xlfn.XLOOKUP(A118,SKUList,SKU_Data!$C$5:$C$154)/_xlfn.XLOOKUP(A118,SKUList,SKU_Data!$D$5:$D$154)</f>
        <v>9.4062480620155036</v>
      </c>
      <c r="O118" s="31" t="str">
        <f>IF(K118=_xlfn.XLOOKUP(A118,SKUList,SKU_Data!$F$5:$F$154),"✓","≠")</f>
        <v>✓</v>
      </c>
    </row>
    <row r="119" spans="1:15" ht="15" x14ac:dyDescent="0.35">
      <c r="A119" s="9" t="str">
        <f>SKU_Data!A119</f>
        <v>48188</v>
      </c>
      <c r="B119" s="9" t="str">
        <f>_xlfn.XLOOKUP(A119,SKUList,SKU_Data!$B$5:$B$154)</f>
        <v>DOORMAT WELCOME PUPPIES</v>
      </c>
      <c r="C119" s="27">
        <f>_xlfn.XLOOKUP(A119,SKUList,SKU_Data!$E$5:$E$154)</f>
        <v>12072.85</v>
      </c>
      <c r="D119" s="26">
        <f t="shared" si="30"/>
        <v>115</v>
      </c>
      <c r="E119" s="20">
        <f t="shared" si="31"/>
        <v>0.87915575178851157</v>
      </c>
      <c r="F119" s="31" t="str">
        <f t="shared" si="32"/>
        <v>B</v>
      </c>
      <c r="G119" s="32">
        <f t="shared" si="33"/>
        <v>39.615384615384613</v>
      </c>
      <c r="H119" s="32">
        <f t="shared" si="34"/>
        <v>100.93351604216254</v>
      </c>
      <c r="I119" s="33">
        <f t="shared" si="35"/>
        <v>2.5478363272778894</v>
      </c>
      <c r="J119" s="31" t="str">
        <f t="shared" si="36"/>
        <v>Z</v>
      </c>
      <c r="K119" s="31" t="str">
        <f t="shared" si="37"/>
        <v>BZ</v>
      </c>
      <c r="L119" s="33">
        <f t="shared" si="38"/>
        <v>0.51886581826300515</v>
      </c>
      <c r="M119" s="31" t="str">
        <f t="shared" si="39"/>
        <v>No</v>
      </c>
      <c r="N119" s="34">
        <f>_xlfn.XLOOKUP(A119,SKUList,SKU_Data!$C$5:$C$154)/_xlfn.XLOOKUP(A119,SKUList,SKU_Data!$D$5:$D$154)</f>
        <v>5.8686531007751936</v>
      </c>
      <c r="O119" s="31" t="str">
        <f>IF(K119=_xlfn.XLOOKUP(A119,SKUList,SKU_Data!$F$5:$F$154),"✓","≠")</f>
        <v>✓</v>
      </c>
    </row>
    <row r="120" spans="1:15" ht="15" x14ac:dyDescent="0.35">
      <c r="A120" s="9" t="str">
        <f>SKU_Data!A120</f>
        <v>47590B</v>
      </c>
      <c r="B120" s="9" t="str">
        <f>_xlfn.XLOOKUP(A120,SKUList,SKU_Data!$B$5:$B$154)</f>
        <v>PINK HAPPY BIRTHDAY BUNTING</v>
      </c>
      <c r="C120" s="27">
        <f>_xlfn.XLOOKUP(A120,SKUList,SKU_Data!$E$5:$E$154)</f>
        <v>12066.62</v>
      </c>
      <c r="D120" s="26">
        <f t="shared" si="30"/>
        <v>116</v>
      </c>
      <c r="E120" s="20">
        <f t="shared" si="31"/>
        <v>0.88292598423202073</v>
      </c>
      <c r="F120" s="31" t="str">
        <f t="shared" si="32"/>
        <v>B</v>
      </c>
      <c r="G120" s="32">
        <f t="shared" si="33"/>
        <v>44.480769230769234</v>
      </c>
      <c r="H120" s="32">
        <f t="shared" si="34"/>
        <v>41.281667765659961</v>
      </c>
      <c r="I120" s="33">
        <f t="shared" si="35"/>
        <v>0.92807899862270549</v>
      </c>
      <c r="J120" s="31" t="str">
        <f t="shared" si="36"/>
        <v>Y</v>
      </c>
      <c r="K120" s="31" t="str">
        <f t="shared" si="37"/>
        <v>BY</v>
      </c>
      <c r="L120" s="33">
        <f t="shared" si="38"/>
        <v>0.6561669829222011</v>
      </c>
      <c r="M120" s="31" t="str">
        <f t="shared" si="39"/>
        <v>No</v>
      </c>
      <c r="N120" s="34">
        <f>_xlfn.XLOOKUP(A120,SKUList,SKU_Data!$C$5:$C$154)/_xlfn.XLOOKUP(A120,SKUList,SKU_Data!$D$5:$D$154)</f>
        <v>5.2119367250961943</v>
      </c>
      <c r="O120" s="31" t="str">
        <f>IF(K120=_xlfn.XLOOKUP(A120,SKUList,SKU_Data!$F$5:$F$154),"✓","≠")</f>
        <v>✓</v>
      </c>
    </row>
    <row r="121" spans="1:15" ht="15" x14ac:dyDescent="0.35">
      <c r="A121" s="9" t="str">
        <f>SKU_Data!A121</f>
        <v>21977</v>
      </c>
      <c r="B121" s="9" t="str">
        <f>_xlfn.XLOOKUP(A121,SKUList,SKU_Data!$B$5:$B$154)</f>
        <v>PACK OF 60 PINK PAISLEY CAKE CASES</v>
      </c>
      <c r="C121" s="27">
        <f>_xlfn.XLOOKUP(A121,SKUList,SKU_Data!$E$5:$E$154)</f>
        <v>12031.15</v>
      </c>
      <c r="D121" s="26">
        <f t="shared" si="30"/>
        <v>117</v>
      </c>
      <c r="E121" s="20">
        <f t="shared" si="31"/>
        <v>0.88668513402398597</v>
      </c>
      <c r="F121" s="31" t="str">
        <f t="shared" si="32"/>
        <v>B</v>
      </c>
      <c r="G121" s="32">
        <f t="shared" si="33"/>
        <v>470.92307692307691</v>
      </c>
      <c r="H121" s="32">
        <f t="shared" si="34"/>
        <v>461.03433780303629</v>
      </c>
      <c r="I121" s="33">
        <f t="shared" si="35"/>
        <v>0.97900137070229865</v>
      </c>
      <c r="J121" s="31" t="str">
        <f t="shared" si="36"/>
        <v>Y</v>
      </c>
      <c r="K121" s="31" t="str">
        <f t="shared" si="37"/>
        <v>BY</v>
      </c>
      <c r="L121" s="33">
        <f t="shared" si="38"/>
        <v>1.2657675604605763</v>
      </c>
      <c r="M121" s="31" t="str">
        <f t="shared" si="39"/>
        <v>No</v>
      </c>
      <c r="N121" s="34">
        <f>_xlfn.XLOOKUP(A121,SKUList,SKU_Data!$C$5:$C$154)/_xlfn.XLOOKUP(A121,SKUList,SKU_Data!$D$5:$D$154)</f>
        <v>0.49152796947308597</v>
      </c>
      <c r="O121" s="31" t="str">
        <f>IF(K121=_xlfn.XLOOKUP(A121,SKUList,SKU_Data!$F$5:$F$154),"✓","≠")</f>
        <v>✓</v>
      </c>
    </row>
    <row r="122" spans="1:15" ht="15" x14ac:dyDescent="0.35">
      <c r="A122" s="9" t="str">
        <f>SKU_Data!A122</f>
        <v>22568</v>
      </c>
      <c r="B122" s="9" t="str">
        <f>_xlfn.XLOOKUP(A122,SKUList,SKU_Data!$B$5:$B$154)</f>
        <v>FELTCRAFT CUSHION OWL</v>
      </c>
      <c r="C122" s="27">
        <f>_xlfn.XLOOKUP(A122,SKUList,SKU_Data!$E$5:$E$154)</f>
        <v>11996</v>
      </c>
      <c r="D122" s="26">
        <f t="shared" si="30"/>
        <v>118</v>
      </c>
      <c r="E122" s="20">
        <f t="shared" si="31"/>
        <v>0.89043330114885899</v>
      </c>
      <c r="F122" s="31" t="str">
        <f t="shared" si="32"/>
        <v>B</v>
      </c>
      <c r="G122" s="32">
        <f t="shared" si="33"/>
        <v>62.5</v>
      </c>
      <c r="H122" s="32">
        <f t="shared" si="34"/>
        <v>72.729555445459155</v>
      </c>
      <c r="I122" s="33">
        <f t="shared" si="35"/>
        <v>1.1636728871273465</v>
      </c>
      <c r="J122" s="31" t="str">
        <f t="shared" si="36"/>
        <v>Y</v>
      </c>
      <c r="K122" s="31" t="str">
        <f t="shared" si="37"/>
        <v>BY</v>
      </c>
      <c r="L122" s="33">
        <f t="shared" si="38"/>
        <v>2.2939496234744223</v>
      </c>
      <c r="M122" s="31" t="str">
        <f t="shared" si="39"/>
        <v>Yes</v>
      </c>
      <c r="N122" s="34">
        <f>_xlfn.XLOOKUP(A122,SKUList,SKU_Data!$C$5:$C$154)/_xlfn.XLOOKUP(A122,SKUList,SKU_Data!$D$5:$D$154)</f>
        <v>3.6785974178403755</v>
      </c>
      <c r="O122" s="31" t="str">
        <f>IF(K122=_xlfn.XLOOKUP(A122,SKUList,SKU_Data!$F$5:$F$154),"✓","≠")</f>
        <v>✓</v>
      </c>
    </row>
    <row r="123" spans="1:15" ht="15" x14ac:dyDescent="0.35">
      <c r="A123" s="9" t="str">
        <f>SKU_Data!A123</f>
        <v>22087</v>
      </c>
      <c r="B123" s="9" t="str">
        <f>_xlfn.XLOOKUP(A123,SKUList,SKU_Data!$B$5:$B$154)</f>
        <v>PAPER BUNTING WHITE LACE</v>
      </c>
      <c r="C123" s="27">
        <f>_xlfn.XLOOKUP(A123,SKUList,SKU_Data!$E$5:$E$154)</f>
        <v>11776.12</v>
      </c>
      <c r="D123" s="26">
        <f t="shared" si="30"/>
        <v>119</v>
      </c>
      <c r="E123" s="20">
        <f t="shared" si="31"/>
        <v>0.89411276645750859</v>
      </c>
      <c r="F123" s="31" t="str">
        <f t="shared" si="32"/>
        <v>B</v>
      </c>
      <c r="G123" s="32">
        <f t="shared" si="33"/>
        <v>78</v>
      </c>
      <c r="H123" s="32">
        <f t="shared" si="34"/>
        <v>119.32949933593414</v>
      </c>
      <c r="I123" s="33">
        <f t="shared" si="35"/>
        <v>1.5298653761017198</v>
      </c>
      <c r="J123" s="31" t="str">
        <f t="shared" si="36"/>
        <v>Z</v>
      </c>
      <c r="K123" s="31" t="str">
        <f t="shared" si="37"/>
        <v>BZ</v>
      </c>
      <c r="L123" s="33">
        <f t="shared" si="38"/>
        <v>0.49608457321848076</v>
      </c>
      <c r="M123" s="31" t="str">
        <f t="shared" si="39"/>
        <v>No</v>
      </c>
      <c r="N123" s="34">
        <f>_xlfn.XLOOKUP(A123,SKUList,SKU_Data!$C$5:$C$154)/_xlfn.XLOOKUP(A123,SKUList,SKU_Data!$D$5:$D$154)</f>
        <v>2.9040791041219918</v>
      </c>
      <c r="O123" s="31" t="str">
        <f>IF(K123=_xlfn.XLOOKUP(A123,SKUList,SKU_Data!$F$5:$F$154),"✓","≠")</f>
        <v>✓</v>
      </c>
    </row>
    <row r="124" spans="1:15" ht="15" x14ac:dyDescent="0.35">
      <c r="A124" s="9" t="str">
        <f>SKU_Data!A124</f>
        <v>21790</v>
      </c>
      <c r="B124" s="9" t="str">
        <f>_xlfn.XLOOKUP(A124,SKUList,SKU_Data!$B$5:$B$154)</f>
        <v>VINTAGE SNAP CARDS</v>
      </c>
      <c r="C124" s="27">
        <f>_xlfn.XLOOKUP(A124,SKUList,SKU_Data!$E$5:$E$154)</f>
        <v>11718.74</v>
      </c>
      <c r="D124" s="26">
        <f t="shared" si="30"/>
        <v>120</v>
      </c>
      <c r="E124" s="20">
        <f t="shared" si="31"/>
        <v>0.89777430330420205</v>
      </c>
      <c r="F124" s="31" t="str">
        <f t="shared" si="32"/>
        <v>B</v>
      </c>
      <c r="G124" s="32">
        <f t="shared" si="33"/>
        <v>262.59615384615387</v>
      </c>
      <c r="H124" s="32">
        <f t="shared" si="34"/>
        <v>203.79384620155469</v>
      </c>
      <c r="I124" s="33">
        <f t="shared" si="35"/>
        <v>0.77607323342957468</v>
      </c>
      <c r="J124" s="31" t="str">
        <f t="shared" si="36"/>
        <v>Y</v>
      </c>
      <c r="K124" s="31" t="str">
        <f t="shared" si="37"/>
        <v>BY</v>
      </c>
      <c r="L124" s="33">
        <f t="shared" si="38"/>
        <v>2.2091443633414434</v>
      </c>
      <c r="M124" s="31" t="str">
        <f t="shared" si="39"/>
        <v>Yes</v>
      </c>
      <c r="N124" s="34">
        <f>_xlfn.XLOOKUP(A124,SKUList,SKU_Data!$C$5:$C$154)/_xlfn.XLOOKUP(A124,SKUList,SKU_Data!$D$5:$D$154)</f>
        <v>0.85815124827134426</v>
      </c>
      <c r="O124" s="31" t="str">
        <f>IF(K124=_xlfn.XLOOKUP(A124,SKUList,SKU_Data!$F$5:$F$154),"✓","≠")</f>
        <v>✓</v>
      </c>
    </row>
    <row r="125" spans="1:15" ht="15" x14ac:dyDescent="0.35">
      <c r="A125" s="9" t="str">
        <f>SKU_Data!A125</f>
        <v>22149</v>
      </c>
      <c r="B125" s="9" t="str">
        <f>_xlfn.XLOOKUP(A125,SKUList,SKU_Data!$B$5:$B$154)</f>
        <v>FELTCRAFT 6 FLOWER FRIENDS</v>
      </c>
      <c r="C125" s="27">
        <f>_xlfn.XLOOKUP(A125,SKUList,SKU_Data!$E$5:$E$154)</f>
        <v>11641.9</v>
      </c>
      <c r="D125" s="26">
        <f t="shared" si="30"/>
        <v>121</v>
      </c>
      <c r="E125" s="20">
        <f t="shared" si="31"/>
        <v>0.90141183138448377</v>
      </c>
      <c r="F125" s="31" t="str">
        <f t="shared" si="32"/>
        <v>B</v>
      </c>
      <c r="G125" s="32">
        <f t="shared" si="33"/>
        <v>108.51923076923077</v>
      </c>
      <c r="H125" s="32">
        <f t="shared" si="34"/>
        <v>166.29320790541962</v>
      </c>
      <c r="I125" s="33">
        <f t="shared" si="35"/>
        <v>1.5323846909590324</v>
      </c>
      <c r="J125" s="31" t="str">
        <f t="shared" si="36"/>
        <v>Z</v>
      </c>
      <c r="K125" s="31" t="str">
        <f t="shared" si="37"/>
        <v>BZ</v>
      </c>
      <c r="L125" s="33">
        <f t="shared" si="38"/>
        <v>1.9932131280388978</v>
      </c>
      <c r="M125" s="31" t="str">
        <f t="shared" si="39"/>
        <v>Yes</v>
      </c>
      <c r="N125" s="34">
        <f>_xlfn.XLOOKUP(A125,SKUList,SKU_Data!$C$5:$C$154)/_xlfn.XLOOKUP(A125,SKUList,SKU_Data!$D$5:$D$154)</f>
        <v>2.0428024257899779</v>
      </c>
      <c r="O125" s="31" t="str">
        <f>IF(K125=_xlfn.XLOOKUP(A125,SKUList,SKU_Data!$F$5:$F$154),"✓","≠")</f>
        <v>✓</v>
      </c>
    </row>
    <row r="126" spans="1:15" ht="15" x14ac:dyDescent="0.35">
      <c r="A126" s="9" t="str">
        <f>SKU_Data!A126</f>
        <v>22424</v>
      </c>
      <c r="B126" s="9" t="str">
        <f>_xlfn.XLOOKUP(A126,SKUList,SKU_Data!$B$5:$B$154)</f>
        <v>ENAMEL BREAD BIN CREAM</v>
      </c>
      <c r="C126" s="27">
        <f>_xlfn.XLOOKUP(A126,SKUList,SKU_Data!$E$5:$E$154)</f>
        <v>11638.63</v>
      </c>
      <c r="D126" s="26">
        <f t="shared" si="30"/>
        <v>122</v>
      </c>
      <c r="E126" s="20">
        <f t="shared" si="31"/>
        <v>0.90504833774865179</v>
      </c>
      <c r="F126" s="31" t="str">
        <f t="shared" si="32"/>
        <v>B</v>
      </c>
      <c r="G126" s="32">
        <f t="shared" si="33"/>
        <v>15.865384615384615</v>
      </c>
      <c r="H126" s="32">
        <f t="shared" si="34"/>
        <v>9.3662490580700375</v>
      </c>
      <c r="I126" s="33">
        <f t="shared" si="35"/>
        <v>0.59035751638744483</v>
      </c>
      <c r="J126" s="31" t="str">
        <f t="shared" si="36"/>
        <v>X</v>
      </c>
      <c r="K126" s="31" t="str">
        <f t="shared" si="37"/>
        <v>BX</v>
      </c>
      <c r="L126" s="33">
        <f t="shared" si="38"/>
        <v>1.0650935720097641</v>
      </c>
      <c r="M126" s="31" t="str">
        <f t="shared" si="39"/>
        <v>No</v>
      </c>
      <c r="N126" s="34">
        <f>_xlfn.XLOOKUP(A126,SKUList,SKU_Data!$C$5:$C$154)/_xlfn.XLOOKUP(A126,SKUList,SKU_Data!$D$5:$D$154)</f>
        <v>14.04903642773208</v>
      </c>
      <c r="O126" s="31" t="str">
        <f>IF(K126=_xlfn.XLOOKUP(A126,SKUList,SKU_Data!$F$5:$F$154),"✓","≠")</f>
        <v>✓</v>
      </c>
    </row>
    <row r="127" spans="1:15" ht="15" x14ac:dyDescent="0.35">
      <c r="A127" s="9" t="str">
        <f>SKU_Data!A127</f>
        <v>22188</v>
      </c>
      <c r="B127" s="9" t="str">
        <f>_xlfn.XLOOKUP(A127,SKUList,SKU_Data!$B$5:$B$154)</f>
        <v>BLACK HEART CARD HOLDER</v>
      </c>
      <c r="C127" s="27">
        <f>_xlfn.XLOOKUP(A127,SKUList,SKU_Data!$E$5:$E$154)</f>
        <v>11609.42</v>
      </c>
      <c r="D127" s="26">
        <f t="shared" si="30"/>
        <v>123</v>
      </c>
      <c r="E127" s="20">
        <f t="shared" si="31"/>
        <v>0.90867571740710817</v>
      </c>
      <c r="F127" s="31" t="str">
        <f t="shared" si="32"/>
        <v>B</v>
      </c>
      <c r="G127" s="32">
        <f t="shared" si="33"/>
        <v>86.942307692307693</v>
      </c>
      <c r="H127" s="32">
        <f t="shared" si="34"/>
        <v>293.93219262482427</v>
      </c>
      <c r="I127" s="33">
        <f t="shared" si="35"/>
        <v>3.3807728415153422</v>
      </c>
      <c r="J127" s="31" t="str">
        <f t="shared" si="36"/>
        <v>Z</v>
      </c>
      <c r="K127" s="31" t="str">
        <f t="shared" si="37"/>
        <v>BZ</v>
      </c>
      <c r="L127" s="33">
        <f t="shared" si="38"/>
        <v>1.3650694226954796</v>
      </c>
      <c r="M127" s="31" t="str">
        <f t="shared" si="39"/>
        <v>Yes</v>
      </c>
      <c r="N127" s="34">
        <f>_xlfn.XLOOKUP(A127,SKUList,SKU_Data!$C$5:$C$154)/_xlfn.XLOOKUP(A127,SKUList,SKU_Data!$D$5:$D$154)</f>
        <v>2.5687613359876136</v>
      </c>
      <c r="O127" s="31" t="str">
        <f>IF(K127=_xlfn.XLOOKUP(A127,SKUList,SKU_Data!$F$5:$F$154),"✓","≠")</f>
        <v>✓</v>
      </c>
    </row>
    <row r="128" spans="1:15" ht="15" x14ac:dyDescent="0.35">
      <c r="A128" s="9" t="str">
        <f>SKU_Data!A128</f>
        <v>20723</v>
      </c>
      <c r="B128" s="9" t="str">
        <f>_xlfn.XLOOKUP(A128,SKUList,SKU_Data!$B$5:$B$154)</f>
        <v>STRAWBERRY CHARLOTTE BAG</v>
      </c>
      <c r="C128" s="27">
        <f>_xlfn.XLOOKUP(A128,SKUList,SKU_Data!$E$5:$E$154)</f>
        <v>11592.83</v>
      </c>
      <c r="D128" s="26">
        <f t="shared" si="30"/>
        <v>124</v>
      </c>
      <c r="E128" s="20">
        <f t="shared" si="31"/>
        <v>0.91229791349665823</v>
      </c>
      <c r="F128" s="31" t="str">
        <f t="shared" si="32"/>
        <v>B</v>
      </c>
      <c r="G128" s="32">
        <f t="shared" si="33"/>
        <v>180.38461538461539</v>
      </c>
      <c r="H128" s="32">
        <f t="shared" si="34"/>
        <v>97.412233770119784</v>
      </c>
      <c r="I128" s="33">
        <f t="shared" si="35"/>
        <v>0.54002517655077065</v>
      </c>
      <c r="J128" s="31" t="str">
        <f t="shared" si="36"/>
        <v>X</v>
      </c>
      <c r="K128" s="31" t="str">
        <f t="shared" si="37"/>
        <v>BX</v>
      </c>
      <c r="L128" s="33">
        <f t="shared" si="38"/>
        <v>1.0580910114592303</v>
      </c>
      <c r="M128" s="31" t="str">
        <f t="shared" si="39"/>
        <v>No</v>
      </c>
      <c r="N128" s="34">
        <f>_xlfn.XLOOKUP(A128,SKUList,SKU_Data!$C$5:$C$154)/_xlfn.XLOOKUP(A128,SKUList,SKU_Data!$D$5:$D$154)</f>
        <v>1.2327382337387627</v>
      </c>
      <c r="O128" s="31" t="str">
        <f>IF(K128=_xlfn.XLOOKUP(A128,SKUList,SKU_Data!$F$5:$F$154),"✓","≠")</f>
        <v>✓</v>
      </c>
    </row>
    <row r="129" spans="1:15" ht="15" x14ac:dyDescent="0.35">
      <c r="A129" s="9" t="str">
        <f>SKU_Data!A129</f>
        <v>21217</v>
      </c>
      <c r="B129" s="9" t="str">
        <f>_xlfn.XLOOKUP(A129,SKUList,SKU_Data!$B$5:$B$154)</f>
        <v>RED RETROSPOT ROUND CAKE TINS</v>
      </c>
      <c r="C129" s="27">
        <f>_xlfn.XLOOKUP(A129,SKUList,SKU_Data!$E$5:$E$154)</f>
        <v>11559.07</v>
      </c>
      <c r="D129" s="26">
        <f t="shared" si="30"/>
        <v>125</v>
      </c>
      <c r="E129" s="20">
        <f t="shared" si="31"/>
        <v>0.91590956122657696</v>
      </c>
      <c r="F129" s="31" t="str">
        <f t="shared" si="32"/>
        <v>B</v>
      </c>
      <c r="G129" s="32">
        <f t="shared" si="33"/>
        <v>21.25</v>
      </c>
      <c r="H129" s="32">
        <f t="shared" si="34"/>
        <v>25.042610745311208</v>
      </c>
      <c r="I129" s="33">
        <f t="shared" si="35"/>
        <v>1.1784757997793509</v>
      </c>
      <c r="J129" s="31" t="str">
        <f t="shared" si="36"/>
        <v>Y</v>
      </c>
      <c r="K129" s="31" t="str">
        <f t="shared" si="37"/>
        <v>BY</v>
      </c>
      <c r="L129" s="33">
        <f t="shared" si="38"/>
        <v>1.3717741935483871</v>
      </c>
      <c r="M129" s="31" t="str">
        <f t="shared" si="39"/>
        <v>Yes</v>
      </c>
      <c r="N129" s="34">
        <f>_xlfn.XLOOKUP(A129,SKUList,SKU_Data!$C$5:$C$154)/_xlfn.XLOOKUP(A129,SKUList,SKU_Data!$D$5:$D$154)</f>
        <v>10.456570915619391</v>
      </c>
      <c r="O129" s="31" t="str">
        <f>IF(K129=_xlfn.XLOOKUP(A129,SKUList,SKU_Data!$F$5:$F$154),"✓","≠")</f>
        <v>✓</v>
      </c>
    </row>
    <row r="130" spans="1:15" ht="15" x14ac:dyDescent="0.35">
      <c r="A130" s="9" t="str">
        <f>SKU_Data!A130</f>
        <v>21430</v>
      </c>
      <c r="B130" s="9" t="str">
        <f>_xlfn.XLOOKUP(A130,SKUList,SKU_Data!$B$5:$B$154)</f>
        <v>SET/3 RED GINGHAM ROSE STORAGE BOX</v>
      </c>
      <c r="C130" s="27">
        <f>_xlfn.XLOOKUP(A130,SKUList,SKU_Data!$E$5:$E$154)</f>
        <v>11526.91</v>
      </c>
      <c r="D130" s="26">
        <f t="shared" si="30"/>
        <v>126</v>
      </c>
      <c r="E130" s="20">
        <f t="shared" si="31"/>
        <v>0.91951116051912207</v>
      </c>
      <c r="F130" s="31" t="str">
        <f t="shared" si="32"/>
        <v>B</v>
      </c>
      <c r="G130" s="32">
        <f t="shared" si="33"/>
        <v>56.78846153846154</v>
      </c>
      <c r="H130" s="32">
        <f t="shared" si="34"/>
        <v>60.580633849331143</v>
      </c>
      <c r="I130" s="33">
        <f t="shared" si="35"/>
        <v>1.0667771622638738</v>
      </c>
      <c r="J130" s="31" t="str">
        <f t="shared" si="36"/>
        <v>Y</v>
      </c>
      <c r="K130" s="31" t="str">
        <f t="shared" si="37"/>
        <v>BY</v>
      </c>
      <c r="L130" s="33">
        <f t="shared" si="38"/>
        <v>1.815952503871967</v>
      </c>
      <c r="M130" s="31" t="str">
        <f t="shared" si="39"/>
        <v>Yes</v>
      </c>
      <c r="N130" s="34">
        <f>_xlfn.XLOOKUP(A130,SKUList,SKU_Data!$C$5:$C$154)/_xlfn.XLOOKUP(A130,SKUList,SKU_Data!$D$5:$D$154)</f>
        <v>3.8981590377547612</v>
      </c>
      <c r="O130" s="31" t="str">
        <f>IF(K130=_xlfn.XLOOKUP(A130,SKUList,SKU_Data!$F$5:$F$154),"✓","≠")</f>
        <v>✓</v>
      </c>
    </row>
    <row r="131" spans="1:15" ht="15" x14ac:dyDescent="0.35">
      <c r="A131" s="9" t="str">
        <f>SKU_Data!A131</f>
        <v>20749</v>
      </c>
      <c r="B131" s="9" t="str">
        <f>_xlfn.XLOOKUP(A131,SKUList,SKU_Data!$B$5:$B$154)</f>
        <v>ASSORTED COLOUR MINI CASES</v>
      </c>
      <c r="C131" s="27">
        <f>_xlfn.XLOOKUP(A131,SKUList,SKU_Data!$E$5:$E$154)</f>
        <v>11371.44</v>
      </c>
      <c r="D131" s="26">
        <f t="shared" si="30"/>
        <v>127</v>
      </c>
      <c r="E131" s="20">
        <f t="shared" si="31"/>
        <v>0.92306418299081805</v>
      </c>
      <c r="F131" s="31" t="str">
        <f t="shared" si="32"/>
        <v>B</v>
      </c>
      <c r="G131" s="32">
        <f t="shared" si="33"/>
        <v>30.53846153846154</v>
      </c>
      <c r="H131" s="32">
        <f t="shared" si="34"/>
        <v>37.022230490988832</v>
      </c>
      <c r="I131" s="33">
        <f t="shared" si="35"/>
        <v>1.2123148523497602</v>
      </c>
      <c r="J131" s="31" t="str">
        <f t="shared" si="36"/>
        <v>Y</v>
      </c>
      <c r="K131" s="31" t="str">
        <f t="shared" si="37"/>
        <v>BY</v>
      </c>
      <c r="L131" s="33">
        <f t="shared" si="38"/>
        <v>1.4144144144144144</v>
      </c>
      <c r="M131" s="31" t="str">
        <f t="shared" si="39"/>
        <v>Yes</v>
      </c>
      <c r="N131" s="34">
        <f>_xlfn.XLOOKUP(A131,SKUList,SKU_Data!$C$5:$C$154)/_xlfn.XLOOKUP(A131,SKUList,SKU_Data!$D$5:$D$154)</f>
        <v>7.16930407523511</v>
      </c>
      <c r="O131" s="31" t="str">
        <f>IF(K131=_xlfn.XLOOKUP(A131,SKUList,SKU_Data!$F$5:$F$154),"✓","≠")</f>
        <v>✓</v>
      </c>
    </row>
    <row r="132" spans="1:15" ht="15" x14ac:dyDescent="0.35">
      <c r="A132" s="9" t="str">
        <f>SKU_Data!A132</f>
        <v>21936</v>
      </c>
      <c r="B132" s="9" t="str">
        <f>_xlfn.XLOOKUP(A132,SKUList,SKU_Data!$B$5:$B$154)</f>
        <v>RED RETROSPOT PICNIC BAG</v>
      </c>
      <c r="C132" s="27">
        <f>_xlfn.XLOOKUP(A132,SKUList,SKU_Data!$E$5:$E$154)</f>
        <v>11352.62</v>
      </c>
      <c r="D132" s="26">
        <f t="shared" si="30"/>
        <v>128</v>
      </c>
      <c r="E132" s="20">
        <f t="shared" si="31"/>
        <v>0.92661132512696154</v>
      </c>
      <c r="F132" s="31" t="str">
        <f t="shared" si="32"/>
        <v>B</v>
      </c>
      <c r="G132" s="32">
        <f t="shared" si="33"/>
        <v>74.980769230769226</v>
      </c>
      <c r="H132" s="32">
        <f t="shared" si="34"/>
        <v>90.780383642605528</v>
      </c>
      <c r="I132" s="33">
        <f t="shared" si="35"/>
        <v>1.2107155551206688</v>
      </c>
      <c r="J132" s="31" t="str">
        <f t="shared" si="36"/>
        <v>Y</v>
      </c>
      <c r="K132" s="31" t="str">
        <f t="shared" si="37"/>
        <v>BY</v>
      </c>
      <c r="L132" s="33">
        <f t="shared" si="38"/>
        <v>0.30389645409195093</v>
      </c>
      <c r="M132" s="31" t="str">
        <f t="shared" si="39"/>
        <v>No</v>
      </c>
      <c r="N132" s="34">
        <f>_xlfn.XLOOKUP(A132,SKUList,SKU_Data!$C$5:$C$154)/_xlfn.XLOOKUP(A132,SKUList,SKU_Data!$D$5:$D$154)</f>
        <v>2.921248730964467</v>
      </c>
      <c r="O132" s="31" t="str">
        <f>IF(K132=_xlfn.XLOOKUP(A132,SKUList,SKU_Data!$F$5:$F$154),"✓","≠")</f>
        <v>✓</v>
      </c>
    </row>
    <row r="133" spans="1:15" ht="15" x14ac:dyDescent="0.35">
      <c r="A133" s="9" t="str">
        <f>SKU_Data!A133</f>
        <v>21080</v>
      </c>
      <c r="B133" s="9" t="str">
        <f>_xlfn.XLOOKUP(A133,SKUList,SKU_Data!$B$5:$B$154)</f>
        <v>SET/20 RED RETROSPOT PAPER NAPKINS</v>
      </c>
      <c r="C133" s="27">
        <f>_xlfn.XLOOKUP(A133,SKUList,SKU_Data!$E$5:$E$154)</f>
        <v>11199.93</v>
      </c>
      <c r="D133" s="26">
        <f t="shared" ref="D133:D154" si="40">_xlfn.RANK.EQ(C133,$C$5:$C$154)</f>
        <v>129</v>
      </c>
      <c r="E133" s="20">
        <f t="shared" ref="E133:E154" si="41">SUMIFS($C$5:$C$154,$C$5:$C$154,"&gt;="&amp;C133)/SUM($C$5:$C$154)</f>
        <v>0.93011075905717822</v>
      </c>
      <c r="F133" s="31" t="str">
        <f t="shared" ref="F133:F154" si="42">IF(E133&lt;=A_Limit,"A",IF(E133&lt;=B_Limit,"B","C"))</f>
        <v>B</v>
      </c>
      <c r="G133" s="32">
        <f t="shared" ref="G133:G154" si="43">AVERAGE(_xlfn.XLOOKUP(A133,DemandCodes,DemandLast52))</f>
        <v>251.34615384615384</v>
      </c>
      <c r="H133" s="32">
        <f t="shared" ref="H133:H154" si="44">_xlfn.STDEV.S(_xlfn.XLOOKUP(A133,DemandCodes,DemandLast52))</f>
        <v>137.53785712224754</v>
      </c>
      <c r="I133" s="33">
        <f t="shared" ref="I133:I154" si="45">H133/G133</f>
        <v>0.5472049403486513</v>
      </c>
      <c r="J133" s="31" t="str">
        <f t="shared" ref="J133:J154" si="46">IF(I133&lt;=X_Limit,"X",IF(I133&lt;=Y_Limit,"Y","Z"))</f>
        <v>X</v>
      </c>
      <c r="K133" s="31" t="str">
        <f t="shared" ref="K133:K154" si="47">F133&amp;J133</f>
        <v>BX</v>
      </c>
      <c r="L133" s="33">
        <f t="shared" ref="L133:L154" si="48">AVERAGE(_xlfn.XLOOKUP(A133,DemandCodes,DemandPeak2010))/AVERAGE(_xlfn.XLOOKUP(A133,DemandCodes,DemandTrain))</f>
        <v>0.97526475869397922</v>
      </c>
      <c r="M133" s="31" t="str">
        <f t="shared" ref="M133:M154" si="49">IF(L133&gt;=SeasonalLimit,"Yes","No")</f>
        <v>No</v>
      </c>
      <c r="N133" s="34">
        <f>_xlfn.XLOOKUP(A133,SKUList,SKU_Data!$C$5:$C$154)/_xlfn.XLOOKUP(A133,SKUList,SKU_Data!$D$5:$D$154)</f>
        <v>0.85690991059830357</v>
      </c>
      <c r="O133" s="31" t="str">
        <f>IF(K133=_xlfn.XLOOKUP(A133,SKUList,SKU_Data!$F$5:$F$154),"✓","≠")</f>
        <v>✓</v>
      </c>
    </row>
    <row r="134" spans="1:15" ht="15" x14ac:dyDescent="0.35">
      <c r="A134" s="9" t="str">
        <f>SKU_Data!A134</f>
        <v>22692</v>
      </c>
      <c r="B134" s="9" t="str">
        <f>_xlfn.XLOOKUP(A134,SKUList,SKU_Data!$B$5:$B$154)</f>
        <v>DOORMAT WELCOME TO OUR HOME</v>
      </c>
      <c r="C134" s="27">
        <f>_xlfn.XLOOKUP(A134,SKUList,SKU_Data!$E$5:$E$154)</f>
        <v>11163.04</v>
      </c>
      <c r="D134" s="26">
        <f t="shared" si="40"/>
        <v>130</v>
      </c>
      <c r="E134" s="20">
        <f t="shared" si="41"/>
        <v>0.9335986666548477</v>
      </c>
      <c r="F134" s="31" t="str">
        <f t="shared" si="42"/>
        <v>B</v>
      </c>
      <c r="G134" s="32">
        <f t="shared" si="43"/>
        <v>28.51923076923077</v>
      </c>
      <c r="H134" s="32">
        <f t="shared" si="44"/>
        <v>43.697485181202218</v>
      </c>
      <c r="I134" s="33">
        <f t="shared" si="45"/>
        <v>1.5322112133664971</v>
      </c>
      <c r="J134" s="31" t="str">
        <f t="shared" si="46"/>
        <v>Z</v>
      </c>
      <c r="K134" s="31" t="str">
        <f t="shared" si="47"/>
        <v>BZ</v>
      </c>
      <c r="L134" s="33">
        <f t="shared" si="48"/>
        <v>1.1188118811881187</v>
      </c>
      <c r="M134" s="31" t="str">
        <f t="shared" si="49"/>
        <v>No</v>
      </c>
      <c r="N134" s="34">
        <f>_xlfn.XLOOKUP(A134,SKUList,SKU_Data!$C$5:$C$154)/_xlfn.XLOOKUP(A134,SKUList,SKU_Data!$D$5:$D$154)</f>
        <v>7.5281897711978463</v>
      </c>
      <c r="O134" s="31" t="str">
        <f>IF(K134=_xlfn.XLOOKUP(A134,SKUList,SKU_Data!$F$5:$F$154),"✓","≠")</f>
        <v>✓</v>
      </c>
    </row>
    <row r="135" spans="1:15" ht="15" x14ac:dyDescent="0.35">
      <c r="A135" s="9" t="str">
        <f>SKU_Data!A135</f>
        <v>21108</v>
      </c>
      <c r="B135" s="9" t="str">
        <f>_xlfn.XLOOKUP(A135,SKUList,SKU_Data!$B$5:$B$154)</f>
        <v>FAIRY CAKE FLANNEL ASSORTED COLOUR</v>
      </c>
      <c r="C135" s="27">
        <f>_xlfn.XLOOKUP(A135,SKUList,SKU_Data!$E$5:$E$154)</f>
        <v>11142.24</v>
      </c>
      <c r="D135" s="26">
        <f t="shared" si="40"/>
        <v>131</v>
      </c>
      <c r="E135" s="20">
        <f t="shared" si="41"/>
        <v>0.93708007526317094</v>
      </c>
      <c r="F135" s="31" t="str">
        <f t="shared" si="42"/>
        <v>B</v>
      </c>
      <c r="G135" s="32">
        <f t="shared" si="43"/>
        <v>129.53846153846155</v>
      </c>
      <c r="H135" s="32">
        <f t="shared" si="44"/>
        <v>457.72260036386803</v>
      </c>
      <c r="I135" s="33">
        <f t="shared" si="45"/>
        <v>3.5334880075595509</v>
      </c>
      <c r="J135" s="31" t="str">
        <f t="shared" si="46"/>
        <v>Z</v>
      </c>
      <c r="K135" s="31" t="str">
        <f t="shared" si="47"/>
        <v>BZ</v>
      </c>
      <c r="L135" s="33">
        <f t="shared" si="48"/>
        <v>1.119428750784683</v>
      </c>
      <c r="M135" s="31" t="str">
        <f t="shared" si="49"/>
        <v>No</v>
      </c>
      <c r="N135" s="34">
        <f>_xlfn.XLOOKUP(A135,SKUList,SKU_Data!$C$5:$C$154)/_xlfn.XLOOKUP(A135,SKUList,SKU_Data!$D$5:$D$154)</f>
        <v>1.7932569922983381</v>
      </c>
      <c r="O135" s="31" t="str">
        <f>IF(K135=_xlfn.XLOOKUP(A135,SKUList,SKU_Data!$F$5:$F$154),"✓","≠")</f>
        <v>✓</v>
      </c>
    </row>
    <row r="136" spans="1:15" ht="15" x14ac:dyDescent="0.35">
      <c r="A136" s="9" t="str">
        <f>SKU_Data!A136</f>
        <v>20711</v>
      </c>
      <c r="B136" s="9" t="str">
        <f>_xlfn.XLOOKUP(A136,SKUList,SKU_Data!$B$5:$B$154)</f>
        <v>JUMBO BAG TOYS</v>
      </c>
      <c r="C136" s="27">
        <f>_xlfn.XLOOKUP(A136,SKUList,SKU_Data!$E$5:$E$154)</f>
        <v>11113.1</v>
      </c>
      <c r="D136" s="26">
        <f t="shared" si="40"/>
        <v>132</v>
      </c>
      <c r="E136" s="20">
        <f t="shared" si="41"/>
        <v>0.9405523790373812</v>
      </c>
      <c r="F136" s="31" t="str">
        <f t="shared" si="42"/>
        <v>B</v>
      </c>
      <c r="G136" s="32">
        <f t="shared" si="43"/>
        <v>97.07692307692308</v>
      </c>
      <c r="H136" s="32">
        <f t="shared" si="44"/>
        <v>113.39741777912916</v>
      </c>
      <c r="I136" s="33">
        <f t="shared" si="45"/>
        <v>1.1681192005774002</v>
      </c>
      <c r="J136" s="31" t="str">
        <f t="shared" si="46"/>
        <v>Y</v>
      </c>
      <c r="K136" s="31" t="str">
        <f t="shared" si="47"/>
        <v>BY</v>
      </c>
      <c r="L136" s="33">
        <f t="shared" si="48"/>
        <v>1.4103194103194103</v>
      </c>
      <c r="M136" s="31" t="str">
        <f t="shared" si="49"/>
        <v>Yes</v>
      </c>
      <c r="N136" s="34">
        <f>_xlfn.XLOOKUP(A136,SKUList,SKU_Data!$C$5:$C$154)/_xlfn.XLOOKUP(A136,SKUList,SKU_Data!$D$5:$D$154)</f>
        <v>2.1998836291913215</v>
      </c>
      <c r="O136" s="31" t="str">
        <f>IF(K136=_xlfn.XLOOKUP(A136,SKUList,SKU_Data!$F$5:$F$154),"✓","≠")</f>
        <v>✓</v>
      </c>
    </row>
    <row r="137" spans="1:15" ht="15" x14ac:dyDescent="0.35">
      <c r="A137" s="9" t="str">
        <f>SKU_Data!A137</f>
        <v>21216</v>
      </c>
      <c r="B137" s="9" t="str">
        <f>_xlfn.XLOOKUP(A137,SKUList,SKU_Data!$B$5:$B$154)</f>
        <v>SET 3 RETROSPOT TEA,COFFEE,SUGAR</v>
      </c>
      <c r="C137" s="27">
        <f>_xlfn.XLOOKUP(A137,SKUList,SKU_Data!$E$5:$E$154)</f>
        <v>11098.79</v>
      </c>
      <c r="D137" s="26">
        <f t="shared" si="40"/>
        <v>133</v>
      </c>
      <c r="E137" s="20">
        <f t="shared" si="41"/>
        <v>0.94402021163190186</v>
      </c>
      <c r="F137" s="31" t="str">
        <f t="shared" si="42"/>
        <v>B</v>
      </c>
      <c r="G137" s="32">
        <f t="shared" si="43"/>
        <v>40.03846153846154</v>
      </c>
      <c r="H137" s="32">
        <f t="shared" si="44"/>
        <v>32.709033074145594</v>
      </c>
      <c r="I137" s="33">
        <f t="shared" si="45"/>
        <v>0.81694030732736356</v>
      </c>
      <c r="J137" s="31" t="str">
        <f t="shared" si="46"/>
        <v>Y</v>
      </c>
      <c r="K137" s="31" t="str">
        <f t="shared" si="47"/>
        <v>BY</v>
      </c>
      <c r="L137" s="33">
        <f t="shared" si="48"/>
        <v>0.7343096234309624</v>
      </c>
      <c r="M137" s="31" t="str">
        <f t="shared" si="49"/>
        <v>No</v>
      </c>
      <c r="N137" s="34">
        <f>_xlfn.XLOOKUP(A137,SKUList,SKU_Data!$C$5:$C$154)/_xlfn.XLOOKUP(A137,SKUList,SKU_Data!$D$5:$D$154)</f>
        <v>5.3277730090605626</v>
      </c>
      <c r="O137" s="31" t="str">
        <f>IF(K137=_xlfn.XLOOKUP(A137,SKUList,SKU_Data!$F$5:$F$154),"✓","≠")</f>
        <v>✓</v>
      </c>
    </row>
    <row r="138" spans="1:15" ht="15" x14ac:dyDescent="0.35">
      <c r="A138" s="9" t="str">
        <f>SKU_Data!A138</f>
        <v>22662</v>
      </c>
      <c r="B138" s="9" t="str">
        <f>_xlfn.XLOOKUP(A138,SKUList,SKU_Data!$B$5:$B$154)</f>
        <v>LUNCH BAG DOLLY GIRL DESIGN</v>
      </c>
      <c r="C138" s="27">
        <f>_xlfn.XLOOKUP(A138,SKUList,SKU_Data!$E$5:$E$154)</f>
        <v>11011.22</v>
      </c>
      <c r="D138" s="26">
        <f t="shared" si="40"/>
        <v>134</v>
      </c>
      <c r="E138" s="20">
        <f t="shared" si="41"/>
        <v>0.94746068285637208</v>
      </c>
      <c r="F138" s="31" t="str">
        <f t="shared" si="42"/>
        <v>B</v>
      </c>
      <c r="G138" s="32">
        <f t="shared" si="43"/>
        <v>128.84615384615384</v>
      </c>
      <c r="H138" s="32">
        <f t="shared" si="44"/>
        <v>90.248976880928126</v>
      </c>
      <c r="I138" s="33">
        <f t="shared" si="45"/>
        <v>0.70043982056839738</v>
      </c>
      <c r="J138" s="31" t="str">
        <f t="shared" si="46"/>
        <v>X</v>
      </c>
      <c r="K138" s="31" t="str">
        <f t="shared" si="47"/>
        <v>BX</v>
      </c>
      <c r="L138" s="33">
        <f t="shared" si="48"/>
        <v>1.558167426241305</v>
      </c>
      <c r="M138" s="31" t="str">
        <f t="shared" si="49"/>
        <v>Yes</v>
      </c>
      <c r="N138" s="34">
        <f>_xlfn.XLOOKUP(A138,SKUList,SKU_Data!$C$5:$C$154)/_xlfn.XLOOKUP(A138,SKUList,SKU_Data!$D$5:$D$154)</f>
        <v>1.6434822093196368</v>
      </c>
      <c r="O138" s="31" t="str">
        <f>IF(K138=_xlfn.XLOOKUP(A138,SKUList,SKU_Data!$F$5:$F$154),"✓","≠")</f>
        <v>✓</v>
      </c>
    </row>
    <row r="139" spans="1:15" ht="15" x14ac:dyDescent="0.35">
      <c r="A139" s="9" t="str">
        <f>SKU_Data!A139</f>
        <v>22193</v>
      </c>
      <c r="B139" s="9" t="str">
        <f>_xlfn.XLOOKUP(A139,SKUList,SKU_Data!$B$5:$B$154)</f>
        <v>RED DINER WALL CLOCK</v>
      </c>
      <c r="C139" s="27">
        <f>_xlfn.XLOOKUP(A139,SKUList,SKU_Data!$E$5:$E$154)</f>
        <v>10950.03</v>
      </c>
      <c r="D139" s="26">
        <f t="shared" si="40"/>
        <v>135</v>
      </c>
      <c r="E139" s="20">
        <f t="shared" si="41"/>
        <v>0.95088203517901071</v>
      </c>
      <c r="F139" s="31" t="str">
        <f t="shared" si="42"/>
        <v>C</v>
      </c>
      <c r="G139" s="32">
        <f t="shared" si="43"/>
        <v>24.923076923076923</v>
      </c>
      <c r="H139" s="32">
        <f t="shared" si="44"/>
        <v>21.669393029535382</v>
      </c>
      <c r="I139" s="33">
        <f t="shared" si="45"/>
        <v>0.86945095488876534</v>
      </c>
      <c r="J139" s="31" t="str">
        <f t="shared" si="46"/>
        <v>Y</v>
      </c>
      <c r="K139" s="31" t="str">
        <f t="shared" si="47"/>
        <v>CY</v>
      </c>
      <c r="L139" s="33">
        <f t="shared" si="48"/>
        <v>1.2188771358828314</v>
      </c>
      <c r="M139" s="31" t="str">
        <f t="shared" si="49"/>
        <v>No</v>
      </c>
      <c r="N139" s="34">
        <f>_xlfn.XLOOKUP(A139,SKUList,SKU_Data!$C$5:$C$154)/_xlfn.XLOOKUP(A139,SKUList,SKU_Data!$D$5:$D$154)</f>
        <v>8.4416515151515146</v>
      </c>
      <c r="O139" s="31" t="str">
        <f>IF(K139=_xlfn.XLOOKUP(A139,SKUList,SKU_Data!$F$5:$F$154),"✓","≠")</f>
        <v>✓</v>
      </c>
    </row>
    <row r="140" spans="1:15" ht="15" x14ac:dyDescent="0.35">
      <c r="A140" s="9" t="str">
        <f>SKU_Data!A140</f>
        <v>85014B</v>
      </c>
      <c r="B140" s="9" t="str">
        <f>_xlfn.XLOOKUP(A140,SKUList,SKU_Data!$B$5:$B$154)</f>
        <v>RED RETROSPOT UMBRELLA</v>
      </c>
      <c r="C140" s="27">
        <f>_xlfn.XLOOKUP(A140,SKUList,SKU_Data!$E$5:$E$154)</f>
        <v>10929.88</v>
      </c>
      <c r="D140" s="26">
        <f t="shared" si="40"/>
        <v>136</v>
      </c>
      <c r="E140" s="20">
        <f t="shared" si="41"/>
        <v>0.95429709160572018</v>
      </c>
      <c r="F140" s="31" t="str">
        <f t="shared" si="42"/>
        <v>C</v>
      </c>
      <c r="G140" s="32">
        <f t="shared" si="43"/>
        <v>36.096153846153847</v>
      </c>
      <c r="H140" s="32">
        <f t="shared" si="44"/>
        <v>38.860363200236549</v>
      </c>
      <c r="I140" s="33">
        <f t="shared" si="45"/>
        <v>1.0765790550944596</v>
      </c>
      <c r="J140" s="31" t="str">
        <f t="shared" si="46"/>
        <v>Y</v>
      </c>
      <c r="K140" s="31" t="str">
        <f t="shared" si="47"/>
        <v>CY</v>
      </c>
      <c r="L140" s="33">
        <f t="shared" si="48"/>
        <v>1.5162891046386191</v>
      </c>
      <c r="M140" s="31" t="str">
        <f t="shared" si="49"/>
        <v>Yes</v>
      </c>
      <c r="N140" s="34">
        <f>_xlfn.XLOOKUP(A140,SKUList,SKU_Data!$C$5:$C$154)/_xlfn.XLOOKUP(A140,SKUList,SKU_Data!$D$5:$D$154)</f>
        <v>5.8231931878658862</v>
      </c>
      <c r="O140" s="31" t="str">
        <f>IF(K140=_xlfn.XLOOKUP(A140,SKUList,SKU_Data!$F$5:$F$154),"✓","≠")</f>
        <v>✓</v>
      </c>
    </row>
    <row r="141" spans="1:15" ht="15" x14ac:dyDescent="0.35">
      <c r="A141" s="9" t="str">
        <f>SKU_Data!A141</f>
        <v>22041</v>
      </c>
      <c r="B141" s="9" t="str">
        <f>_xlfn.XLOOKUP(A141,SKUList,SKU_Data!$B$5:$B$154)</f>
        <v>RECORD FRAME 7" SINGLE SIZE</v>
      </c>
      <c r="C141" s="27">
        <f>_xlfn.XLOOKUP(A141,SKUList,SKU_Data!$E$5:$E$154)</f>
        <v>10862.36</v>
      </c>
      <c r="D141" s="26">
        <f t="shared" si="40"/>
        <v>137</v>
      </c>
      <c r="E141" s="20">
        <f t="shared" si="41"/>
        <v>0.95769105131316723</v>
      </c>
      <c r="F141" s="31" t="str">
        <f t="shared" si="42"/>
        <v>C</v>
      </c>
      <c r="G141" s="32">
        <f t="shared" si="43"/>
        <v>80.865384615384613</v>
      </c>
      <c r="H141" s="32">
        <f t="shared" si="44"/>
        <v>55.548964038328592</v>
      </c>
      <c r="I141" s="33">
        <f t="shared" si="45"/>
        <v>0.68693130320881968</v>
      </c>
      <c r="J141" s="31" t="str">
        <f t="shared" si="46"/>
        <v>X</v>
      </c>
      <c r="K141" s="31" t="str">
        <f t="shared" si="47"/>
        <v>CX</v>
      </c>
      <c r="L141" s="33">
        <f t="shared" si="48"/>
        <v>1.7270019274575084</v>
      </c>
      <c r="M141" s="31" t="str">
        <f t="shared" si="49"/>
        <v>Yes</v>
      </c>
      <c r="N141" s="34">
        <f>_xlfn.XLOOKUP(A141,SKUList,SKU_Data!$C$5:$C$154)/_xlfn.XLOOKUP(A141,SKUList,SKU_Data!$D$5:$D$154)</f>
        <v>2.5823441573832659</v>
      </c>
      <c r="O141" s="31" t="str">
        <f>IF(K141=_xlfn.XLOOKUP(A141,SKUList,SKU_Data!$F$5:$F$154),"✓","≠")</f>
        <v>✓</v>
      </c>
    </row>
    <row r="142" spans="1:15" ht="15" x14ac:dyDescent="0.35">
      <c r="A142" s="9" t="str">
        <f>SKU_Data!A142</f>
        <v>21340</v>
      </c>
      <c r="B142" s="9" t="str">
        <f>_xlfn.XLOOKUP(A142,SKUList,SKU_Data!$B$5:$B$154)</f>
        <v>CLASSIC METAL BIRDCAGE PLANT HOLDER</v>
      </c>
      <c r="C142" s="27">
        <f>_xlfn.XLOOKUP(A142,SKUList,SKU_Data!$E$5:$E$154)</f>
        <v>10760.65</v>
      </c>
      <c r="D142" s="26">
        <f t="shared" si="40"/>
        <v>138</v>
      </c>
      <c r="E142" s="20">
        <f t="shared" si="41"/>
        <v>0.96105323158761402</v>
      </c>
      <c r="F142" s="31" t="str">
        <f t="shared" si="42"/>
        <v>C</v>
      </c>
      <c r="G142" s="32">
        <f t="shared" si="43"/>
        <v>17.884615384615383</v>
      </c>
      <c r="H142" s="32">
        <f t="shared" si="44"/>
        <v>12.369560751397106</v>
      </c>
      <c r="I142" s="33">
        <f t="shared" si="45"/>
        <v>0.69163135384155872</v>
      </c>
      <c r="J142" s="31" t="str">
        <f t="shared" si="46"/>
        <v>X</v>
      </c>
      <c r="K142" s="31" t="str">
        <f t="shared" si="47"/>
        <v>CX</v>
      </c>
      <c r="L142" s="33">
        <f t="shared" si="48"/>
        <v>1.2800815771583958</v>
      </c>
      <c r="M142" s="31" t="str">
        <f t="shared" si="49"/>
        <v>No</v>
      </c>
      <c r="N142" s="34">
        <f>_xlfn.XLOOKUP(A142,SKUList,SKU_Data!$C$5:$C$154)/_xlfn.XLOOKUP(A142,SKUList,SKU_Data!$D$5:$D$154)</f>
        <v>11.543684759916493</v>
      </c>
      <c r="O142" s="31" t="str">
        <f>IF(K142=_xlfn.XLOOKUP(A142,SKUList,SKU_Data!$F$5:$F$154),"✓","≠")</f>
        <v>✓</v>
      </c>
    </row>
    <row r="143" spans="1:15" ht="15" x14ac:dyDescent="0.35">
      <c r="A143" s="9" t="str">
        <f>SKU_Data!A143</f>
        <v>22605</v>
      </c>
      <c r="B143" s="9" t="str">
        <f>_xlfn.XLOOKUP(A143,SKUList,SKU_Data!$B$5:$B$154)</f>
        <v>WOODEN CROQUET GARDEN SET</v>
      </c>
      <c r="C143" s="27">
        <f>_xlfn.XLOOKUP(A143,SKUList,SKU_Data!$E$5:$E$154)</f>
        <v>10684.78</v>
      </c>
      <c r="D143" s="26">
        <f t="shared" si="40"/>
        <v>139</v>
      </c>
      <c r="E143" s="20">
        <f t="shared" si="41"/>
        <v>0.96439170617351766</v>
      </c>
      <c r="F143" s="31" t="str">
        <f t="shared" si="42"/>
        <v>C</v>
      </c>
      <c r="G143" s="32">
        <f t="shared" si="43"/>
        <v>14.307692307692308</v>
      </c>
      <c r="H143" s="32">
        <f t="shared" si="44"/>
        <v>11.383749100790284</v>
      </c>
      <c r="I143" s="33">
        <f t="shared" si="45"/>
        <v>0.79563837801222415</v>
      </c>
      <c r="J143" s="31" t="str">
        <f t="shared" si="46"/>
        <v>Y</v>
      </c>
      <c r="K143" s="31" t="str">
        <f t="shared" si="47"/>
        <v>CY</v>
      </c>
      <c r="L143" s="33">
        <f t="shared" si="48"/>
        <v>0.35332541567695958</v>
      </c>
      <c r="M143" s="31" t="str">
        <f t="shared" si="49"/>
        <v>No</v>
      </c>
      <c r="N143" s="34">
        <f>_xlfn.XLOOKUP(A143,SKUList,SKU_Data!$C$5:$C$154)/_xlfn.XLOOKUP(A143,SKUList,SKU_Data!$D$5:$D$154)</f>
        <v>14.341984021304926</v>
      </c>
      <c r="O143" s="31" t="str">
        <f>IF(K143=_xlfn.XLOOKUP(A143,SKUList,SKU_Data!$F$5:$F$154),"✓","≠")</f>
        <v>✓</v>
      </c>
    </row>
    <row r="144" spans="1:15" ht="15" x14ac:dyDescent="0.35">
      <c r="A144" s="9" t="str">
        <f>SKU_Data!A144</f>
        <v>22356</v>
      </c>
      <c r="B144" s="9" t="str">
        <f>_xlfn.XLOOKUP(A144,SKUList,SKU_Data!$B$5:$B$154)</f>
        <v>CHARLOTTE BAG PINK POLKADOT</v>
      </c>
      <c r="C144" s="27">
        <f>_xlfn.XLOOKUP(A144,SKUList,SKU_Data!$E$5:$E$154)</f>
        <v>10610.2</v>
      </c>
      <c r="D144" s="26">
        <f t="shared" si="40"/>
        <v>140</v>
      </c>
      <c r="E144" s="20">
        <f t="shared" si="41"/>
        <v>0.96770687813319833</v>
      </c>
      <c r="F144" s="31" t="str">
        <f t="shared" si="42"/>
        <v>C</v>
      </c>
      <c r="G144" s="32">
        <f t="shared" si="43"/>
        <v>175.57692307692307</v>
      </c>
      <c r="H144" s="32">
        <f t="shared" si="44"/>
        <v>98.124440031642351</v>
      </c>
      <c r="I144" s="33">
        <f t="shared" si="45"/>
        <v>0.55886866173553151</v>
      </c>
      <c r="J144" s="31" t="str">
        <f t="shared" si="46"/>
        <v>X</v>
      </c>
      <c r="K144" s="31" t="str">
        <f t="shared" si="47"/>
        <v>CX</v>
      </c>
      <c r="L144" s="33">
        <f t="shared" si="48"/>
        <v>0.99845631367706078</v>
      </c>
      <c r="M144" s="31" t="str">
        <f t="shared" si="49"/>
        <v>No</v>
      </c>
      <c r="N144" s="34">
        <f>_xlfn.XLOOKUP(A144,SKUList,SKU_Data!$C$5:$C$154)/_xlfn.XLOOKUP(A144,SKUList,SKU_Data!$D$5:$D$154)</f>
        <v>1.1506736909323116</v>
      </c>
      <c r="O144" s="31" t="str">
        <f>IF(K144=_xlfn.XLOOKUP(A144,SKUList,SKU_Data!$F$5:$F$154),"✓","≠")</f>
        <v>✓</v>
      </c>
    </row>
    <row r="145" spans="1:15" ht="15" x14ac:dyDescent="0.35">
      <c r="A145" s="9" t="str">
        <f>SKU_Data!A145</f>
        <v>71459</v>
      </c>
      <c r="B145" s="9" t="str">
        <f>_xlfn.XLOOKUP(A145,SKUList,SKU_Data!$B$5:$B$154)</f>
        <v>HANGING JAM JAR T-LIGHT HOLDER</v>
      </c>
      <c r="C145" s="27">
        <f>_xlfn.XLOOKUP(A145,SKUList,SKU_Data!$E$5:$E$154)</f>
        <v>10609.89</v>
      </c>
      <c r="D145" s="26">
        <f t="shared" si="40"/>
        <v>141</v>
      </c>
      <c r="E145" s="20">
        <f t="shared" si="41"/>
        <v>0.97102195323294149</v>
      </c>
      <c r="F145" s="31" t="str">
        <f t="shared" si="42"/>
        <v>C</v>
      </c>
      <c r="G145" s="32">
        <f t="shared" si="43"/>
        <v>256</v>
      </c>
      <c r="H145" s="32">
        <f t="shared" si="44"/>
        <v>177.62286551269568</v>
      </c>
      <c r="I145" s="33">
        <f t="shared" si="45"/>
        <v>0.69383931840896751</v>
      </c>
      <c r="J145" s="31" t="str">
        <f t="shared" si="46"/>
        <v>X</v>
      </c>
      <c r="K145" s="31" t="str">
        <f t="shared" si="47"/>
        <v>CX</v>
      </c>
      <c r="L145" s="33">
        <f t="shared" si="48"/>
        <v>0.71768867924528301</v>
      </c>
      <c r="M145" s="31" t="str">
        <f t="shared" si="49"/>
        <v>No</v>
      </c>
      <c r="N145" s="34">
        <f>_xlfn.XLOOKUP(A145,SKUList,SKU_Data!$C$5:$C$154)/_xlfn.XLOOKUP(A145,SKUList,SKU_Data!$D$5:$D$154)</f>
        <v>0.79724499665203485</v>
      </c>
      <c r="O145" s="31" t="str">
        <f>IF(K145=_xlfn.XLOOKUP(A145,SKUList,SKU_Data!$F$5:$F$154),"✓","≠")</f>
        <v>✓</v>
      </c>
    </row>
    <row r="146" spans="1:15" ht="15" x14ac:dyDescent="0.35">
      <c r="A146" s="9" t="str">
        <f>SKU_Data!A146</f>
        <v>22570</v>
      </c>
      <c r="B146" s="9" t="str">
        <f>_xlfn.XLOOKUP(A146,SKUList,SKU_Data!$B$5:$B$154)</f>
        <v>FELTCRAFT CUSHION RABBIT</v>
      </c>
      <c r="C146" s="27">
        <f>_xlfn.XLOOKUP(A146,SKUList,SKU_Data!$E$5:$E$154)</f>
        <v>10585.71</v>
      </c>
      <c r="D146" s="26">
        <f t="shared" si="40"/>
        <v>142</v>
      </c>
      <c r="E146" s="20">
        <f t="shared" si="41"/>
        <v>0.97432947325756969</v>
      </c>
      <c r="F146" s="31" t="str">
        <f t="shared" si="42"/>
        <v>C</v>
      </c>
      <c r="G146" s="32">
        <f t="shared" si="43"/>
        <v>55.692307692307693</v>
      </c>
      <c r="H146" s="32">
        <f t="shared" si="44"/>
        <v>73.611203980324092</v>
      </c>
      <c r="I146" s="33">
        <f t="shared" si="45"/>
        <v>1.3217481377682503</v>
      </c>
      <c r="J146" s="31" t="str">
        <f t="shared" si="46"/>
        <v>Z</v>
      </c>
      <c r="K146" s="31" t="str">
        <f t="shared" si="47"/>
        <v>CZ</v>
      </c>
      <c r="L146" s="33">
        <f t="shared" si="48"/>
        <v>2.3992180712423981</v>
      </c>
      <c r="M146" s="31" t="str">
        <f t="shared" si="49"/>
        <v>Yes</v>
      </c>
      <c r="N146" s="34">
        <f>_xlfn.XLOOKUP(A146,SKUList,SKU_Data!$C$5:$C$154)/_xlfn.XLOOKUP(A146,SKUList,SKU_Data!$D$5:$D$154)</f>
        <v>3.6351671442215854</v>
      </c>
      <c r="O146" s="31" t="str">
        <f>IF(K146=_xlfn.XLOOKUP(A146,SKUList,SKU_Data!$F$5:$F$154),"✓","≠")</f>
        <v>✓</v>
      </c>
    </row>
    <row r="147" spans="1:15" ht="15" x14ac:dyDescent="0.35">
      <c r="A147" s="9" t="str">
        <f>SKU_Data!A147</f>
        <v>21481</v>
      </c>
      <c r="B147" s="9" t="str">
        <f>_xlfn.XLOOKUP(A147,SKUList,SKU_Data!$B$5:$B$154)</f>
        <v>FAWN BLUE HOT WATER BOTTLE</v>
      </c>
      <c r="C147" s="27">
        <f>_xlfn.XLOOKUP(A147,SKUList,SKU_Data!$E$5:$E$154)</f>
        <v>10562.62</v>
      </c>
      <c r="D147" s="26">
        <f t="shared" si="40"/>
        <v>143</v>
      </c>
      <c r="E147" s="20">
        <f t="shared" si="41"/>
        <v>0.97762977877912072</v>
      </c>
      <c r="F147" s="31" t="str">
        <f t="shared" si="42"/>
        <v>C</v>
      </c>
      <c r="G147" s="32">
        <f t="shared" si="43"/>
        <v>59.615384615384613</v>
      </c>
      <c r="H147" s="32">
        <f t="shared" si="44"/>
        <v>77.373591747114659</v>
      </c>
      <c r="I147" s="33">
        <f t="shared" si="45"/>
        <v>1.297879603499988</v>
      </c>
      <c r="J147" s="31" t="str">
        <f t="shared" si="46"/>
        <v>Z</v>
      </c>
      <c r="K147" s="31" t="str">
        <f t="shared" si="47"/>
        <v>CZ</v>
      </c>
      <c r="L147" s="33">
        <f t="shared" si="48"/>
        <v>3.1592183517417167</v>
      </c>
      <c r="M147" s="31" t="str">
        <f t="shared" si="49"/>
        <v>Yes</v>
      </c>
      <c r="N147" s="34">
        <f>_xlfn.XLOOKUP(A147,SKUList,SKU_Data!$C$5:$C$154)/_xlfn.XLOOKUP(A147,SKUList,SKU_Data!$D$5:$D$154)</f>
        <v>3.419506172839506</v>
      </c>
      <c r="O147" s="31" t="str">
        <f>IF(K147=_xlfn.XLOOKUP(A147,SKUList,SKU_Data!$F$5:$F$154),"✓","≠")</f>
        <v>✓</v>
      </c>
    </row>
    <row r="148" spans="1:15" ht="15" x14ac:dyDescent="0.35">
      <c r="A148" s="9" t="str">
        <f>SKU_Data!A148</f>
        <v>84997A</v>
      </c>
      <c r="B148" s="9" t="str">
        <f>_xlfn.XLOOKUP(A148,SKUList,SKU_Data!$B$5:$B$154)</f>
        <v>GREEN 3 PIECE MINI DOTS CUTLERY SET</v>
      </c>
      <c r="C148" s="27">
        <f>_xlfn.XLOOKUP(A148,SKUList,SKU_Data!$E$5:$E$154)</f>
        <v>10419.6</v>
      </c>
      <c r="D148" s="26">
        <f t="shared" si="40"/>
        <v>144</v>
      </c>
      <c r="E148" s="20">
        <f t="shared" si="41"/>
        <v>0.98088539749988823</v>
      </c>
      <c r="F148" s="31" t="str">
        <f t="shared" si="42"/>
        <v>C</v>
      </c>
      <c r="G148" s="32">
        <f t="shared" si="43"/>
        <v>49.846153846153847</v>
      </c>
      <c r="H148" s="32">
        <f t="shared" si="44"/>
        <v>54.548911175267655</v>
      </c>
      <c r="I148" s="33">
        <f t="shared" si="45"/>
        <v>1.0943454402445671</v>
      </c>
      <c r="J148" s="31" t="str">
        <f t="shared" si="46"/>
        <v>Y</v>
      </c>
      <c r="K148" s="31" t="str">
        <f t="shared" si="47"/>
        <v>CY</v>
      </c>
      <c r="L148" s="33">
        <f t="shared" si="48"/>
        <v>1.5356037151702786</v>
      </c>
      <c r="M148" s="31" t="str">
        <f t="shared" si="49"/>
        <v>Yes</v>
      </c>
      <c r="N148" s="34">
        <f>_xlfn.XLOOKUP(A148,SKUList,SKU_Data!$C$5:$C$154)/_xlfn.XLOOKUP(A148,SKUList,SKU_Data!$D$5:$D$154)</f>
        <v>4.0199537750385206</v>
      </c>
      <c r="O148" s="31" t="str">
        <f>IF(K148=_xlfn.XLOOKUP(A148,SKUList,SKU_Data!$F$5:$F$154),"✓","≠")</f>
        <v>✓</v>
      </c>
    </row>
    <row r="149" spans="1:15" ht="15" x14ac:dyDescent="0.35">
      <c r="A149" s="9" t="str">
        <f>SKU_Data!A149</f>
        <v>47590A</v>
      </c>
      <c r="B149" s="9" t="str">
        <f>_xlfn.XLOOKUP(A149,SKUList,SKU_Data!$B$5:$B$154)</f>
        <v>BLUE HAPPY BIRTHDAY BUNTING</v>
      </c>
      <c r="C149" s="27">
        <f>_xlfn.XLOOKUP(A149,SKUList,SKU_Data!$E$5:$E$154)</f>
        <v>10393.52</v>
      </c>
      <c r="D149" s="26">
        <f t="shared" si="40"/>
        <v>145</v>
      </c>
      <c r="E149" s="20">
        <f t="shared" si="41"/>
        <v>0.98413286748786011</v>
      </c>
      <c r="F149" s="31" t="str">
        <f t="shared" si="42"/>
        <v>C</v>
      </c>
      <c r="G149" s="32">
        <f t="shared" si="43"/>
        <v>37.903846153846153</v>
      </c>
      <c r="H149" s="32">
        <f t="shared" si="44"/>
        <v>32.897499526759205</v>
      </c>
      <c r="I149" s="33">
        <f t="shared" si="45"/>
        <v>0.86791982516056754</v>
      </c>
      <c r="J149" s="31" t="str">
        <f t="shared" si="46"/>
        <v>Y</v>
      </c>
      <c r="K149" s="31" t="str">
        <f t="shared" si="47"/>
        <v>CY</v>
      </c>
      <c r="L149" s="33">
        <f t="shared" si="48"/>
        <v>1.1758926431823629</v>
      </c>
      <c r="M149" s="31" t="str">
        <f t="shared" si="49"/>
        <v>No</v>
      </c>
      <c r="N149" s="34">
        <f>_xlfn.XLOOKUP(A149,SKUList,SKU_Data!$C$5:$C$154)/_xlfn.XLOOKUP(A149,SKUList,SKU_Data!$D$5:$D$154)</f>
        <v>5.2673283208020045</v>
      </c>
      <c r="O149" s="31" t="str">
        <f>IF(K149=_xlfn.XLOOKUP(A149,SKUList,SKU_Data!$F$5:$F$154),"✓","≠")</f>
        <v>✓</v>
      </c>
    </row>
    <row r="150" spans="1:15" ht="15" x14ac:dyDescent="0.35">
      <c r="A150" s="9" t="str">
        <f>SKU_Data!A150</f>
        <v>84755</v>
      </c>
      <c r="B150" s="9" t="str">
        <f>_xlfn.XLOOKUP(A150,SKUList,SKU_Data!$B$5:$B$154)</f>
        <v>COLOUR GLASS T-LIGHT HOLDER HANGING</v>
      </c>
      <c r="C150" s="27">
        <f>_xlfn.XLOOKUP(A150,SKUList,SKU_Data!$E$5:$E$154)</f>
        <v>10383.4</v>
      </c>
      <c r="D150" s="26">
        <f t="shared" si="40"/>
        <v>146</v>
      </c>
      <c r="E150" s="20">
        <f t="shared" si="41"/>
        <v>0.98737717546755388</v>
      </c>
      <c r="F150" s="31" t="str">
        <f t="shared" si="42"/>
        <v>C</v>
      </c>
      <c r="G150" s="32">
        <f t="shared" si="43"/>
        <v>313.30769230769232</v>
      </c>
      <c r="H150" s="32">
        <f t="shared" si="44"/>
        <v>210.08266705868837</v>
      </c>
      <c r="I150" s="33">
        <f t="shared" si="45"/>
        <v>0.67053146863809199</v>
      </c>
      <c r="J150" s="31" t="str">
        <f t="shared" si="46"/>
        <v>X</v>
      </c>
      <c r="K150" s="31" t="str">
        <f t="shared" si="47"/>
        <v>CX</v>
      </c>
      <c r="L150" s="33">
        <f t="shared" si="48"/>
        <v>0.42822589411892598</v>
      </c>
      <c r="M150" s="31" t="str">
        <f t="shared" si="49"/>
        <v>No</v>
      </c>
      <c r="N150" s="34">
        <f>_xlfn.XLOOKUP(A150,SKUList,SKU_Data!$C$5:$C$154)/_xlfn.XLOOKUP(A150,SKUList,SKU_Data!$D$5:$D$154)</f>
        <v>0.63738463419106417</v>
      </c>
      <c r="O150" s="31" t="str">
        <f>IF(K150=_xlfn.XLOOKUP(A150,SKUList,SKU_Data!$F$5:$F$154),"✓","≠")</f>
        <v>✓</v>
      </c>
    </row>
    <row r="151" spans="1:15" ht="15" x14ac:dyDescent="0.35">
      <c r="A151" s="9" t="str">
        <f>SKU_Data!A151</f>
        <v>82600</v>
      </c>
      <c r="B151" s="9" t="str">
        <f>_xlfn.XLOOKUP(A151,SKUList,SKU_Data!$B$5:$B$154)</f>
        <v>NO SINGING METAL SIGN</v>
      </c>
      <c r="C151" s="27">
        <f>_xlfn.XLOOKUP(A151,SKUList,SKU_Data!$E$5:$E$154)</f>
        <v>10290.59</v>
      </c>
      <c r="D151" s="26">
        <f t="shared" si="40"/>
        <v>147</v>
      </c>
      <c r="E151" s="20">
        <f t="shared" si="41"/>
        <v>0.99059248483180407</v>
      </c>
      <c r="F151" s="31" t="str">
        <f t="shared" si="42"/>
        <v>C</v>
      </c>
      <c r="G151" s="32">
        <f t="shared" si="43"/>
        <v>92.84615384615384</v>
      </c>
      <c r="H151" s="32">
        <f t="shared" si="44"/>
        <v>96.043573570191214</v>
      </c>
      <c r="I151" s="33">
        <f t="shared" si="45"/>
        <v>1.0344378263566578</v>
      </c>
      <c r="J151" s="31" t="str">
        <f t="shared" si="46"/>
        <v>Y</v>
      </c>
      <c r="K151" s="31" t="str">
        <f t="shared" si="47"/>
        <v>CY</v>
      </c>
      <c r="L151" s="33">
        <f t="shared" si="48"/>
        <v>1.33894675362601</v>
      </c>
      <c r="M151" s="31" t="str">
        <f t="shared" si="49"/>
        <v>Yes</v>
      </c>
      <c r="N151" s="34">
        <f>_xlfn.XLOOKUP(A151,SKUList,SKU_Data!$C$5:$C$154)/_xlfn.XLOOKUP(A151,SKUList,SKU_Data!$D$5:$D$154)</f>
        <v>2.1298581997533907</v>
      </c>
      <c r="O151" s="31" t="str">
        <f>IF(K151=_xlfn.XLOOKUP(A151,SKUList,SKU_Data!$F$5:$F$154),"✓","≠")</f>
        <v>✓</v>
      </c>
    </row>
    <row r="152" spans="1:15" ht="15" x14ac:dyDescent="0.35">
      <c r="A152" s="9" t="str">
        <f>SKU_Data!A152</f>
        <v>48173C</v>
      </c>
      <c r="B152" s="9" t="str">
        <f>_xlfn.XLOOKUP(A152,SKUList,SKU_Data!$B$5:$B$154)</f>
        <v>DOORMAT BLACK FLOCK</v>
      </c>
      <c r="C152" s="27">
        <f>_xlfn.XLOOKUP(A152,SKUList,SKU_Data!$E$5:$E$154)</f>
        <v>10117.4</v>
      </c>
      <c r="D152" s="26">
        <f t="shared" si="40"/>
        <v>148</v>
      </c>
      <c r="E152" s="20">
        <f t="shared" si="41"/>
        <v>0.99375368073620474</v>
      </c>
      <c r="F152" s="31" t="str">
        <f t="shared" si="42"/>
        <v>C</v>
      </c>
      <c r="G152" s="32">
        <f t="shared" si="43"/>
        <v>34.53846153846154</v>
      </c>
      <c r="H152" s="32">
        <f t="shared" si="44"/>
        <v>99.632355863151346</v>
      </c>
      <c r="I152" s="33">
        <f t="shared" si="45"/>
        <v>2.8846784548351168</v>
      </c>
      <c r="J152" s="31" t="str">
        <f t="shared" si="46"/>
        <v>Z</v>
      </c>
      <c r="K152" s="31" t="str">
        <f t="shared" si="47"/>
        <v>CZ</v>
      </c>
      <c r="L152" s="33">
        <f t="shared" si="48"/>
        <v>0.6795755968169761</v>
      </c>
      <c r="M152" s="31" t="str">
        <f t="shared" si="49"/>
        <v>No</v>
      </c>
      <c r="N152" s="34">
        <f>_xlfn.XLOOKUP(A152,SKUList,SKU_Data!$C$5:$C$154)/_xlfn.XLOOKUP(A152,SKUList,SKU_Data!$D$5:$D$154)</f>
        <v>5.6403942254303168</v>
      </c>
      <c r="O152" s="31" t="str">
        <f>IF(K152=_xlfn.XLOOKUP(A152,SKUList,SKU_Data!$F$5:$F$154),"✓","≠")</f>
        <v>✓</v>
      </c>
    </row>
    <row r="153" spans="1:15" ht="15" x14ac:dyDescent="0.35">
      <c r="A153" s="9" t="str">
        <f>SKU_Data!A153</f>
        <v>22617</v>
      </c>
      <c r="B153" s="9" t="str">
        <f>_xlfn.XLOOKUP(A153,SKUList,SKU_Data!$B$5:$B$154)</f>
        <v>BAKING SET SPACEBOY DESIGN</v>
      </c>
      <c r="C153" s="27">
        <f>_xlfn.XLOOKUP(A153,SKUList,SKU_Data!$E$5:$E$154)</f>
        <v>10006.34</v>
      </c>
      <c r="D153" s="26">
        <f t="shared" si="40"/>
        <v>149</v>
      </c>
      <c r="E153" s="20">
        <f t="shared" si="41"/>
        <v>0.99688017578691346</v>
      </c>
      <c r="F153" s="31" t="str">
        <f t="shared" si="42"/>
        <v>C</v>
      </c>
      <c r="G153" s="32">
        <f t="shared" si="43"/>
        <v>39.92307692307692</v>
      </c>
      <c r="H153" s="32">
        <f t="shared" si="44"/>
        <v>52.311227810602858</v>
      </c>
      <c r="I153" s="33">
        <f t="shared" si="45"/>
        <v>1.3103005039264686</v>
      </c>
      <c r="J153" s="31" t="str">
        <f t="shared" si="46"/>
        <v>Z</v>
      </c>
      <c r="K153" s="31" t="str">
        <f t="shared" si="47"/>
        <v>CZ</v>
      </c>
      <c r="L153" s="33">
        <f t="shared" si="48"/>
        <v>1.8949880668257757</v>
      </c>
      <c r="M153" s="31" t="str">
        <f t="shared" si="49"/>
        <v>Yes</v>
      </c>
      <c r="N153" s="34">
        <f>_xlfn.XLOOKUP(A153,SKUList,SKU_Data!$C$5:$C$154)/_xlfn.XLOOKUP(A153,SKUList,SKU_Data!$D$5:$D$154)</f>
        <v>4.82125771238728</v>
      </c>
      <c r="O153" s="31" t="str">
        <f>IF(K153=_xlfn.XLOOKUP(A153,SKUList,SKU_Data!$F$5:$F$154),"✓","≠")</f>
        <v>✓</v>
      </c>
    </row>
    <row r="154" spans="1:15" ht="15" x14ac:dyDescent="0.35">
      <c r="A154" s="9" t="str">
        <f>SKU_Data!A154</f>
        <v>21791</v>
      </c>
      <c r="B154" s="9" t="str">
        <f>_xlfn.XLOOKUP(A154,SKUList,SKU_Data!$B$5:$B$154)</f>
        <v>VINTAGE HEADS AND TAILS CARD GAME</v>
      </c>
      <c r="C154" s="27">
        <f>_xlfn.XLOOKUP(A154,SKUList,SKU_Data!$E$5:$E$154)</f>
        <v>9984.99</v>
      </c>
      <c r="D154" s="26">
        <f t="shared" si="40"/>
        <v>150</v>
      </c>
      <c r="E154" s="20">
        <f t="shared" si="41"/>
        <v>1</v>
      </c>
      <c r="F154" s="31" t="str">
        <f t="shared" si="42"/>
        <v>C</v>
      </c>
      <c r="G154" s="32">
        <f t="shared" si="43"/>
        <v>143.75</v>
      </c>
      <c r="H154" s="32">
        <f t="shared" si="44"/>
        <v>160.78689769564011</v>
      </c>
      <c r="I154" s="33">
        <f t="shared" si="45"/>
        <v>1.1185175491870616</v>
      </c>
      <c r="J154" s="31" t="str">
        <f t="shared" si="46"/>
        <v>Y</v>
      </c>
      <c r="K154" s="31" t="str">
        <f t="shared" si="47"/>
        <v>CY</v>
      </c>
      <c r="L154" s="33">
        <f t="shared" si="48"/>
        <v>2.3637194425405528</v>
      </c>
      <c r="M154" s="31" t="str">
        <f t="shared" si="49"/>
        <v>Yes</v>
      </c>
      <c r="N154" s="34">
        <f>_xlfn.XLOOKUP(A154,SKUList,SKU_Data!$C$5:$C$154)/_xlfn.XLOOKUP(A154,SKUList,SKU_Data!$D$5:$D$154)</f>
        <v>1.335373452270004</v>
      </c>
      <c r="O154" s="31" t="str">
        <f>IF(K154=_xlfn.XLOOKUP(A154,SKUList,SKU_Data!$F$5:$F$154),"✓","≠")</f>
        <v>✓</v>
      </c>
    </row>
  </sheetData>
  <conditionalFormatting sqref="Q6:S8">
    <cfRule type="colorScale" priority="1">
      <colorScale>
        <cfvo type="min"/>
        <cfvo type="max"/>
        <color rgb="FFF4F7FB"/>
        <color rgb="FF5B8FD1"/>
      </colorScale>
    </cfRule>
  </conditionalFormatting>
  <conditionalFormatting sqref="Q13:S15">
    <cfRule type="colorScale" priority="2">
      <colorScale>
        <cfvo type="min"/>
        <cfvo type="max"/>
        <color rgb="FFF4F7FB"/>
        <color rgb="FF5B8FD1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A78D6"/>
    <pageSetUpPr fitToPage="1"/>
  </sheetPr>
  <dimension ref="A1:AA129"/>
  <sheetViews>
    <sheetView showGridLines="0" workbookViewId="0">
      <pane xSplit="2" ySplit="14" topLeftCell="C1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26" customWidth="1"/>
    <col min="3" max="3" width="13" customWidth="1"/>
    <col min="4" max="4" width="9" customWidth="1"/>
    <col min="5" max="6" width="14" customWidth="1"/>
    <col min="7" max="10" width="11" customWidth="1"/>
    <col min="11" max="11" width="19" customWidth="1"/>
    <col min="12" max="14" width="11" customWidth="1"/>
    <col min="15" max="15" width="9" customWidth="1"/>
    <col min="16" max="16" width="3" customWidth="1"/>
    <col min="17" max="17" width="13" customWidth="1"/>
    <col min="18" max="21" width="11" customWidth="1"/>
    <col min="22" max="27" width="10" customWidth="1"/>
  </cols>
  <sheetData>
    <row r="1" spans="1:26" ht="23.4" x14ac:dyDescent="0.55000000000000004">
      <c r="A1" s="1" t="s">
        <v>155</v>
      </c>
    </row>
    <row r="2" spans="1:26" x14ac:dyDescent="0.3">
      <c r="A2" s="2" t="s">
        <v>156</v>
      </c>
    </row>
    <row r="4" spans="1:26" ht="15" x14ac:dyDescent="0.35">
      <c r="B4" s="19" t="s">
        <v>157</v>
      </c>
      <c r="C4" s="36" t="s">
        <v>158</v>
      </c>
      <c r="D4" s="2" t="str">
        <f>C4&amp;""</f>
        <v>85123A</v>
      </c>
      <c r="E4" s="69" t="s">
        <v>159</v>
      </c>
      <c r="F4" s="70"/>
      <c r="G4" s="14">
        <v>8</v>
      </c>
      <c r="K4" s="3" t="s">
        <v>160</v>
      </c>
      <c r="S4" s="3" t="s">
        <v>161</v>
      </c>
    </row>
    <row r="5" spans="1:26" ht="31.95" customHeight="1" x14ac:dyDescent="0.35">
      <c r="B5" s="19" t="s">
        <v>132</v>
      </c>
      <c r="C5" s="71" t="str">
        <f>_xlfn.XLOOKUP($D$4,SKUList,SKU_Data!$B$5:$B$154)</f>
        <v>WHITE HANGING HEART T-LIGHT HOLDER</v>
      </c>
      <c r="D5" s="70"/>
      <c r="E5" s="69" t="s">
        <v>162</v>
      </c>
      <c r="F5" s="70"/>
      <c r="G5" s="33">
        <f>_xlfn.XLOOKUP($D$4,ParamCodes,Model_Params!$B$5:$B$154)</f>
        <v>0.5</v>
      </c>
      <c r="K5" s="8" t="s">
        <v>163</v>
      </c>
      <c r="L5" s="8" t="s">
        <v>164</v>
      </c>
      <c r="M5" s="8" t="s">
        <v>165</v>
      </c>
      <c r="N5" s="8" t="s">
        <v>166</v>
      </c>
      <c r="O5" s="8" t="s">
        <v>167</v>
      </c>
      <c r="Q5" s="3" t="s">
        <v>168</v>
      </c>
      <c r="S5" s="2" t="s">
        <v>169</v>
      </c>
    </row>
    <row r="6" spans="1:26" ht="15" x14ac:dyDescent="0.35">
      <c r="B6" s="19" t="s">
        <v>170</v>
      </c>
      <c r="C6" s="9" t="str">
        <f>_xlfn.XLOOKUP($D$4,ClsCode,ClsClass)</f>
        <v>AY</v>
      </c>
      <c r="E6" s="69" t="s">
        <v>171</v>
      </c>
      <c r="F6" s="70"/>
      <c r="G6" s="18"/>
      <c r="K6" s="19" t="s">
        <v>172</v>
      </c>
      <c r="L6" s="30">
        <f>SUM(Q106:Q117)/SUM($D$106:$D$117)</f>
        <v>0.52857142857142858</v>
      </c>
      <c r="M6" s="30">
        <f>IFERROR(AVERAGE(W106:W117),"n/a")</f>
        <v>0.50439447736820886</v>
      </c>
      <c r="N6" s="37">
        <f>(SUM(G106:G117)-SUM($D$106:$D$117))/SUM($D$106:$D$117)</f>
        <v>-0.43631961259079904</v>
      </c>
      <c r="O6" s="33">
        <f>L6+ABS(N6)</f>
        <v>0.96489104116222757</v>
      </c>
      <c r="Q6" s="9" t="str">
        <f>IF(ABS(SUM(Q106:Q117)-SUMIFS(BtAbsErr,BtCode,$D$4,BtMethod,"Naive"))&lt;0.01,"✓ same","differs")</f>
        <v>✓ same</v>
      </c>
      <c r="S6" s="2" t="s">
        <v>173</v>
      </c>
    </row>
    <row r="7" spans="1:26" ht="15" x14ac:dyDescent="0.35">
      <c r="B7" s="19" t="s">
        <v>174</v>
      </c>
      <c r="C7" s="9" t="str">
        <f>_xlfn.XLOOKUP($D$4,ClsCode,ClsSeasonal)&amp;"  ("&amp;TEXT(_xlfn.XLOOKUP($D$4,ClsCode,ABC_XYZ!$L$5:$L$154),"0.00")&amp;")"</f>
        <v>Yes  (1.35)</v>
      </c>
      <c r="E7" s="69" t="s">
        <v>175</v>
      </c>
      <c r="F7" s="70"/>
      <c r="G7" s="38">
        <f>IF(G6="",G5,G6)</f>
        <v>0.5</v>
      </c>
      <c r="K7" s="19" t="s">
        <v>176</v>
      </c>
      <c r="L7" s="30">
        <f>SUM(R106:R117)/SUM($D$106:$D$117)</f>
        <v>0.4457627118644068</v>
      </c>
      <c r="M7" s="30">
        <f>IFERROR(AVERAGE(X106:X117),"n/a")</f>
        <v>0.64512202376292971</v>
      </c>
      <c r="N7" s="37">
        <f>(SUM(H106:H117)-SUM($D$106:$D$117))/SUM($D$106:$D$117)</f>
        <v>-8.0205811138014532E-2</v>
      </c>
      <c r="O7" s="33">
        <f>L7+ABS(N7)</f>
        <v>0.52596852300242136</v>
      </c>
      <c r="Q7" s="9" t="str">
        <f>IF(ABS(SUM(R106:R117)-SUMIFS(BtAbsErr,BtCode,$D$4,BtMethod,"Moving average"))&lt;0.01,"✓ same","differs")</f>
        <v>✓ same</v>
      </c>
      <c r="S7" s="2" t="s">
        <v>177</v>
      </c>
    </row>
    <row r="8" spans="1:26" ht="15" x14ac:dyDescent="0.35">
      <c r="B8" s="19" t="s">
        <v>178</v>
      </c>
      <c r="C8" s="39" t="str">
        <f>IF(AND(_xlfn.XLOOKUP(C6,BestClass,BestMethod)="Holt-Winters",_xlfn.XLOOKUP($D$4,ClsCode,ClsSeasonal)="No"),_xlfn.XLOOKUP(C6,BestClass,BestFlat),_xlfn.XLOOKUP(C6,BestClass,BestMethod))</f>
        <v>Holt-Winters</v>
      </c>
      <c r="E8" s="69" t="s">
        <v>179</v>
      </c>
      <c r="F8" s="70"/>
      <c r="G8" s="33">
        <f>_xlfn.XLOOKUP($D$4,ParamCodes,Model_Params!$C$5:$C$154)</f>
        <v>0.05</v>
      </c>
      <c r="H8" s="33">
        <f>_xlfn.XLOOKUP($D$4,ParamCodes,Model_Params!$D$5:$D$154)</f>
        <v>0.05</v>
      </c>
      <c r="I8" s="33">
        <f>_xlfn.XLOOKUP($D$4,ParamCodes,Model_Params!$E$5:$E$154)</f>
        <v>0</v>
      </c>
      <c r="K8" s="19" t="s">
        <v>180</v>
      </c>
      <c r="L8" s="30">
        <f>SUM(S106:S117)/SUM($D$106:$D$117)</f>
        <v>0.47060034119349115</v>
      </c>
      <c r="M8" s="30">
        <f>IFERROR(AVERAGE(Y106:Y117),"n/a")</f>
        <v>0.52951457295794591</v>
      </c>
      <c r="N8" s="37">
        <f>(SUM(F106:F117)-SUM($D$106:$D$117))/SUM($D$106:$D$117)</f>
        <v>-0.28607178081712181</v>
      </c>
      <c r="O8" s="33">
        <f>L8+ABS(N8)</f>
        <v>0.75667212201061296</v>
      </c>
      <c r="Q8" s="9" t="str">
        <f>IF(ABS(SUM(S106:S117)-SUMIFS(BtAbsErr,BtCode,$D$4,BtMethod,"SES"))&lt;0.01,"✓ same","differs")</f>
        <v>✓ same</v>
      </c>
      <c r="S8" s="2" t="s">
        <v>181</v>
      </c>
    </row>
    <row r="9" spans="1:26" ht="15" x14ac:dyDescent="0.35">
      <c r="K9" s="19" t="s">
        <v>182</v>
      </c>
      <c r="L9" s="30">
        <f>SUM(T106:T117)/SUM($D$106:$D$117)</f>
        <v>0.42734708615556266</v>
      </c>
      <c r="M9" s="30">
        <f>IFERROR(AVERAGE(Z106:Z117),"n/a")</f>
        <v>0.53092890962231054</v>
      </c>
      <c r="N9" s="37">
        <f>(SUM(M106:M117)-SUM($D$106:$D$117))/SUM($D$106:$D$117)</f>
        <v>-0.17466733002696092</v>
      </c>
      <c r="O9" s="33">
        <f>L9+ABS(N9)</f>
        <v>0.6020144161825236</v>
      </c>
      <c r="Q9" s="9" t="str">
        <f>IF(ABS(SUM(T106:T117)-SUMIFS(BtAbsErr,BtCode,$D$4,BtMethod,"Holt-Winters"))&lt;0.01,"✓ same","differs")</f>
        <v>✓ same</v>
      </c>
      <c r="S9" s="2" t="s">
        <v>183</v>
      </c>
    </row>
    <row r="10" spans="1:26" ht="15" x14ac:dyDescent="0.35">
      <c r="K10" s="19" t="s">
        <v>184</v>
      </c>
      <c r="L10" s="30">
        <f>SUM(U106:U117)/SUM($D$106:$D$117)</f>
        <v>0.48165305482297693</v>
      </c>
      <c r="M10" s="30">
        <f>IFERROR(AVERAGE(AA106:AA117),"n/a")</f>
        <v>0.54911294443559178</v>
      </c>
      <c r="N10" s="37">
        <f>(SUM(N106:N117)-SUM($D$106:$D$117))/SUM($D$106:$D$117)</f>
        <v>-2.4594272130469563E-2</v>
      </c>
      <c r="O10" s="33">
        <f>L10+ABS(N10)</f>
        <v>0.50624732695344654</v>
      </c>
      <c r="Q10" s="2" t="s">
        <v>185</v>
      </c>
      <c r="S10" s="2" t="s">
        <v>186</v>
      </c>
    </row>
    <row r="11" spans="1:26" x14ac:dyDescent="0.3">
      <c r="B11" s="2" t="s">
        <v>187</v>
      </c>
      <c r="S11" s="2" t="s">
        <v>188</v>
      </c>
    </row>
    <row r="12" spans="1:26" x14ac:dyDescent="0.3">
      <c r="K12" s="2" t="s">
        <v>189</v>
      </c>
    </row>
    <row r="14" spans="1:26" ht="43.95" customHeight="1" x14ac:dyDescent="0.35">
      <c r="A14" s="40" t="s">
        <v>190</v>
      </c>
      <c r="B14" s="8" t="s">
        <v>191</v>
      </c>
      <c r="C14" s="8" t="s">
        <v>192</v>
      </c>
      <c r="D14" s="8" t="s">
        <v>193</v>
      </c>
      <c r="E14" s="8" t="s">
        <v>194</v>
      </c>
      <c r="F14" s="8" t="s">
        <v>195</v>
      </c>
      <c r="G14" s="8" t="s">
        <v>196</v>
      </c>
      <c r="H14" s="8" t="s">
        <v>197</v>
      </c>
      <c r="I14" s="8" t="s">
        <v>198</v>
      </c>
      <c r="J14" s="8" t="s">
        <v>199</v>
      </c>
      <c r="K14" s="8" t="s">
        <v>200</v>
      </c>
      <c r="L14" s="8" t="s">
        <v>201</v>
      </c>
      <c r="M14" s="8" t="s">
        <v>202</v>
      </c>
      <c r="N14" s="8" t="s">
        <v>184</v>
      </c>
      <c r="Q14" s="8" t="s">
        <v>203</v>
      </c>
      <c r="R14" s="8" t="s">
        <v>204</v>
      </c>
      <c r="S14" s="8" t="s">
        <v>205</v>
      </c>
      <c r="T14" s="8" t="s">
        <v>206</v>
      </c>
      <c r="U14" s="8" t="s">
        <v>207</v>
      </c>
      <c r="V14" s="8" t="s">
        <v>208</v>
      </c>
      <c r="W14" s="8" t="s">
        <v>209</v>
      </c>
      <c r="X14" s="8" t="s">
        <v>210</v>
      </c>
      <c r="Y14" s="8" t="s">
        <v>211</v>
      </c>
      <c r="Z14" s="8" t="s">
        <v>212</v>
      </c>
    </row>
    <row r="15" spans="1:26" ht="15" x14ac:dyDescent="0.35">
      <c r="A15" s="41">
        <v>1</v>
      </c>
      <c r="B15" s="42">
        <f>Demand!C$4</f>
        <v>40154</v>
      </c>
      <c r="C15" s="9" t="s">
        <v>213</v>
      </c>
      <c r="D15" s="43">
        <f t="shared" ref="D15:D46" si="0">INDEX(DemandAll,MATCH($D$4,DemandCodes,0),A15)</f>
        <v>3138</v>
      </c>
      <c r="E15" s="32">
        <f>D15</f>
        <v>3138</v>
      </c>
      <c r="F15" s="44" t="e">
        <f>NA()</f>
        <v>#N/A</v>
      </c>
      <c r="G15" s="44" t="e">
        <f>NA()</f>
        <v>#N/A</v>
      </c>
      <c r="H15" s="44" t="e">
        <f>NA()</f>
        <v>#N/A</v>
      </c>
      <c r="I15" s="32">
        <f>AVERAGE(INDEX($D$15:$D$105,MAX(1,A15-4)):INDEX($D$15:$D$105,MIN(91,A15+4)))</f>
        <v>1263.2</v>
      </c>
      <c r="L15" s="32">
        <f t="shared" ref="L15:L46" si="1">I15-$J$66</f>
        <v>206.79615384615386</v>
      </c>
      <c r="M15" s="44" t="e">
        <f>NA()</f>
        <v>#N/A</v>
      </c>
      <c r="N15" s="44" t="e">
        <f>NA()</f>
        <v>#N/A</v>
      </c>
    </row>
    <row r="16" spans="1:26" ht="15" x14ac:dyDescent="0.35">
      <c r="A16" s="41">
        <v>2</v>
      </c>
      <c r="B16" s="42">
        <f>Demand!D$4</f>
        <v>40161</v>
      </c>
      <c r="C16" s="9" t="s">
        <v>213</v>
      </c>
      <c r="D16" s="43">
        <f t="shared" si="0"/>
        <v>1286</v>
      </c>
      <c r="E16" s="32">
        <f t="shared" ref="E16:E47" si="2">$G$7*D16+(1-$G$7)*E15</f>
        <v>2212</v>
      </c>
      <c r="F16" s="44" t="e">
        <f>NA()</f>
        <v>#N/A</v>
      </c>
      <c r="G16" s="44" t="e">
        <f>NA()</f>
        <v>#N/A</v>
      </c>
      <c r="H16" s="44" t="e">
        <f>NA()</f>
        <v>#N/A</v>
      </c>
      <c r="I16" s="32">
        <f>AVERAGE(INDEX($D$15:$D$105,MAX(1,A16-4)):INDEX($D$15:$D$105,MIN(91,A16+4)))</f>
        <v>1205.5</v>
      </c>
      <c r="L16" s="32">
        <f t="shared" si="1"/>
        <v>149.09615384615381</v>
      </c>
      <c r="M16" s="44" t="e">
        <f>NA()</f>
        <v>#N/A</v>
      </c>
      <c r="N16" s="44" t="e">
        <f>NA()</f>
        <v>#N/A</v>
      </c>
    </row>
    <row r="17" spans="1:14" ht="15" x14ac:dyDescent="0.35">
      <c r="A17" s="41">
        <v>3</v>
      </c>
      <c r="B17" s="42">
        <f>Demand!E$4</f>
        <v>40168</v>
      </c>
      <c r="C17" s="9" t="s">
        <v>213</v>
      </c>
      <c r="D17" s="43">
        <f t="shared" si="0"/>
        <v>125</v>
      </c>
      <c r="E17" s="32">
        <f t="shared" si="2"/>
        <v>1168.5</v>
      </c>
      <c r="F17" s="44" t="e">
        <f>NA()</f>
        <v>#N/A</v>
      </c>
      <c r="G17" s="44" t="e">
        <f>NA()</f>
        <v>#N/A</v>
      </c>
      <c r="H17" s="44" t="e">
        <f>NA()</f>
        <v>#N/A</v>
      </c>
      <c r="I17" s="32">
        <f>AVERAGE(INDEX($D$15:$D$105,MAX(1,A17-4)):INDEX($D$15:$D$105,MIN(91,A17+4)))</f>
        <v>1234</v>
      </c>
      <c r="L17" s="32">
        <f t="shared" si="1"/>
        <v>177.59615384615381</v>
      </c>
      <c r="M17" s="44" t="e">
        <f>NA()</f>
        <v>#N/A</v>
      </c>
      <c r="N17" s="44" t="e">
        <f>NA()</f>
        <v>#N/A</v>
      </c>
    </row>
    <row r="18" spans="1:14" ht="15" x14ac:dyDescent="0.35">
      <c r="A18" s="41">
        <v>4</v>
      </c>
      <c r="B18" s="42">
        <f>Demand!F$4</f>
        <v>40175</v>
      </c>
      <c r="C18" s="9" t="s">
        <v>213</v>
      </c>
      <c r="D18" s="43">
        <f t="shared" si="0"/>
        <v>0</v>
      </c>
      <c r="E18" s="32">
        <f t="shared" si="2"/>
        <v>584.25</v>
      </c>
      <c r="F18" s="44" t="e">
        <f>NA()</f>
        <v>#N/A</v>
      </c>
      <c r="G18" s="44" t="e">
        <f>NA()</f>
        <v>#N/A</v>
      </c>
      <c r="H18" s="44" t="e">
        <f>NA()</f>
        <v>#N/A</v>
      </c>
      <c r="I18" s="32">
        <f>AVERAGE(INDEX($D$15:$D$105,MAX(1,A18-4)):INDEX($D$15:$D$105,MIN(91,A18+4)))</f>
        <v>1251.375</v>
      </c>
      <c r="L18" s="32">
        <f t="shared" si="1"/>
        <v>194.97115384615381</v>
      </c>
      <c r="M18" s="44" t="e">
        <f>NA()</f>
        <v>#N/A</v>
      </c>
      <c r="N18" s="44" t="e">
        <f>NA()</f>
        <v>#N/A</v>
      </c>
    </row>
    <row r="19" spans="1:14" ht="15" x14ac:dyDescent="0.35">
      <c r="A19" s="41">
        <v>5</v>
      </c>
      <c r="B19" s="42">
        <f>Demand!G$4</f>
        <v>40182</v>
      </c>
      <c r="C19" s="9" t="s">
        <v>213</v>
      </c>
      <c r="D19" s="43">
        <f t="shared" si="0"/>
        <v>1767</v>
      </c>
      <c r="E19" s="32">
        <f t="shared" si="2"/>
        <v>1175.625</v>
      </c>
      <c r="F19" s="44" t="e">
        <f>NA()</f>
        <v>#N/A</v>
      </c>
      <c r="G19" s="44" t="e">
        <f>NA()</f>
        <v>#N/A</v>
      </c>
      <c r="H19" s="44" t="e">
        <f>NA()</f>
        <v>#N/A</v>
      </c>
      <c r="I19" s="32">
        <f>AVERAGE(INDEX($D$15:$D$105,MAX(1,A19-4)):INDEX($D$15:$D$105,MIN(91,A19+4)))</f>
        <v>1193</v>
      </c>
      <c r="L19" s="32">
        <f t="shared" si="1"/>
        <v>136.59615384615381</v>
      </c>
      <c r="M19" s="44" t="e">
        <f>NA()</f>
        <v>#N/A</v>
      </c>
      <c r="N19" s="44" t="e">
        <f>NA()</f>
        <v>#N/A</v>
      </c>
    </row>
    <row r="20" spans="1:14" ht="15" x14ac:dyDescent="0.35">
      <c r="A20" s="41">
        <v>6</v>
      </c>
      <c r="B20" s="42">
        <f>Demand!H$4</f>
        <v>40189</v>
      </c>
      <c r="C20" s="9" t="s">
        <v>213</v>
      </c>
      <c r="D20" s="43">
        <f t="shared" si="0"/>
        <v>917</v>
      </c>
      <c r="E20" s="32">
        <f t="shared" si="2"/>
        <v>1046.3125</v>
      </c>
      <c r="F20" s="44" t="e">
        <f>NA()</f>
        <v>#N/A</v>
      </c>
      <c r="G20" s="44" t="e">
        <f>NA()</f>
        <v>#N/A</v>
      </c>
      <c r="H20" s="44" t="e">
        <f>NA()</f>
        <v>#N/A</v>
      </c>
      <c r="I20" s="32">
        <f>AVERAGE(INDEX($D$15:$D$105,MAX(1,A20-4)):INDEX($D$15:$D$105,MIN(91,A20+4)))</f>
        <v>908.33333333333337</v>
      </c>
      <c r="L20" s="32">
        <f t="shared" si="1"/>
        <v>-148.07051282051282</v>
      </c>
      <c r="M20" s="44" t="e">
        <f>NA()</f>
        <v>#N/A</v>
      </c>
      <c r="N20" s="44" t="e">
        <f>NA()</f>
        <v>#N/A</v>
      </c>
    </row>
    <row r="21" spans="1:14" ht="15" x14ac:dyDescent="0.35">
      <c r="A21" s="41">
        <v>7</v>
      </c>
      <c r="B21" s="42">
        <f>Demand!I$4</f>
        <v>40196</v>
      </c>
      <c r="C21" s="9" t="s">
        <v>213</v>
      </c>
      <c r="D21" s="43">
        <f t="shared" si="0"/>
        <v>1405</v>
      </c>
      <c r="E21" s="32">
        <f t="shared" si="2"/>
        <v>1225.65625</v>
      </c>
      <c r="F21" s="44" t="e">
        <f>NA()</f>
        <v>#N/A</v>
      </c>
      <c r="G21" s="44" t="e">
        <f>NA()</f>
        <v>#N/A</v>
      </c>
      <c r="H21" s="44" t="e">
        <f>NA()</f>
        <v>#N/A</v>
      </c>
      <c r="I21" s="32">
        <f>AVERAGE(INDEX($D$15:$D$105,MAX(1,A21-4)):INDEX($D$15:$D$105,MIN(91,A21+4)))</f>
        <v>839.55555555555554</v>
      </c>
      <c r="L21" s="32">
        <f t="shared" si="1"/>
        <v>-216.84829059829065</v>
      </c>
      <c r="M21" s="44" t="e">
        <f>NA()</f>
        <v>#N/A</v>
      </c>
      <c r="N21" s="44" t="e">
        <f>NA()</f>
        <v>#N/A</v>
      </c>
    </row>
    <row r="22" spans="1:14" ht="15" x14ac:dyDescent="0.35">
      <c r="A22" s="41">
        <v>8</v>
      </c>
      <c r="B22" s="42">
        <f>Demand!J$4</f>
        <v>40203</v>
      </c>
      <c r="C22" s="9" t="s">
        <v>213</v>
      </c>
      <c r="D22" s="43">
        <f t="shared" si="0"/>
        <v>1373</v>
      </c>
      <c r="E22" s="32">
        <f t="shared" si="2"/>
        <v>1299.328125</v>
      </c>
      <c r="F22" s="44" t="e">
        <f>NA()</f>
        <v>#N/A</v>
      </c>
      <c r="G22" s="44" t="e">
        <f>NA()</f>
        <v>#N/A</v>
      </c>
      <c r="H22" s="44" t="e">
        <f>NA()</f>
        <v>#N/A</v>
      </c>
      <c r="I22" s="32">
        <f>AVERAGE(INDEX($D$15:$D$105,MAX(1,A22-4)):INDEX($D$15:$D$105,MIN(91,A22+4)))</f>
        <v>928.11111111111109</v>
      </c>
      <c r="L22" s="32">
        <f t="shared" si="1"/>
        <v>-128.2927350427351</v>
      </c>
      <c r="M22" s="44" t="e">
        <f>NA()</f>
        <v>#N/A</v>
      </c>
      <c r="N22" s="44" t="e">
        <f>NA()</f>
        <v>#N/A</v>
      </c>
    </row>
    <row r="23" spans="1:14" ht="15" x14ac:dyDescent="0.35">
      <c r="A23" s="41">
        <v>9</v>
      </c>
      <c r="B23" s="42">
        <f>Demand!K$4</f>
        <v>40210</v>
      </c>
      <c r="C23" s="9" t="s">
        <v>213</v>
      </c>
      <c r="D23" s="43">
        <f t="shared" si="0"/>
        <v>726</v>
      </c>
      <c r="E23" s="32">
        <f t="shared" si="2"/>
        <v>1012.6640625</v>
      </c>
      <c r="F23" s="44" t="e">
        <f>NA()</f>
        <v>#N/A</v>
      </c>
      <c r="G23" s="44" t="e">
        <f>NA()</f>
        <v>#N/A</v>
      </c>
      <c r="H23" s="44" t="e">
        <f>NA()</f>
        <v>#N/A</v>
      </c>
      <c r="I23" s="32">
        <f>AVERAGE(INDEX($D$15:$D$105,MAX(1,A23-4)):INDEX($D$15:$D$105,MIN(91,A23+4)))</f>
        <v>1021.1111111111111</v>
      </c>
      <c r="L23" s="32">
        <f t="shared" si="1"/>
        <v>-35.292735042735103</v>
      </c>
      <c r="M23" s="44" t="e">
        <f>NA()</f>
        <v>#N/A</v>
      </c>
      <c r="N23" s="44" t="e">
        <f>NA()</f>
        <v>#N/A</v>
      </c>
    </row>
    <row r="24" spans="1:14" ht="15" x14ac:dyDescent="0.35">
      <c r="A24" s="41">
        <v>10</v>
      </c>
      <c r="B24" s="42">
        <f>Demand!L$4</f>
        <v>40217</v>
      </c>
      <c r="C24" s="9" t="s">
        <v>213</v>
      </c>
      <c r="D24" s="43">
        <f t="shared" si="0"/>
        <v>576</v>
      </c>
      <c r="E24" s="32">
        <f t="shared" si="2"/>
        <v>794.33203125</v>
      </c>
      <c r="F24" s="44" t="e">
        <f>NA()</f>
        <v>#N/A</v>
      </c>
      <c r="G24" s="44" t="e">
        <f>NA()</f>
        <v>#N/A</v>
      </c>
      <c r="H24" s="44" t="e">
        <f>NA()</f>
        <v>#N/A</v>
      </c>
      <c r="I24" s="32">
        <f>AVERAGE(INDEX($D$15:$D$105,MAX(1,A24-4)):INDEX($D$15:$D$105,MIN(91,A24+4)))</f>
        <v>917.33333333333337</v>
      </c>
      <c r="L24" s="32">
        <f t="shared" si="1"/>
        <v>-139.07051282051282</v>
      </c>
      <c r="M24" s="44" t="e">
        <f>NA()</f>
        <v>#N/A</v>
      </c>
      <c r="N24" s="44" t="e">
        <f>NA()</f>
        <v>#N/A</v>
      </c>
    </row>
    <row r="25" spans="1:14" ht="15" x14ac:dyDescent="0.35">
      <c r="A25" s="41">
        <v>11</v>
      </c>
      <c r="B25" s="42">
        <f>Demand!M$4</f>
        <v>40224</v>
      </c>
      <c r="C25" s="9" t="s">
        <v>213</v>
      </c>
      <c r="D25" s="43">
        <f t="shared" si="0"/>
        <v>667</v>
      </c>
      <c r="E25" s="32">
        <f t="shared" si="2"/>
        <v>730.666015625</v>
      </c>
      <c r="F25" s="44" t="e">
        <f>NA()</f>
        <v>#N/A</v>
      </c>
      <c r="G25" s="44" t="e">
        <f>NA()</f>
        <v>#N/A</v>
      </c>
      <c r="H25" s="44" t="e">
        <f>NA()</f>
        <v>#N/A</v>
      </c>
      <c r="I25" s="32">
        <f>AVERAGE(INDEX($D$15:$D$105,MAX(1,A25-4)):INDEX($D$15:$D$105,MIN(91,A25+4)))</f>
        <v>980</v>
      </c>
      <c r="L25" s="32">
        <f t="shared" si="1"/>
        <v>-76.403846153846189</v>
      </c>
      <c r="M25" s="44" t="e">
        <f>NA()</f>
        <v>#N/A</v>
      </c>
      <c r="N25" s="44" t="e">
        <f>NA()</f>
        <v>#N/A</v>
      </c>
    </row>
    <row r="26" spans="1:14" ht="15" x14ac:dyDescent="0.35">
      <c r="A26" s="41">
        <v>12</v>
      </c>
      <c r="B26" s="42">
        <f>Demand!N$4</f>
        <v>40231</v>
      </c>
      <c r="C26" s="9" t="s">
        <v>213</v>
      </c>
      <c r="D26" s="43">
        <f t="shared" si="0"/>
        <v>922</v>
      </c>
      <c r="E26" s="32">
        <f t="shared" si="2"/>
        <v>826.3330078125</v>
      </c>
      <c r="F26" s="44" t="e">
        <f>NA()</f>
        <v>#N/A</v>
      </c>
      <c r="G26" s="44" t="e">
        <f>NA()</f>
        <v>#N/A</v>
      </c>
      <c r="H26" s="44" t="e">
        <f>NA()</f>
        <v>#N/A</v>
      </c>
      <c r="I26" s="32">
        <f>AVERAGE(INDEX($D$15:$D$105,MAX(1,A26-4)):INDEX($D$15:$D$105,MIN(91,A26+4)))</f>
        <v>954.77777777777783</v>
      </c>
      <c r="L26" s="32">
        <f t="shared" si="1"/>
        <v>-101.62606837606836</v>
      </c>
      <c r="M26" s="44" t="e">
        <f>NA()</f>
        <v>#N/A</v>
      </c>
      <c r="N26" s="44" t="e">
        <f>NA()</f>
        <v>#N/A</v>
      </c>
    </row>
    <row r="27" spans="1:14" ht="15" x14ac:dyDescent="0.35">
      <c r="A27" s="41">
        <v>13</v>
      </c>
      <c r="B27" s="42">
        <f>Demand!O$4</f>
        <v>40238</v>
      </c>
      <c r="C27" s="9" t="s">
        <v>213</v>
      </c>
      <c r="D27" s="43">
        <f t="shared" si="0"/>
        <v>837</v>
      </c>
      <c r="E27" s="32">
        <f t="shared" si="2"/>
        <v>831.66650390625</v>
      </c>
      <c r="F27" s="44" t="e">
        <f>NA()</f>
        <v>#N/A</v>
      </c>
      <c r="G27" s="44" t="e">
        <f>NA()</f>
        <v>#N/A</v>
      </c>
      <c r="H27" s="44" t="e">
        <f>NA()</f>
        <v>#N/A</v>
      </c>
      <c r="I27" s="32">
        <f>AVERAGE(INDEX($D$15:$D$105,MAX(1,A27-4)):INDEX($D$15:$D$105,MIN(91,A27+4)))</f>
        <v>901.66666666666663</v>
      </c>
      <c r="L27" s="32">
        <f t="shared" si="1"/>
        <v>-154.73717948717956</v>
      </c>
      <c r="M27" s="44" t="e">
        <f>NA()</f>
        <v>#N/A</v>
      </c>
      <c r="N27" s="44" t="e">
        <f>NA()</f>
        <v>#N/A</v>
      </c>
    </row>
    <row r="28" spans="1:14" ht="15" x14ac:dyDescent="0.35">
      <c r="A28" s="41">
        <v>14</v>
      </c>
      <c r="B28" s="42">
        <f>Demand!P$4</f>
        <v>40245</v>
      </c>
      <c r="C28" s="9" t="s">
        <v>213</v>
      </c>
      <c r="D28" s="43">
        <f t="shared" si="0"/>
        <v>833</v>
      </c>
      <c r="E28" s="32">
        <f t="shared" si="2"/>
        <v>832.333251953125</v>
      </c>
      <c r="F28" s="44" t="e">
        <f>NA()</f>
        <v>#N/A</v>
      </c>
      <c r="G28" s="44" t="e">
        <f>NA()</f>
        <v>#N/A</v>
      </c>
      <c r="H28" s="44" t="e">
        <f>NA()</f>
        <v>#N/A</v>
      </c>
      <c r="I28" s="32">
        <f>AVERAGE(INDEX($D$15:$D$105,MAX(1,A28-4)):INDEX($D$15:$D$105,MIN(91,A28+4)))</f>
        <v>921.55555555555554</v>
      </c>
      <c r="L28" s="32">
        <f t="shared" si="1"/>
        <v>-134.84829059829065</v>
      </c>
      <c r="M28" s="44" t="e">
        <f>NA()</f>
        <v>#N/A</v>
      </c>
      <c r="N28" s="44" t="e">
        <f>NA()</f>
        <v>#N/A</v>
      </c>
    </row>
    <row r="29" spans="1:14" ht="15" x14ac:dyDescent="0.35">
      <c r="A29" s="41">
        <v>15</v>
      </c>
      <c r="B29" s="42">
        <f>Demand!Q$4</f>
        <v>40252</v>
      </c>
      <c r="C29" s="9" t="s">
        <v>213</v>
      </c>
      <c r="D29" s="43">
        <f t="shared" si="0"/>
        <v>1481</v>
      </c>
      <c r="E29" s="32">
        <f t="shared" si="2"/>
        <v>1156.6666259765625</v>
      </c>
      <c r="F29" s="44" t="e">
        <f>NA()</f>
        <v>#N/A</v>
      </c>
      <c r="G29" s="44" t="e">
        <f>NA()</f>
        <v>#N/A</v>
      </c>
      <c r="H29" s="44" t="e">
        <f>NA()</f>
        <v>#N/A</v>
      </c>
      <c r="I29" s="32">
        <f>AVERAGE(INDEX($D$15:$D$105,MAX(1,A29-4)):INDEX($D$15:$D$105,MIN(91,A29+4)))</f>
        <v>951.11111111111109</v>
      </c>
      <c r="L29" s="32">
        <f t="shared" si="1"/>
        <v>-105.2927350427351</v>
      </c>
      <c r="M29" s="44" t="e">
        <f>NA()</f>
        <v>#N/A</v>
      </c>
      <c r="N29" s="44" t="e">
        <f>NA()</f>
        <v>#N/A</v>
      </c>
    </row>
    <row r="30" spans="1:14" ht="15" x14ac:dyDescent="0.35">
      <c r="A30" s="41">
        <v>16</v>
      </c>
      <c r="B30" s="42">
        <f>Demand!R$4</f>
        <v>40259</v>
      </c>
      <c r="C30" s="9" t="s">
        <v>213</v>
      </c>
      <c r="D30" s="43">
        <f t="shared" si="0"/>
        <v>1178</v>
      </c>
      <c r="E30" s="32">
        <f t="shared" si="2"/>
        <v>1167.3333129882813</v>
      </c>
      <c r="F30" s="44" t="e">
        <f>NA()</f>
        <v>#N/A</v>
      </c>
      <c r="G30" s="44" t="e">
        <f>NA()</f>
        <v>#N/A</v>
      </c>
      <c r="H30" s="44" t="e">
        <f>NA()</f>
        <v>#N/A</v>
      </c>
      <c r="I30" s="32">
        <f>AVERAGE(INDEX($D$15:$D$105,MAX(1,A30-4)):INDEX($D$15:$D$105,MIN(91,A30+4)))</f>
        <v>953.44444444444446</v>
      </c>
      <c r="L30" s="32">
        <f t="shared" si="1"/>
        <v>-102.95940170940173</v>
      </c>
      <c r="M30" s="44" t="e">
        <f>NA()</f>
        <v>#N/A</v>
      </c>
      <c r="N30" s="44" t="e">
        <f>NA()</f>
        <v>#N/A</v>
      </c>
    </row>
    <row r="31" spans="1:14" ht="15" x14ac:dyDescent="0.35">
      <c r="A31" s="41">
        <v>17</v>
      </c>
      <c r="B31" s="42">
        <f>Demand!S$4</f>
        <v>40266</v>
      </c>
      <c r="C31" s="9" t="s">
        <v>213</v>
      </c>
      <c r="D31" s="43">
        <f t="shared" si="0"/>
        <v>895</v>
      </c>
      <c r="E31" s="32">
        <f t="shared" si="2"/>
        <v>1031.1666564941406</v>
      </c>
      <c r="F31" s="44" t="e">
        <f>NA()</f>
        <v>#N/A</v>
      </c>
      <c r="G31" s="44" t="e">
        <f>NA()</f>
        <v>#N/A</v>
      </c>
      <c r="H31" s="44" t="e">
        <f>NA()</f>
        <v>#N/A</v>
      </c>
      <c r="I31" s="32">
        <f>AVERAGE(INDEX($D$15:$D$105,MAX(1,A31-4)):INDEX($D$15:$D$105,MIN(91,A31+4)))</f>
        <v>974</v>
      </c>
      <c r="L31" s="32">
        <f t="shared" si="1"/>
        <v>-82.403846153846189</v>
      </c>
      <c r="M31" s="44" t="e">
        <f>NA()</f>
        <v>#N/A</v>
      </c>
      <c r="N31" s="44" t="e">
        <f>NA()</f>
        <v>#N/A</v>
      </c>
    </row>
    <row r="32" spans="1:14" ht="15" x14ac:dyDescent="0.35">
      <c r="A32" s="41">
        <v>18</v>
      </c>
      <c r="B32" s="42">
        <f>Demand!T$4</f>
        <v>40273</v>
      </c>
      <c r="C32" s="9" t="s">
        <v>213</v>
      </c>
      <c r="D32" s="43">
        <f t="shared" si="0"/>
        <v>905</v>
      </c>
      <c r="E32" s="32">
        <f t="shared" si="2"/>
        <v>968.08332824707031</v>
      </c>
      <c r="F32" s="44" t="e">
        <f>NA()</f>
        <v>#N/A</v>
      </c>
      <c r="G32" s="44" t="e">
        <f>NA()</f>
        <v>#N/A</v>
      </c>
      <c r="H32" s="44" t="e">
        <f>NA()</f>
        <v>#N/A</v>
      </c>
      <c r="I32" s="32">
        <f>AVERAGE(INDEX($D$15:$D$105,MAX(1,A32-4)):INDEX($D$15:$D$105,MIN(91,A32+4)))</f>
        <v>997.33333333333337</v>
      </c>
      <c r="L32" s="32">
        <f t="shared" si="1"/>
        <v>-59.070512820512818</v>
      </c>
      <c r="M32" s="44" t="e">
        <f>NA()</f>
        <v>#N/A</v>
      </c>
      <c r="N32" s="44" t="e">
        <f>NA()</f>
        <v>#N/A</v>
      </c>
    </row>
    <row r="33" spans="1:14" ht="15" x14ac:dyDescent="0.35">
      <c r="A33" s="41">
        <v>19</v>
      </c>
      <c r="B33" s="42">
        <f>Demand!U$4</f>
        <v>40280</v>
      </c>
      <c r="C33" s="9" t="s">
        <v>213</v>
      </c>
      <c r="D33" s="43">
        <f t="shared" si="0"/>
        <v>842</v>
      </c>
      <c r="E33" s="32">
        <f t="shared" si="2"/>
        <v>905.04166412353516</v>
      </c>
      <c r="F33" s="44" t="e">
        <f>NA()</f>
        <v>#N/A</v>
      </c>
      <c r="G33" s="44" t="e">
        <f>NA()</f>
        <v>#N/A</v>
      </c>
      <c r="H33" s="44" t="e">
        <f>NA()</f>
        <v>#N/A</v>
      </c>
      <c r="I33" s="32">
        <f>AVERAGE(INDEX($D$15:$D$105,MAX(1,A33-4)):INDEX($D$15:$D$105,MIN(91,A33+4)))</f>
        <v>1027.5555555555557</v>
      </c>
      <c r="L33" s="32">
        <f t="shared" si="1"/>
        <v>-28.848290598290532</v>
      </c>
      <c r="M33" s="44" t="e">
        <f>NA()</f>
        <v>#N/A</v>
      </c>
      <c r="N33" s="44" t="e">
        <f>NA()</f>
        <v>#N/A</v>
      </c>
    </row>
    <row r="34" spans="1:14" ht="15" x14ac:dyDescent="0.35">
      <c r="A34" s="41">
        <v>20</v>
      </c>
      <c r="B34" s="42">
        <f>Demand!V$4</f>
        <v>40287</v>
      </c>
      <c r="C34" s="9" t="s">
        <v>213</v>
      </c>
      <c r="D34" s="43">
        <f t="shared" si="0"/>
        <v>688</v>
      </c>
      <c r="E34" s="32">
        <f t="shared" si="2"/>
        <v>796.52083206176758</v>
      </c>
      <c r="F34" s="44" t="e">
        <f>NA()</f>
        <v>#N/A</v>
      </c>
      <c r="G34" s="44" t="e">
        <f>NA()</f>
        <v>#N/A</v>
      </c>
      <c r="H34" s="44" t="e">
        <f>NA()</f>
        <v>#N/A</v>
      </c>
      <c r="I34" s="32">
        <f>AVERAGE(INDEX($D$15:$D$105,MAX(1,A34-4)):INDEX($D$15:$D$105,MIN(91,A34+4)))</f>
        <v>1001.6666666666666</v>
      </c>
      <c r="L34" s="32">
        <f t="shared" si="1"/>
        <v>-54.73717948717956</v>
      </c>
      <c r="M34" s="44" t="e">
        <f>NA()</f>
        <v>#N/A</v>
      </c>
      <c r="N34" s="44" t="e">
        <f>NA()</f>
        <v>#N/A</v>
      </c>
    </row>
    <row r="35" spans="1:14" ht="15" x14ac:dyDescent="0.35">
      <c r="A35" s="41">
        <v>21</v>
      </c>
      <c r="B35" s="42">
        <f>Demand!W$4</f>
        <v>40294</v>
      </c>
      <c r="C35" s="9" t="s">
        <v>213</v>
      </c>
      <c r="D35" s="43">
        <f t="shared" si="0"/>
        <v>1107</v>
      </c>
      <c r="E35" s="32">
        <f t="shared" si="2"/>
        <v>951.76041603088379</v>
      </c>
      <c r="F35" s="44" t="e">
        <f>NA()</f>
        <v>#N/A</v>
      </c>
      <c r="G35" s="44" t="e">
        <f>NA()</f>
        <v>#N/A</v>
      </c>
      <c r="H35" s="44" t="e">
        <f>NA()</f>
        <v>#N/A</v>
      </c>
      <c r="I35" s="32">
        <f>AVERAGE(INDEX($D$15:$D$105,MAX(1,A35-4)):INDEX($D$15:$D$105,MIN(91,A35+4)))</f>
        <v>976.66666666666663</v>
      </c>
      <c r="L35" s="32">
        <f t="shared" si="1"/>
        <v>-79.73717948717956</v>
      </c>
      <c r="M35" s="44" t="e">
        <f>NA()</f>
        <v>#N/A</v>
      </c>
      <c r="N35" s="44" t="e">
        <f>NA()</f>
        <v>#N/A</v>
      </c>
    </row>
    <row r="36" spans="1:14" ht="15" x14ac:dyDescent="0.35">
      <c r="A36" s="41">
        <v>22</v>
      </c>
      <c r="B36" s="42">
        <f>Demand!X$4</f>
        <v>40301</v>
      </c>
      <c r="C36" s="9" t="s">
        <v>213</v>
      </c>
      <c r="D36" s="43">
        <f t="shared" si="0"/>
        <v>1047</v>
      </c>
      <c r="E36" s="32">
        <f t="shared" si="2"/>
        <v>999.38020801544189</v>
      </c>
      <c r="F36" s="44" t="e">
        <f>NA()</f>
        <v>#N/A</v>
      </c>
      <c r="G36" s="44" t="e">
        <f>NA()</f>
        <v>#N/A</v>
      </c>
      <c r="H36" s="44" t="e">
        <f>NA()</f>
        <v>#N/A</v>
      </c>
      <c r="I36" s="32">
        <f>AVERAGE(INDEX($D$15:$D$105,MAX(1,A36-4)):INDEX($D$15:$D$105,MIN(91,A36+4)))</f>
        <v>937.77777777777783</v>
      </c>
      <c r="L36" s="32">
        <f t="shared" si="1"/>
        <v>-118.62606837606836</v>
      </c>
      <c r="M36" s="44" t="e">
        <f>NA()</f>
        <v>#N/A</v>
      </c>
      <c r="N36" s="44" t="e">
        <f>NA()</f>
        <v>#N/A</v>
      </c>
    </row>
    <row r="37" spans="1:14" ht="15" x14ac:dyDescent="0.35">
      <c r="A37" s="41">
        <v>23</v>
      </c>
      <c r="B37" s="42">
        <f>Demand!Y$4</f>
        <v>40308</v>
      </c>
      <c r="C37" s="9" t="s">
        <v>213</v>
      </c>
      <c r="D37" s="43">
        <f t="shared" si="0"/>
        <v>1105</v>
      </c>
      <c r="E37" s="32">
        <f t="shared" si="2"/>
        <v>1052.1901040077209</v>
      </c>
      <c r="F37" s="44" t="e">
        <f>NA()</f>
        <v>#N/A</v>
      </c>
      <c r="G37" s="44" t="e">
        <f>NA()</f>
        <v>#N/A</v>
      </c>
      <c r="H37" s="44" t="e">
        <f>NA()</f>
        <v>#N/A</v>
      </c>
      <c r="I37" s="32">
        <f>AVERAGE(INDEX($D$15:$D$105,MAX(1,A37-4)):INDEX($D$15:$D$105,MIN(91,A37+4)))</f>
        <v>1013.8888888888889</v>
      </c>
      <c r="L37" s="32">
        <f t="shared" si="1"/>
        <v>-42.514957264957275</v>
      </c>
      <c r="M37" s="44" t="e">
        <f>NA()</f>
        <v>#N/A</v>
      </c>
      <c r="N37" s="44" t="e">
        <f>NA()</f>
        <v>#N/A</v>
      </c>
    </row>
    <row r="38" spans="1:14" ht="15" x14ac:dyDescent="0.35">
      <c r="A38" s="41">
        <v>24</v>
      </c>
      <c r="B38" s="42">
        <f>Demand!Z$4</f>
        <v>40315</v>
      </c>
      <c r="C38" s="9" t="s">
        <v>213</v>
      </c>
      <c r="D38" s="43">
        <f t="shared" si="0"/>
        <v>1248</v>
      </c>
      <c r="E38" s="32">
        <f t="shared" si="2"/>
        <v>1150.0950520038605</v>
      </c>
      <c r="F38" s="44" t="e">
        <f>NA()</f>
        <v>#N/A</v>
      </c>
      <c r="G38" s="44" t="e">
        <f>NA()</f>
        <v>#N/A</v>
      </c>
      <c r="H38" s="44" t="e">
        <f>NA()</f>
        <v>#N/A</v>
      </c>
      <c r="I38" s="32">
        <f>AVERAGE(INDEX($D$15:$D$105,MAX(1,A38-4)):INDEX($D$15:$D$105,MIN(91,A38+4)))</f>
        <v>984.88888888888891</v>
      </c>
      <c r="L38" s="32">
        <f t="shared" si="1"/>
        <v>-71.514957264957275</v>
      </c>
      <c r="M38" s="44" t="e">
        <f>NA()</f>
        <v>#N/A</v>
      </c>
      <c r="N38" s="44" t="e">
        <f>NA()</f>
        <v>#N/A</v>
      </c>
    </row>
    <row r="39" spans="1:14" ht="15" x14ac:dyDescent="0.35">
      <c r="A39" s="41">
        <v>25</v>
      </c>
      <c r="B39" s="42">
        <f>Demand!AA$4</f>
        <v>40322</v>
      </c>
      <c r="C39" s="9" t="s">
        <v>213</v>
      </c>
      <c r="D39" s="43">
        <f t="shared" si="0"/>
        <v>953</v>
      </c>
      <c r="E39" s="32">
        <f t="shared" si="2"/>
        <v>1051.5475260019302</v>
      </c>
      <c r="F39" s="44" t="e">
        <f>NA()</f>
        <v>#N/A</v>
      </c>
      <c r="G39" s="44" t="e">
        <f>NA()</f>
        <v>#N/A</v>
      </c>
      <c r="H39" s="44" t="e">
        <f>NA()</f>
        <v>#N/A</v>
      </c>
      <c r="I39" s="32">
        <f>AVERAGE(INDEX($D$15:$D$105,MAX(1,A39-4)):INDEX($D$15:$D$105,MIN(91,A39+4)))</f>
        <v>995.55555555555554</v>
      </c>
      <c r="L39" s="32">
        <f t="shared" si="1"/>
        <v>-60.848290598290646</v>
      </c>
      <c r="M39" s="44" t="e">
        <f>NA()</f>
        <v>#N/A</v>
      </c>
      <c r="N39" s="44" t="e">
        <f>NA()</f>
        <v>#N/A</v>
      </c>
    </row>
    <row r="40" spans="1:14" ht="15" x14ac:dyDescent="0.35">
      <c r="A40" s="41">
        <v>26</v>
      </c>
      <c r="B40" s="42">
        <f>Demand!AB$4</f>
        <v>40329</v>
      </c>
      <c r="C40" s="9" t="s">
        <v>213</v>
      </c>
      <c r="D40" s="43">
        <f t="shared" si="0"/>
        <v>545</v>
      </c>
      <c r="E40" s="32">
        <f t="shared" si="2"/>
        <v>798.27376300096512</v>
      </c>
      <c r="F40" s="44" t="e">
        <f>NA()</f>
        <v>#N/A</v>
      </c>
      <c r="G40" s="44" t="e">
        <f>NA()</f>
        <v>#N/A</v>
      </c>
      <c r="H40" s="44" t="e">
        <f>NA()</f>
        <v>#N/A</v>
      </c>
      <c r="I40" s="32">
        <f>AVERAGE(INDEX($D$15:$D$105,MAX(1,A40-4)):INDEX($D$15:$D$105,MIN(91,A40+4)))</f>
        <v>1006.3333333333334</v>
      </c>
      <c r="L40" s="32">
        <f t="shared" si="1"/>
        <v>-50.070512820512818</v>
      </c>
      <c r="M40" s="44" t="e">
        <f>NA()</f>
        <v>#N/A</v>
      </c>
      <c r="N40" s="44" t="e">
        <f>NA()</f>
        <v>#N/A</v>
      </c>
    </row>
    <row r="41" spans="1:14" ht="15" x14ac:dyDescent="0.35">
      <c r="A41" s="41">
        <v>27</v>
      </c>
      <c r="B41" s="42">
        <f>Demand!AC$4</f>
        <v>40336</v>
      </c>
      <c r="C41" s="9" t="s">
        <v>213</v>
      </c>
      <c r="D41" s="43">
        <f t="shared" si="0"/>
        <v>1590</v>
      </c>
      <c r="E41" s="32">
        <f t="shared" si="2"/>
        <v>1194.1368815004826</v>
      </c>
      <c r="F41" s="44" t="e">
        <f>NA()</f>
        <v>#N/A</v>
      </c>
      <c r="G41" s="44" t="e">
        <f>NA()</f>
        <v>#N/A</v>
      </c>
      <c r="H41" s="44" t="e">
        <f>NA()</f>
        <v>#N/A</v>
      </c>
      <c r="I41" s="32">
        <f>AVERAGE(INDEX($D$15:$D$105,MAX(1,A41-4)):INDEX($D$15:$D$105,MIN(91,A41+4)))</f>
        <v>969</v>
      </c>
      <c r="L41" s="32">
        <f t="shared" si="1"/>
        <v>-87.403846153846189</v>
      </c>
      <c r="M41" s="44" t="e">
        <f>NA()</f>
        <v>#N/A</v>
      </c>
      <c r="N41" s="44" t="e">
        <f>NA()</f>
        <v>#N/A</v>
      </c>
    </row>
    <row r="42" spans="1:14" ht="15" x14ac:dyDescent="0.35">
      <c r="A42" s="41">
        <v>28</v>
      </c>
      <c r="B42" s="42">
        <f>Demand!AD$4</f>
        <v>40343</v>
      </c>
      <c r="C42" s="9" t="s">
        <v>213</v>
      </c>
      <c r="D42" s="43">
        <f t="shared" si="0"/>
        <v>581</v>
      </c>
      <c r="E42" s="32">
        <f t="shared" si="2"/>
        <v>887.56844075024128</v>
      </c>
      <c r="F42" s="44" t="e">
        <f>NA()</f>
        <v>#N/A</v>
      </c>
      <c r="G42" s="44" t="e">
        <f>NA()</f>
        <v>#N/A</v>
      </c>
      <c r="H42" s="44" t="e">
        <f>NA()</f>
        <v>#N/A</v>
      </c>
      <c r="I42" s="32">
        <f>AVERAGE(INDEX($D$15:$D$105,MAX(1,A42-4)):INDEX($D$15:$D$105,MIN(91,A42+4)))</f>
        <v>986.33333333333337</v>
      </c>
      <c r="L42" s="32">
        <f t="shared" si="1"/>
        <v>-70.070512820512818</v>
      </c>
      <c r="M42" s="44" t="e">
        <f>NA()</f>
        <v>#N/A</v>
      </c>
      <c r="N42" s="44" t="e">
        <f>NA()</f>
        <v>#N/A</v>
      </c>
    </row>
    <row r="43" spans="1:14" ht="15" x14ac:dyDescent="0.35">
      <c r="A43" s="41">
        <v>29</v>
      </c>
      <c r="B43" s="42">
        <f>Demand!AE$4</f>
        <v>40350</v>
      </c>
      <c r="C43" s="9" t="s">
        <v>213</v>
      </c>
      <c r="D43" s="43">
        <f t="shared" si="0"/>
        <v>784</v>
      </c>
      <c r="E43" s="32">
        <f t="shared" si="2"/>
        <v>835.78422037512064</v>
      </c>
      <c r="F43" s="44" t="e">
        <f>NA()</f>
        <v>#N/A</v>
      </c>
      <c r="G43" s="44" t="e">
        <f>NA()</f>
        <v>#N/A</v>
      </c>
      <c r="H43" s="44" t="e">
        <f>NA()</f>
        <v>#N/A</v>
      </c>
      <c r="I43" s="32">
        <f>AVERAGE(INDEX($D$15:$D$105,MAX(1,A43-4)):INDEX($D$15:$D$105,MIN(91,A43+4)))</f>
        <v>972.55555555555554</v>
      </c>
      <c r="L43" s="32">
        <f t="shared" si="1"/>
        <v>-83.848290598290646</v>
      </c>
      <c r="M43" s="44" t="e">
        <f>NA()</f>
        <v>#N/A</v>
      </c>
      <c r="N43" s="44" t="e">
        <f>NA()</f>
        <v>#N/A</v>
      </c>
    </row>
    <row r="44" spans="1:14" ht="15" x14ac:dyDescent="0.35">
      <c r="A44" s="41">
        <v>30</v>
      </c>
      <c r="B44" s="42">
        <f>Demand!AF$4</f>
        <v>40357</v>
      </c>
      <c r="C44" s="9" t="s">
        <v>213</v>
      </c>
      <c r="D44" s="43">
        <f t="shared" si="0"/>
        <v>1204</v>
      </c>
      <c r="E44" s="32">
        <f t="shared" si="2"/>
        <v>1019.8921101875603</v>
      </c>
      <c r="F44" s="44" t="e">
        <f>NA()</f>
        <v>#N/A</v>
      </c>
      <c r="G44" s="44" t="e">
        <f>NA()</f>
        <v>#N/A</v>
      </c>
      <c r="H44" s="44" t="e">
        <f>NA()</f>
        <v>#N/A</v>
      </c>
      <c r="I44" s="32">
        <f>AVERAGE(INDEX($D$15:$D$105,MAX(1,A44-4)):INDEX($D$15:$D$105,MIN(91,A44+4)))</f>
        <v>931.88888888888891</v>
      </c>
      <c r="L44" s="32">
        <f t="shared" si="1"/>
        <v>-124.51495726495727</v>
      </c>
      <c r="M44" s="44" t="e">
        <f>NA()</f>
        <v>#N/A</v>
      </c>
      <c r="N44" s="44" t="e">
        <f>NA()</f>
        <v>#N/A</v>
      </c>
    </row>
    <row r="45" spans="1:14" ht="15" x14ac:dyDescent="0.35">
      <c r="A45" s="41">
        <v>31</v>
      </c>
      <c r="B45" s="42">
        <f>Demand!AG$4</f>
        <v>40364</v>
      </c>
      <c r="C45" s="9" t="s">
        <v>213</v>
      </c>
      <c r="D45" s="43">
        <f t="shared" si="0"/>
        <v>711</v>
      </c>
      <c r="E45" s="32">
        <f t="shared" si="2"/>
        <v>865.44605509378016</v>
      </c>
      <c r="F45" s="44" t="e">
        <f>NA()</f>
        <v>#N/A</v>
      </c>
      <c r="G45" s="44" t="e">
        <f>NA()</f>
        <v>#N/A</v>
      </c>
      <c r="H45" s="44" t="e">
        <f>NA()</f>
        <v>#N/A</v>
      </c>
      <c r="I45" s="32">
        <f>AVERAGE(INDEX($D$15:$D$105,MAX(1,A45-4)):INDEX($D$15:$D$105,MIN(91,A45+4)))</f>
        <v>931.55555555555554</v>
      </c>
      <c r="L45" s="32">
        <f t="shared" si="1"/>
        <v>-124.84829059829065</v>
      </c>
      <c r="M45" s="44" t="e">
        <f>NA()</f>
        <v>#N/A</v>
      </c>
      <c r="N45" s="44" t="e">
        <f>NA()</f>
        <v>#N/A</v>
      </c>
    </row>
    <row r="46" spans="1:14" ht="15" x14ac:dyDescent="0.35">
      <c r="A46" s="41">
        <v>32</v>
      </c>
      <c r="B46" s="42">
        <f>Demand!AH$4</f>
        <v>40371</v>
      </c>
      <c r="C46" s="9" t="s">
        <v>213</v>
      </c>
      <c r="D46" s="43">
        <f t="shared" si="0"/>
        <v>1261</v>
      </c>
      <c r="E46" s="32">
        <f t="shared" si="2"/>
        <v>1063.2230275468901</v>
      </c>
      <c r="F46" s="44" t="e">
        <f>NA()</f>
        <v>#N/A</v>
      </c>
      <c r="G46" s="44" t="e">
        <f>NA()</f>
        <v>#N/A</v>
      </c>
      <c r="H46" s="44" t="e">
        <f>NA()</f>
        <v>#N/A</v>
      </c>
      <c r="I46" s="32">
        <f>AVERAGE(INDEX($D$15:$D$105,MAX(1,A46-4)):INDEX($D$15:$D$105,MIN(91,A46+4)))</f>
        <v>890.77777777777783</v>
      </c>
      <c r="L46" s="32">
        <f t="shared" si="1"/>
        <v>-165.62606837606836</v>
      </c>
      <c r="M46" s="44" t="e">
        <f>NA()</f>
        <v>#N/A</v>
      </c>
      <c r="N46" s="44" t="e">
        <f>NA()</f>
        <v>#N/A</v>
      </c>
    </row>
    <row r="47" spans="1:14" ht="15" x14ac:dyDescent="0.35">
      <c r="A47" s="41">
        <v>33</v>
      </c>
      <c r="B47" s="42">
        <f>Demand!AI$4</f>
        <v>40378</v>
      </c>
      <c r="C47" s="9" t="s">
        <v>213</v>
      </c>
      <c r="D47" s="43">
        <f t="shared" ref="D47:D78" si="3">INDEX(DemandAll,MATCH($D$4,DemandCodes,0),A47)</f>
        <v>1124</v>
      </c>
      <c r="E47" s="32">
        <f t="shared" si="2"/>
        <v>1093.611513773445</v>
      </c>
      <c r="F47" s="44" t="e">
        <f>NA()</f>
        <v>#N/A</v>
      </c>
      <c r="G47" s="44" t="e">
        <f>NA()</f>
        <v>#N/A</v>
      </c>
      <c r="H47" s="44" t="e">
        <f>NA()</f>
        <v>#N/A</v>
      </c>
      <c r="I47" s="32">
        <f>AVERAGE(INDEX($D$15:$D$105,MAX(1,A47-4)):INDEX($D$15:$D$105,MIN(91,A47+4)))</f>
        <v>1013.4444444444445</v>
      </c>
      <c r="L47" s="32">
        <f t="shared" ref="L47:L66" si="4">I47-$J$66</f>
        <v>-42.959401709401732</v>
      </c>
      <c r="M47" s="44" t="e">
        <f>NA()</f>
        <v>#N/A</v>
      </c>
      <c r="N47" s="44" t="e">
        <f>NA()</f>
        <v>#N/A</v>
      </c>
    </row>
    <row r="48" spans="1:14" ht="15" x14ac:dyDescent="0.35">
      <c r="A48" s="41">
        <v>34</v>
      </c>
      <c r="B48" s="42">
        <f>Demand!AJ$4</f>
        <v>40385</v>
      </c>
      <c r="C48" s="9" t="s">
        <v>213</v>
      </c>
      <c r="D48" s="43">
        <f t="shared" si="3"/>
        <v>587</v>
      </c>
      <c r="E48" s="32">
        <f t="shared" ref="E48:E79" si="5">$G$7*D48+(1-$G$7)*E47</f>
        <v>840.30575688672252</v>
      </c>
      <c r="F48" s="44" t="e">
        <f>NA()</f>
        <v>#N/A</v>
      </c>
      <c r="G48" s="44" t="e">
        <f>NA()</f>
        <v>#N/A</v>
      </c>
      <c r="H48" s="44" t="e">
        <f>NA()</f>
        <v>#N/A</v>
      </c>
      <c r="I48" s="32">
        <f>AVERAGE(INDEX($D$15:$D$105,MAX(1,A48-4)):INDEX($D$15:$D$105,MIN(91,A48+4)))</f>
        <v>1014.4444444444445</v>
      </c>
      <c r="L48" s="32">
        <f t="shared" si="4"/>
        <v>-41.959401709401732</v>
      </c>
      <c r="M48" s="44" t="e">
        <f>NA()</f>
        <v>#N/A</v>
      </c>
      <c r="N48" s="44" t="e">
        <f>NA()</f>
        <v>#N/A</v>
      </c>
    </row>
    <row r="49" spans="1:14" ht="15" x14ac:dyDescent="0.35">
      <c r="A49" s="41">
        <v>35</v>
      </c>
      <c r="B49" s="42">
        <f>Demand!AK$4</f>
        <v>40392</v>
      </c>
      <c r="C49" s="9" t="s">
        <v>213</v>
      </c>
      <c r="D49" s="43">
        <f t="shared" si="3"/>
        <v>542</v>
      </c>
      <c r="E49" s="32">
        <f t="shared" si="5"/>
        <v>691.15287844336126</v>
      </c>
      <c r="F49" s="44" t="e">
        <f>NA()</f>
        <v>#N/A</v>
      </c>
      <c r="G49" s="44" t="e">
        <f>NA()</f>
        <v>#N/A</v>
      </c>
      <c r="H49" s="44" t="e">
        <f>NA()</f>
        <v>#N/A</v>
      </c>
      <c r="I49" s="32">
        <f>AVERAGE(INDEX($D$15:$D$105,MAX(1,A49-4)):INDEX($D$15:$D$105,MIN(91,A49+4)))</f>
        <v>978.11111111111109</v>
      </c>
      <c r="L49" s="32">
        <f t="shared" si="4"/>
        <v>-78.292735042735103</v>
      </c>
      <c r="M49" s="44" t="e">
        <f>NA()</f>
        <v>#N/A</v>
      </c>
      <c r="N49" s="44" t="e">
        <f>NA()</f>
        <v>#N/A</v>
      </c>
    </row>
    <row r="50" spans="1:14" ht="15" x14ac:dyDescent="0.35">
      <c r="A50" s="41">
        <v>36</v>
      </c>
      <c r="B50" s="42">
        <f>Demand!AL$4</f>
        <v>40399</v>
      </c>
      <c r="C50" s="9" t="s">
        <v>213</v>
      </c>
      <c r="D50" s="43">
        <f t="shared" si="3"/>
        <v>1223</v>
      </c>
      <c r="E50" s="32">
        <f t="shared" si="5"/>
        <v>957.07643922168063</v>
      </c>
      <c r="F50" s="44" t="e">
        <f>NA()</f>
        <v>#N/A</v>
      </c>
      <c r="G50" s="44" t="e">
        <f>NA()</f>
        <v>#N/A</v>
      </c>
      <c r="H50" s="44" t="e">
        <f>NA()</f>
        <v>#N/A</v>
      </c>
      <c r="I50" s="32">
        <f>AVERAGE(INDEX($D$15:$D$105,MAX(1,A50-4)):INDEX($D$15:$D$105,MIN(91,A50+4)))</f>
        <v>1000.4444444444445</v>
      </c>
      <c r="L50" s="32">
        <f t="shared" si="4"/>
        <v>-55.959401709401732</v>
      </c>
      <c r="M50" s="44" t="e">
        <f>NA()</f>
        <v>#N/A</v>
      </c>
      <c r="N50" s="44" t="e">
        <f>NA()</f>
        <v>#N/A</v>
      </c>
    </row>
    <row r="51" spans="1:14" ht="15" x14ac:dyDescent="0.35">
      <c r="A51" s="41">
        <v>37</v>
      </c>
      <c r="B51" s="42">
        <f>Demand!AM$4</f>
        <v>40406</v>
      </c>
      <c r="C51" s="9" t="s">
        <v>213</v>
      </c>
      <c r="D51" s="43">
        <f t="shared" si="3"/>
        <v>1685</v>
      </c>
      <c r="E51" s="32">
        <f t="shared" si="5"/>
        <v>1321.0382196108403</v>
      </c>
      <c r="F51" s="44" t="e">
        <f>NA()</f>
        <v>#N/A</v>
      </c>
      <c r="G51" s="44" t="e">
        <f>NA()</f>
        <v>#N/A</v>
      </c>
      <c r="H51" s="44" t="e">
        <f>NA()</f>
        <v>#N/A</v>
      </c>
      <c r="I51" s="32">
        <f>AVERAGE(INDEX($D$15:$D$105,MAX(1,A51-4)):INDEX($D$15:$D$105,MIN(91,A51+4)))</f>
        <v>975.66666666666663</v>
      </c>
      <c r="L51" s="32">
        <f t="shared" si="4"/>
        <v>-80.73717948717956</v>
      </c>
      <c r="M51" s="44" t="e">
        <f>NA()</f>
        <v>#N/A</v>
      </c>
      <c r="N51" s="44" t="e">
        <f>NA()</f>
        <v>#N/A</v>
      </c>
    </row>
    <row r="52" spans="1:14" ht="15" x14ac:dyDescent="0.35">
      <c r="A52" s="41">
        <v>38</v>
      </c>
      <c r="B52" s="42">
        <f>Demand!AN$4</f>
        <v>40413</v>
      </c>
      <c r="C52" s="9" t="s">
        <v>213</v>
      </c>
      <c r="D52" s="43">
        <f t="shared" si="3"/>
        <v>793</v>
      </c>
      <c r="E52" s="32">
        <f t="shared" si="5"/>
        <v>1057.0191098054202</v>
      </c>
      <c r="F52" s="44" t="e">
        <f>NA()</f>
        <v>#N/A</v>
      </c>
      <c r="G52" s="44" t="e">
        <f>NA()</f>
        <v>#N/A</v>
      </c>
      <c r="H52" s="44" t="e">
        <f>NA()</f>
        <v>#N/A</v>
      </c>
      <c r="I52" s="32">
        <f>AVERAGE(INDEX($D$15:$D$105,MAX(1,A52-4)):INDEX($D$15:$D$105,MIN(91,A52+4)))</f>
        <v>971.66666666666663</v>
      </c>
      <c r="L52" s="32">
        <f t="shared" si="4"/>
        <v>-84.73717948717956</v>
      </c>
      <c r="M52" s="44" t="e">
        <f>NA()</f>
        <v>#N/A</v>
      </c>
      <c r="N52" s="44" t="e">
        <f>NA()</f>
        <v>#N/A</v>
      </c>
    </row>
    <row r="53" spans="1:14" ht="15" x14ac:dyDescent="0.35">
      <c r="A53" s="41">
        <v>39</v>
      </c>
      <c r="B53" s="42">
        <f>Demand!AO$4</f>
        <v>40420</v>
      </c>
      <c r="C53" s="9" t="s">
        <v>213</v>
      </c>
      <c r="D53" s="43">
        <f t="shared" si="3"/>
        <v>877</v>
      </c>
      <c r="E53" s="32">
        <f t="shared" si="5"/>
        <v>967.00955490271008</v>
      </c>
      <c r="F53" s="44" t="e">
        <f>NA()</f>
        <v>#N/A</v>
      </c>
      <c r="G53" s="44" t="e">
        <f>NA()</f>
        <v>#N/A</v>
      </c>
      <c r="H53" s="44" t="e">
        <f>NA()</f>
        <v>#N/A</v>
      </c>
      <c r="I53" s="32">
        <f>AVERAGE(INDEX($D$15:$D$105,MAX(1,A53-4)):INDEX($D$15:$D$105,MIN(91,A53+4)))</f>
        <v>1007.6666666666666</v>
      </c>
      <c r="L53" s="32">
        <f t="shared" si="4"/>
        <v>-48.73717948717956</v>
      </c>
      <c r="M53" s="44" t="e">
        <f>NA()</f>
        <v>#N/A</v>
      </c>
      <c r="N53" s="44" t="e">
        <f>NA()</f>
        <v>#N/A</v>
      </c>
    </row>
    <row r="54" spans="1:14" ht="15" x14ac:dyDescent="0.35">
      <c r="A54" s="41">
        <v>40</v>
      </c>
      <c r="B54" s="42">
        <f>Demand!AP$4</f>
        <v>40427</v>
      </c>
      <c r="C54" s="9" t="s">
        <v>213</v>
      </c>
      <c r="D54" s="43">
        <f t="shared" si="3"/>
        <v>912</v>
      </c>
      <c r="E54" s="32">
        <f t="shared" si="5"/>
        <v>939.50477745135504</v>
      </c>
      <c r="F54" s="44" t="e">
        <f>NA()</f>
        <v>#N/A</v>
      </c>
      <c r="G54" s="44" t="e">
        <f>NA()</f>
        <v>#N/A</v>
      </c>
      <c r="H54" s="44" t="e">
        <f>NA()</f>
        <v>#N/A</v>
      </c>
      <c r="I54" s="32">
        <f>AVERAGE(INDEX($D$15:$D$105,MAX(1,A54-4)):INDEX($D$15:$D$105,MIN(91,A54+4)))</f>
        <v>1057.8888888888889</v>
      </c>
      <c r="L54" s="32">
        <f t="shared" si="4"/>
        <v>1.4850427350427253</v>
      </c>
      <c r="M54" s="44" t="e">
        <f>NA()</f>
        <v>#N/A</v>
      </c>
      <c r="N54" s="44" t="e">
        <f>NA()</f>
        <v>#N/A</v>
      </c>
    </row>
    <row r="55" spans="1:14" ht="15" x14ac:dyDescent="0.35">
      <c r="A55" s="41">
        <v>41</v>
      </c>
      <c r="B55" s="42">
        <f>Demand!AQ$4</f>
        <v>40434</v>
      </c>
      <c r="C55" s="9" t="s">
        <v>213</v>
      </c>
      <c r="D55" s="43">
        <f t="shared" si="3"/>
        <v>1038</v>
      </c>
      <c r="E55" s="32">
        <f t="shared" si="5"/>
        <v>988.75238872567752</v>
      </c>
      <c r="F55" s="44" t="e">
        <f>NA()</f>
        <v>#N/A</v>
      </c>
      <c r="G55" s="44" t="e">
        <f>NA()</f>
        <v>#N/A</v>
      </c>
      <c r="H55" s="44" t="e">
        <f>NA()</f>
        <v>#N/A</v>
      </c>
      <c r="I55" s="32">
        <f>AVERAGE(INDEX($D$15:$D$105,MAX(1,A55-4)):INDEX($D$15:$D$105,MIN(91,A55+4)))</f>
        <v>1032.8888888888889</v>
      </c>
      <c r="L55" s="32">
        <f t="shared" si="4"/>
        <v>-23.514957264957275</v>
      </c>
      <c r="M55" s="44" t="e">
        <f>NA()</f>
        <v>#N/A</v>
      </c>
      <c r="N55" s="44" t="e">
        <f>NA()</f>
        <v>#N/A</v>
      </c>
    </row>
    <row r="56" spans="1:14" ht="15" x14ac:dyDescent="0.35">
      <c r="A56" s="41">
        <v>42</v>
      </c>
      <c r="B56" s="42">
        <f>Demand!AR$4</f>
        <v>40441</v>
      </c>
      <c r="C56" s="9" t="s">
        <v>213</v>
      </c>
      <c r="D56" s="43">
        <f t="shared" si="3"/>
        <v>1088</v>
      </c>
      <c r="E56" s="32">
        <f t="shared" si="5"/>
        <v>1038.3761943628388</v>
      </c>
      <c r="F56" s="44" t="e">
        <f>NA()</f>
        <v>#N/A</v>
      </c>
      <c r="G56" s="44" t="e">
        <f>NA()</f>
        <v>#N/A</v>
      </c>
      <c r="H56" s="44" t="e">
        <f>NA()</f>
        <v>#N/A</v>
      </c>
      <c r="I56" s="32">
        <f>AVERAGE(INDEX($D$15:$D$105,MAX(1,A56-4)):INDEX($D$15:$D$105,MIN(91,A56+4)))</f>
        <v>934.33333333333337</v>
      </c>
      <c r="L56" s="32">
        <f t="shared" si="4"/>
        <v>-122.07051282051282</v>
      </c>
      <c r="M56" s="44" t="e">
        <f>NA()</f>
        <v>#N/A</v>
      </c>
      <c r="N56" s="44" t="e">
        <f>NA()</f>
        <v>#N/A</v>
      </c>
    </row>
    <row r="57" spans="1:14" ht="15" x14ac:dyDescent="0.35">
      <c r="A57" s="41">
        <v>43</v>
      </c>
      <c r="B57" s="42">
        <f>Demand!AS$4</f>
        <v>40448</v>
      </c>
      <c r="C57" s="9" t="s">
        <v>213</v>
      </c>
      <c r="D57" s="43">
        <f t="shared" si="3"/>
        <v>911</v>
      </c>
      <c r="E57" s="32">
        <f t="shared" si="5"/>
        <v>974.68809718141938</v>
      </c>
      <c r="F57" s="44" t="e">
        <f>NA()</f>
        <v>#N/A</v>
      </c>
      <c r="G57" s="44" t="e">
        <f>NA()</f>
        <v>#N/A</v>
      </c>
      <c r="H57" s="44" t="e">
        <f>NA()</f>
        <v>#N/A</v>
      </c>
      <c r="I57" s="32">
        <f>AVERAGE(INDEX($D$15:$D$105,MAX(1,A57-4)):INDEX($D$15:$D$105,MIN(91,A57+4)))</f>
        <v>973.33333333333337</v>
      </c>
      <c r="L57" s="32">
        <f t="shared" si="4"/>
        <v>-83.070512820512818</v>
      </c>
      <c r="M57" s="44" t="e">
        <f>NA()</f>
        <v>#N/A</v>
      </c>
      <c r="N57" s="44" t="e">
        <f>NA()</f>
        <v>#N/A</v>
      </c>
    </row>
    <row r="58" spans="1:14" ht="15" x14ac:dyDescent="0.35">
      <c r="A58" s="41">
        <v>44</v>
      </c>
      <c r="B58" s="42">
        <f>Demand!AT$4</f>
        <v>40455</v>
      </c>
      <c r="C58" s="9" t="s">
        <v>213</v>
      </c>
      <c r="D58" s="43">
        <f t="shared" si="3"/>
        <v>994</v>
      </c>
      <c r="E58" s="32">
        <f t="shared" si="5"/>
        <v>984.34404859070969</v>
      </c>
      <c r="F58" s="44" t="e">
        <f>NA()</f>
        <v>#N/A</v>
      </c>
      <c r="G58" s="44" t="e">
        <f>NA()</f>
        <v>#N/A</v>
      </c>
      <c r="H58" s="44" t="e">
        <f>NA()</f>
        <v>#N/A</v>
      </c>
      <c r="I58" s="32">
        <f>AVERAGE(INDEX($D$15:$D$105,MAX(1,A58-4)):INDEX($D$15:$D$105,MIN(91,A58+4)))</f>
        <v>1027.2222222222222</v>
      </c>
      <c r="L58" s="32">
        <f t="shared" si="4"/>
        <v>-29.181623931624017</v>
      </c>
      <c r="M58" s="44" t="e">
        <f>NA()</f>
        <v>#N/A</v>
      </c>
      <c r="N58" s="44" t="e">
        <f>NA()</f>
        <v>#N/A</v>
      </c>
    </row>
    <row r="59" spans="1:14" ht="15" x14ac:dyDescent="0.35">
      <c r="A59" s="41">
        <v>45</v>
      </c>
      <c r="B59" s="42">
        <f>Demand!AU$4</f>
        <v>40462</v>
      </c>
      <c r="C59" s="9" t="s">
        <v>213</v>
      </c>
      <c r="D59" s="43">
        <f t="shared" si="3"/>
        <v>998</v>
      </c>
      <c r="E59" s="32">
        <f t="shared" si="5"/>
        <v>991.17202429535484</v>
      </c>
      <c r="F59" s="44" t="e">
        <f>NA()</f>
        <v>#N/A</v>
      </c>
      <c r="G59" s="44" t="e">
        <f>NA()</f>
        <v>#N/A</v>
      </c>
      <c r="H59" s="44" t="e">
        <f>NA()</f>
        <v>#N/A</v>
      </c>
      <c r="I59" s="32">
        <f>AVERAGE(INDEX($D$15:$D$105,MAX(1,A59-4)):INDEX($D$15:$D$105,MIN(91,A59+4)))</f>
        <v>1106.3333333333333</v>
      </c>
      <c r="L59" s="32">
        <f t="shared" si="4"/>
        <v>49.929487179487069</v>
      </c>
      <c r="M59" s="44" t="e">
        <f>NA()</f>
        <v>#N/A</v>
      </c>
      <c r="N59" s="44" t="e">
        <f>NA()</f>
        <v>#N/A</v>
      </c>
    </row>
    <row r="60" spans="1:14" ht="15" x14ac:dyDescent="0.35">
      <c r="A60" s="41">
        <v>46</v>
      </c>
      <c r="B60" s="42">
        <f>Demand!AV$4</f>
        <v>40469</v>
      </c>
      <c r="C60" s="9" t="s">
        <v>213</v>
      </c>
      <c r="D60" s="43">
        <f t="shared" si="3"/>
        <v>798</v>
      </c>
      <c r="E60" s="32">
        <f t="shared" si="5"/>
        <v>894.58601214767737</v>
      </c>
      <c r="F60" s="44" t="e">
        <f>NA()</f>
        <v>#N/A</v>
      </c>
      <c r="G60" s="44" t="e">
        <f>NA()</f>
        <v>#N/A</v>
      </c>
      <c r="H60" s="44" t="e">
        <f>NA()</f>
        <v>#N/A</v>
      </c>
      <c r="I60" s="32">
        <f>AVERAGE(INDEX($D$15:$D$105,MAX(1,A60-4)):INDEX($D$15:$D$105,MIN(91,A60+4)))</f>
        <v>1089.4444444444443</v>
      </c>
      <c r="L60" s="32">
        <f t="shared" si="4"/>
        <v>33.040598290598155</v>
      </c>
      <c r="M60" s="44" t="e">
        <f>NA()</f>
        <v>#N/A</v>
      </c>
      <c r="N60" s="44" t="e">
        <f>NA()</f>
        <v>#N/A</v>
      </c>
    </row>
    <row r="61" spans="1:14" ht="15" x14ac:dyDescent="0.35">
      <c r="A61" s="41">
        <v>47</v>
      </c>
      <c r="B61" s="42">
        <f>Demand!AW$4</f>
        <v>40476</v>
      </c>
      <c r="C61" s="9" t="s">
        <v>213</v>
      </c>
      <c r="D61" s="43">
        <f t="shared" si="3"/>
        <v>1144</v>
      </c>
      <c r="E61" s="32">
        <f t="shared" si="5"/>
        <v>1019.2930060738387</v>
      </c>
      <c r="F61" s="44" t="e">
        <f>NA()</f>
        <v>#N/A</v>
      </c>
      <c r="G61" s="44" t="e">
        <f>NA()</f>
        <v>#N/A</v>
      </c>
      <c r="H61" s="44" t="e">
        <f>NA()</f>
        <v>#N/A</v>
      </c>
      <c r="I61" s="32">
        <f>AVERAGE(INDEX($D$15:$D$105,MAX(1,A61-4)):INDEX($D$15:$D$105,MIN(91,A61+4)))</f>
        <v>1191</v>
      </c>
      <c r="L61" s="32">
        <f t="shared" si="4"/>
        <v>134.59615384615381</v>
      </c>
      <c r="M61" s="44" t="e">
        <f>NA()</f>
        <v>#N/A</v>
      </c>
      <c r="N61" s="44" t="e">
        <f>NA()</f>
        <v>#N/A</v>
      </c>
    </row>
    <row r="62" spans="1:14" ht="15" x14ac:dyDescent="0.35">
      <c r="A62" s="41">
        <v>48</v>
      </c>
      <c r="B62" s="42">
        <f>Demand!AX$4</f>
        <v>40483</v>
      </c>
      <c r="C62" s="9" t="s">
        <v>213</v>
      </c>
      <c r="D62" s="43">
        <f t="shared" si="3"/>
        <v>1362</v>
      </c>
      <c r="E62" s="32">
        <f t="shared" si="5"/>
        <v>1190.6465030369193</v>
      </c>
      <c r="F62" s="44" t="e">
        <f>NA()</f>
        <v>#N/A</v>
      </c>
      <c r="G62" s="44" t="e">
        <f>NA()</f>
        <v>#N/A</v>
      </c>
      <c r="H62" s="44" t="e">
        <f>NA()</f>
        <v>#N/A</v>
      </c>
      <c r="I62" s="32">
        <f>AVERAGE(INDEX($D$15:$D$105,MAX(1,A62-4)):INDEX($D$15:$D$105,MIN(91,A62+4)))</f>
        <v>1272.8888888888889</v>
      </c>
      <c r="L62" s="32">
        <f t="shared" si="4"/>
        <v>216.48504273504273</v>
      </c>
      <c r="M62" s="44" t="e">
        <f>NA()</f>
        <v>#N/A</v>
      </c>
      <c r="N62" s="44" t="e">
        <f>NA()</f>
        <v>#N/A</v>
      </c>
    </row>
    <row r="63" spans="1:14" ht="15" x14ac:dyDescent="0.35">
      <c r="A63" s="41">
        <v>49</v>
      </c>
      <c r="B63" s="42">
        <f>Demand!AY$4</f>
        <v>40490</v>
      </c>
      <c r="C63" s="9" t="s">
        <v>213</v>
      </c>
      <c r="D63" s="43">
        <f t="shared" si="3"/>
        <v>1624</v>
      </c>
      <c r="E63" s="32">
        <f t="shared" si="5"/>
        <v>1407.3232515184595</v>
      </c>
      <c r="F63" s="44" t="e">
        <f>NA()</f>
        <v>#N/A</v>
      </c>
      <c r="G63" s="44" t="e">
        <f>NA()</f>
        <v>#N/A</v>
      </c>
      <c r="H63" s="44" t="e">
        <f>NA()</f>
        <v>#N/A</v>
      </c>
      <c r="I63" s="32">
        <f>AVERAGE(INDEX($D$15:$D$105,MAX(1,A63-4)):INDEX($D$15:$D$105,MIN(91,A63+4)))</f>
        <v>1286.8888888888889</v>
      </c>
      <c r="L63" s="32">
        <f t="shared" si="4"/>
        <v>230.48504273504273</v>
      </c>
      <c r="M63" s="44" t="e">
        <f>NA()</f>
        <v>#N/A</v>
      </c>
      <c r="N63" s="44" t="e">
        <f>NA()</f>
        <v>#N/A</v>
      </c>
    </row>
    <row r="64" spans="1:14" ht="15" x14ac:dyDescent="0.35">
      <c r="A64" s="41">
        <v>50</v>
      </c>
      <c r="B64" s="42">
        <f>Demand!AZ$4</f>
        <v>40497</v>
      </c>
      <c r="C64" s="9" t="s">
        <v>213</v>
      </c>
      <c r="D64" s="43">
        <f t="shared" si="3"/>
        <v>886</v>
      </c>
      <c r="E64" s="32">
        <f t="shared" si="5"/>
        <v>1146.6616257592298</v>
      </c>
      <c r="F64" s="44" t="e">
        <f>NA()</f>
        <v>#N/A</v>
      </c>
      <c r="G64" s="44" t="e">
        <f>NA()</f>
        <v>#N/A</v>
      </c>
      <c r="H64" s="44" t="e">
        <f>NA()</f>
        <v>#N/A</v>
      </c>
      <c r="I64" s="32">
        <f>AVERAGE(INDEX($D$15:$D$105,MAX(1,A64-4)):INDEX($D$15:$D$105,MIN(91,A64+4)))</f>
        <v>1290.2222222222222</v>
      </c>
      <c r="L64" s="32">
        <f t="shared" si="4"/>
        <v>233.81837606837598</v>
      </c>
      <c r="M64" s="44" t="e">
        <f>NA()</f>
        <v>#N/A</v>
      </c>
      <c r="N64" s="44" t="e">
        <f>NA()</f>
        <v>#N/A</v>
      </c>
    </row>
    <row r="65" spans="1:14" ht="15" x14ac:dyDescent="0.35">
      <c r="A65" s="41">
        <v>51</v>
      </c>
      <c r="B65" s="42">
        <f>Demand!BA$4</f>
        <v>40504</v>
      </c>
      <c r="C65" s="9" t="s">
        <v>213</v>
      </c>
      <c r="D65" s="43">
        <f t="shared" si="3"/>
        <v>2002</v>
      </c>
      <c r="E65" s="32">
        <f t="shared" si="5"/>
        <v>1574.3308128796148</v>
      </c>
      <c r="F65" s="44" t="e">
        <f>NA()</f>
        <v>#N/A</v>
      </c>
      <c r="G65" s="44" t="e">
        <f>NA()</f>
        <v>#N/A</v>
      </c>
      <c r="H65" s="44" t="e">
        <f>NA()</f>
        <v>#N/A</v>
      </c>
      <c r="I65" s="32">
        <f>AVERAGE(INDEX($D$15:$D$105,MAX(1,A65-4)):INDEX($D$15:$D$105,MIN(91,A65+4)))</f>
        <v>1220.7777777777778</v>
      </c>
      <c r="L65" s="32">
        <f t="shared" si="4"/>
        <v>164.37393162393164</v>
      </c>
      <c r="M65" s="44" t="e">
        <f>NA()</f>
        <v>#N/A</v>
      </c>
      <c r="N65" s="44" t="e">
        <f>NA()</f>
        <v>#N/A</v>
      </c>
    </row>
    <row r="66" spans="1:14" ht="15" x14ac:dyDescent="0.35">
      <c r="A66" s="41">
        <v>52</v>
      </c>
      <c r="B66" s="42">
        <f>Demand!BB$4</f>
        <v>40511</v>
      </c>
      <c r="C66" s="9" t="s">
        <v>213</v>
      </c>
      <c r="D66" s="43">
        <f t="shared" si="3"/>
        <v>1648</v>
      </c>
      <c r="E66" s="32">
        <f t="shared" si="5"/>
        <v>1611.1654064398074</v>
      </c>
      <c r="F66" s="44" t="e">
        <f>NA()</f>
        <v>#N/A</v>
      </c>
      <c r="G66" s="44" t="e">
        <f>NA()</f>
        <v>#N/A</v>
      </c>
      <c r="H66" s="44" t="e">
        <f>NA()</f>
        <v>#N/A</v>
      </c>
      <c r="I66" s="32">
        <f>AVERAGE(INDEX($D$15:$D$105,MAX(1,A66-4)):INDEX($D$15:$D$105,MIN(91,A66+4)))</f>
        <v>1093.6666666666667</v>
      </c>
      <c r="J66" s="32">
        <f>AVERAGE($D$15:$D$66)</f>
        <v>1056.4038461538462</v>
      </c>
      <c r="K66" s="33">
        <v>0</v>
      </c>
      <c r="L66" s="32">
        <f t="shared" si="4"/>
        <v>37.262820512820554</v>
      </c>
      <c r="M66" s="44" t="e">
        <f>NA()</f>
        <v>#N/A</v>
      </c>
      <c r="N66" s="44" t="e">
        <f>NA()</f>
        <v>#N/A</v>
      </c>
    </row>
    <row r="67" spans="1:14" ht="15" x14ac:dyDescent="0.35">
      <c r="A67" s="41">
        <v>53</v>
      </c>
      <c r="B67" s="42">
        <f>Demand!BC$4</f>
        <v>40518</v>
      </c>
      <c r="C67" s="9" t="s">
        <v>213</v>
      </c>
      <c r="D67" s="43">
        <f t="shared" si="3"/>
        <v>1120</v>
      </c>
      <c r="E67" s="32">
        <f t="shared" si="5"/>
        <v>1365.5827032199036</v>
      </c>
      <c r="F67" s="44" t="e">
        <f>NA()</f>
        <v>#N/A</v>
      </c>
      <c r="G67" s="44" t="e">
        <f>NA()</f>
        <v>#N/A</v>
      </c>
      <c r="H67" s="44" t="e">
        <f>NA()</f>
        <v>#N/A</v>
      </c>
      <c r="J67" s="32">
        <f t="shared" ref="J67:J98" si="6">$G$8*(D67-L15)+(1-$G$8)*(J66+K66)</f>
        <v>1049.2438461538461</v>
      </c>
      <c r="K67" s="33">
        <f t="shared" ref="K67:K98" si="7">$H$8*(J67-J66)+(1-$H$8)*K66</f>
        <v>-0.35800000000000409</v>
      </c>
      <c r="L67" s="32">
        <f t="shared" ref="L67:L98" si="8">$I$8*(D67-J67)+(1-$I$8)*L15</f>
        <v>206.79615384615386</v>
      </c>
      <c r="M67" s="44" t="e">
        <f>NA()</f>
        <v>#N/A</v>
      </c>
      <c r="N67" s="44" t="e">
        <f>NA()</f>
        <v>#N/A</v>
      </c>
    </row>
    <row r="68" spans="1:14" ht="15" x14ac:dyDescent="0.35">
      <c r="A68" s="41">
        <v>54</v>
      </c>
      <c r="B68" s="42">
        <f>Demand!BD$4</f>
        <v>40525</v>
      </c>
      <c r="C68" s="9" t="s">
        <v>213</v>
      </c>
      <c r="D68" s="43">
        <f t="shared" si="3"/>
        <v>1028</v>
      </c>
      <c r="E68" s="32">
        <f t="shared" si="5"/>
        <v>1196.7913516099518</v>
      </c>
      <c r="F68" s="44" t="e">
        <f>NA()</f>
        <v>#N/A</v>
      </c>
      <c r="G68" s="44" t="e">
        <f>NA()</f>
        <v>#N/A</v>
      </c>
      <c r="H68" s="44" t="e">
        <f>NA()</f>
        <v>#N/A</v>
      </c>
      <c r="J68" s="32">
        <f t="shared" si="6"/>
        <v>1040.3867461538462</v>
      </c>
      <c r="K68" s="33">
        <f t="shared" si="7"/>
        <v>-0.78295500000000118</v>
      </c>
      <c r="L68" s="32">
        <f t="shared" si="8"/>
        <v>149.09615384615381</v>
      </c>
      <c r="M68" s="44" t="e">
        <f>NA()</f>
        <v>#N/A</v>
      </c>
      <c r="N68" s="44" t="e">
        <f>NA()</f>
        <v>#N/A</v>
      </c>
    </row>
    <row r="69" spans="1:14" ht="15" x14ac:dyDescent="0.35">
      <c r="A69" s="41">
        <v>55</v>
      </c>
      <c r="B69" s="42">
        <f>Demand!BE$4</f>
        <v>40532</v>
      </c>
      <c r="C69" s="9" t="s">
        <v>213</v>
      </c>
      <c r="D69" s="43">
        <f t="shared" si="3"/>
        <v>173</v>
      </c>
      <c r="E69" s="32">
        <f t="shared" si="5"/>
        <v>684.89567580497589</v>
      </c>
      <c r="F69" s="44" t="e">
        <f>NA()</f>
        <v>#N/A</v>
      </c>
      <c r="G69" s="44" t="e">
        <f>NA()</f>
        <v>#N/A</v>
      </c>
      <c r="H69" s="44" t="e">
        <f>NA()</f>
        <v>#N/A</v>
      </c>
      <c r="J69" s="32">
        <f t="shared" si="6"/>
        <v>987.39379390384624</v>
      </c>
      <c r="K69" s="33">
        <f t="shared" si="7"/>
        <v>-3.3934548624999969</v>
      </c>
      <c r="L69" s="32">
        <f t="shared" si="8"/>
        <v>177.59615384615381</v>
      </c>
      <c r="M69" s="44" t="e">
        <f>NA()</f>
        <v>#N/A</v>
      </c>
      <c r="N69" s="44" t="e">
        <f>NA()</f>
        <v>#N/A</v>
      </c>
    </row>
    <row r="70" spans="1:14" ht="15" x14ac:dyDescent="0.35">
      <c r="A70" s="41">
        <v>56</v>
      </c>
      <c r="B70" s="42">
        <f>Demand!BF$4</f>
        <v>40539</v>
      </c>
      <c r="C70" s="9" t="s">
        <v>213</v>
      </c>
      <c r="D70" s="43">
        <f t="shared" si="3"/>
        <v>0</v>
      </c>
      <c r="E70" s="32">
        <f t="shared" si="5"/>
        <v>342.44783790248795</v>
      </c>
      <c r="F70" s="44" t="e">
        <f>NA()</f>
        <v>#N/A</v>
      </c>
      <c r="G70" s="44" t="e">
        <f>NA()</f>
        <v>#N/A</v>
      </c>
      <c r="H70" s="44" t="e">
        <f>NA()</f>
        <v>#N/A</v>
      </c>
      <c r="J70" s="32">
        <f t="shared" si="6"/>
        <v>925.05176439697118</v>
      </c>
      <c r="K70" s="33">
        <f t="shared" si="7"/>
        <v>-6.3408835947187505</v>
      </c>
      <c r="L70" s="32">
        <f t="shared" si="8"/>
        <v>194.97115384615381</v>
      </c>
      <c r="M70" s="44" t="e">
        <f>NA()</f>
        <v>#N/A</v>
      </c>
      <c r="N70" s="44" t="e">
        <f>NA()</f>
        <v>#N/A</v>
      </c>
    </row>
    <row r="71" spans="1:14" ht="15" x14ac:dyDescent="0.35">
      <c r="A71" s="41">
        <v>57</v>
      </c>
      <c r="B71" s="42">
        <f>Demand!BG$4</f>
        <v>40546</v>
      </c>
      <c r="C71" s="9" t="s">
        <v>213</v>
      </c>
      <c r="D71" s="43">
        <f t="shared" si="3"/>
        <v>971</v>
      </c>
      <c r="E71" s="32">
        <f t="shared" si="5"/>
        <v>656.72391895124395</v>
      </c>
      <c r="F71" s="44" t="e">
        <f>NA()</f>
        <v>#N/A</v>
      </c>
      <c r="G71" s="44" t="e">
        <f>NA()</f>
        <v>#N/A</v>
      </c>
      <c r="H71" s="44" t="e">
        <f>NA()</f>
        <v>#N/A</v>
      </c>
      <c r="J71" s="32">
        <f t="shared" si="6"/>
        <v>914.49552906983206</v>
      </c>
      <c r="K71" s="33">
        <f t="shared" si="7"/>
        <v>-6.5516511813397686</v>
      </c>
      <c r="L71" s="32">
        <f t="shared" si="8"/>
        <v>136.59615384615381</v>
      </c>
      <c r="M71" s="44" t="e">
        <f>NA()</f>
        <v>#N/A</v>
      </c>
      <c r="N71" s="44" t="e">
        <f>NA()</f>
        <v>#N/A</v>
      </c>
    </row>
    <row r="72" spans="1:14" ht="15" x14ac:dyDescent="0.35">
      <c r="A72" s="41">
        <v>58</v>
      </c>
      <c r="B72" s="42">
        <f>Demand!BH$4</f>
        <v>40553</v>
      </c>
      <c r="C72" s="9" t="s">
        <v>213</v>
      </c>
      <c r="D72" s="43">
        <f t="shared" si="3"/>
        <v>3327</v>
      </c>
      <c r="E72" s="32">
        <f t="shared" si="5"/>
        <v>1991.8619594756219</v>
      </c>
      <c r="F72" s="44" t="e">
        <f>NA()</f>
        <v>#N/A</v>
      </c>
      <c r="G72" s="44" t="e">
        <f>NA()</f>
        <v>#N/A</v>
      </c>
      <c r="H72" s="44" t="e">
        <f>NA()</f>
        <v>#N/A</v>
      </c>
      <c r="J72" s="32">
        <f t="shared" si="6"/>
        <v>1036.3002096350933</v>
      </c>
      <c r="K72" s="33">
        <f t="shared" si="7"/>
        <v>-0.13383459400971631</v>
      </c>
      <c r="L72" s="32">
        <f t="shared" si="8"/>
        <v>-148.07051282051282</v>
      </c>
      <c r="M72" s="44" t="e">
        <f>NA()</f>
        <v>#N/A</v>
      </c>
      <c r="N72" s="44" t="e">
        <f>NA()</f>
        <v>#N/A</v>
      </c>
    </row>
    <row r="73" spans="1:14" ht="15" x14ac:dyDescent="0.35">
      <c r="A73" s="41">
        <v>59</v>
      </c>
      <c r="B73" s="42">
        <f>Demand!BI$4</f>
        <v>40560</v>
      </c>
      <c r="C73" s="9" t="s">
        <v>213</v>
      </c>
      <c r="D73" s="43">
        <f t="shared" si="3"/>
        <v>655</v>
      </c>
      <c r="E73" s="32">
        <f t="shared" si="5"/>
        <v>1323.430979737811</v>
      </c>
      <c r="F73" s="44" t="e">
        <f>NA()</f>
        <v>#N/A</v>
      </c>
      <c r="G73" s="44" t="e">
        <f>NA()</f>
        <v>#N/A</v>
      </c>
      <c r="H73" s="44" t="e">
        <f>NA()</f>
        <v>#N/A</v>
      </c>
      <c r="J73" s="32">
        <f t="shared" si="6"/>
        <v>1027.950470818944</v>
      </c>
      <c r="K73" s="33">
        <f t="shared" si="7"/>
        <v>-0.54462980511669468</v>
      </c>
      <c r="L73" s="32">
        <f t="shared" si="8"/>
        <v>-216.84829059829065</v>
      </c>
      <c r="M73" s="44" t="e">
        <f>NA()</f>
        <v>#N/A</v>
      </c>
      <c r="N73" s="44" t="e">
        <f>NA()</f>
        <v>#N/A</v>
      </c>
    </row>
    <row r="74" spans="1:14" ht="15" x14ac:dyDescent="0.35">
      <c r="A74" s="41">
        <v>60</v>
      </c>
      <c r="B74" s="42">
        <f>Demand!BJ$4</f>
        <v>40567</v>
      </c>
      <c r="C74" s="9" t="s">
        <v>213</v>
      </c>
      <c r="D74" s="43">
        <f t="shared" si="3"/>
        <v>540</v>
      </c>
      <c r="E74" s="32">
        <f t="shared" si="5"/>
        <v>931.71548986890548</v>
      </c>
      <c r="F74" s="44" t="e">
        <f>NA()</f>
        <v>#N/A</v>
      </c>
      <c r="G74" s="44" t="e">
        <f>NA()</f>
        <v>#N/A</v>
      </c>
      <c r="H74" s="44" t="e">
        <f>NA()</f>
        <v>#N/A</v>
      </c>
      <c r="J74" s="32">
        <f t="shared" si="6"/>
        <v>1009.4501857152726</v>
      </c>
      <c r="K74" s="33">
        <f t="shared" si="7"/>
        <v>-1.4424125700444321</v>
      </c>
      <c r="L74" s="32">
        <f t="shared" si="8"/>
        <v>-128.2927350427351</v>
      </c>
      <c r="M74" s="44" t="e">
        <f>NA()</f>
        <v>#N/A</v>
      </c>
      <c r="N74" s="44" t="e">
        <f>NA()</f>
        <v>#N/A</v>
      </c>
    </row>
    <row r="75" spans="1:14" ht="15" x14ac:dyDescent="0.35">
      <c r="A75" s="41">
        <v>61</v>
      </c>
      <c r="B75" s="42">
        <f>Demand!BK$4</f>
        <v>40574</v>
      </c>
      <c r="C75" s="9" t="s">
        <v>213</v>
      </c>
      <c r="D75" s="43">
        <f t="shared" si="3"/>
        <v>586</v>
      </c>
      <c r="E75" s="32">
        <f t="shared" si="5"/>
        <v>758.85774493445274</v>
      </c>
      <c r="F75" s="44" t="e">
        <f>NA()</f>
        <v>#N/A</v>
      </c>
      <c r="G75" s="44" t="e">
        <f>NA()</f>
        <v>#N/A</v>
      </c>
      <c r="H75" s="44" t="e">
        <f>NA()</f>
        <v>#N/A</v>
      </c>
      <c r="J75" s="32">
        <f t="shared" si="6"/>
        <v>988.67202124010339</v>
      </c>
      <c r="K75" s="33">
        <f t="shared" si="7"/>
        <v>-2.4092001653006712</v>
      </c>
      <c r="L75" s="32">
        <f t="shared" si="8"/>
        <v>-35.292735042735103</v>
      </c>
      <c r="M75" s="44" t="e">
        <f>NA()</f>
        <v>#N/A</v>
      </c>
      <c r="N75" s="44" t="e">
        <f>NA()</f>
        <v>#N/A</v>
      </c>
    </row>
    <row r="76" spans="1:14" ht="15" x14ac:dyDescent="0.35">
      <c r="A76" s="41">
        <v>62</v>
      </c>
      <c r="B76" s="42">
        <f>Demand!BL$4</f>
        <v>40581</v>
      </c>
      <c r="C76" s="9" t="s">
        <v>213</v>
      </c>
      <c r="D76" s="43">
        <f t="shared" si="3"/>
        <v>516</v>
      </c>
      <c r="E76" s="32">
        <f t="shared" si="5"/>
        <v>637.42887246722637</v>
      </c>
      <c r="F76" s="44" t="e">
        <f>NA()</f>
        <v>#N/A</v>
      </c>
      <c r="G76" s="44" t="e">
        <f>NA()</f>
        <v>#N/A</v>
      </c>
      <c r="H76" s="44" t="e">
        <f>NA()</f>
        <v>#N/A</v>
      </c>
      <c r="J76" s="32">
        <f t="shared" si="6"/>
        <v>969.70320566208807</v>
      </c>
      <c r="K76" s="33">
        <f t="shared" si="7"/>
        <v>-3.2371809359364039</v>
      </c>
      <c r="L76" s="32">
        <f t="shared" si="8"/>
        <v>-139.07051282051282</v>
      </c>
      <c r="M76" s="44" t="e">
        <f>NA()</f>
        <v>#N/A</v>
      </c>
      <c r="N76" s="44" t="e">
        <f>NA()</f>
        <v>#N/A</v>
      </c>
    </row>
    <row r="77" spans="1:14" ht="15" x14ac:dyDescent="0.35">
      <c r="A77" s="41">
        <v>63</v>
      </c>
      <c r="B77" s="42">
        <f>Demand!BM$4</f>
        <v>40588</v>
      </c>
      <c r="C77" s="9" t="s">
        <v>213</v>
      </c>
      <c r="D77" s="43">
        <f t="shared" si="3"/>
        <v>365</v>
      </c>
      <c r="E77" s="32">
        <f t="shared" si="5"/>
        <v>501.21443623361318</v>
      </c>
      <c r="F77" s="44" t="e">
        <f>NA()</f>
        <v>#N/A</v>
      </c>
      <c r="G77" s="44" t="e">
        <f>NA()</f>
        <v>#N/A</v>
      </c>
      <c r="H77" s="44" t="e">
        <f>NA()</f>
        <v>#N/A</v>
      </c>
      <c r="J77" s="32">
        <f t="shared" si="6"/>
        <v>940.21291579753631</v>
      </c>
      <c r="K77" s="33">
        <f t="shared" si="7"/>
        <v>-4.5498363823671717</v>
      </c>
      <c r="L77" s="32">
        <f t="shared" si="8"/>
        <v>-76.403846153846189</v>
      </c>
      <c r="M77" s="44" t="e">
        <f>NA()</f>
        <v>#N/A</v>
      </c>
      <c r="N77" s="44" t="e">
        <f>NA()</f>
        <v>#N/A</v>
      </c>
    </row>
    <row r="78" spans="1:14" ht="15" x14ac:dyDescent="0.35">
      <c r="A78" s="41">
        <v>64</v>
      </c>
      <c r="B78" s="42">
        <f>Demand!BN$4</f>
        <v>40595</v>
      </c>
      <c r="C78" s="9" t="s">
        <v>213</v>
      </c>
      <c r="D78" s="43">
        <f t="shared" si="3"/>
        <v>401</v>
      </c>
      <c r="E78" s="32">
        <f t="shared" si="5"/>
        <v>451.10721811680662</v>
      </c>
      <c r="F78" s="44" t="e">
        <f>NA()</f>
        <v>#N/A</v>
      </c>
      <c r="G78" s="44" t="e">
        <f>NA()</f>
        <v>#N/A</v>
      </c>
      <c r="H78" s="44" t="e">
        <f>NA()</f>
        <v>#N/A</v>
      </c>
      <c r="J78" s="32">
        <f t="shared" si="6"/>
        <v>914.01122886321411</v>
      </c>
      <c r="K78" s="33">
        <f t="shared" si="7"/>
        <v>-5.632428909964923</v>
      </c>
      <c r="L78" s="32">
        <f t="shared" si="8"/>
        <v>-101.62606837606836</v>
      </c>
      <c r="M78" s="44" t="e">
        <f>NA()</f>
        <v>#N/A</v>
      </c>
      <c r="N78" s="44" t="e">
        <f>NA()</f>
        <v>#N/A</v>
      </c>
    </row>
    <row r="79" spans="1:14" ht="15" x14ac:dyDescent="0.35">
      <c r="A79" s="41">
        <v>65</v>
      </c>
      <c r="B79" s="42">
        <f>Demand!BO$4</f>
        <v>40602</v>
      </c>
      <c r="C79" s="9" t="s">
        <v>213</v>
      </c>
      <c r="D79" s="43">
        <f t="shared" ref="D79:D110" si="9">INDEX(DemandAll,MATCH($D$4,DemandCodes,0),A79)</f>
        <v>380</v>
      </c>
      <c r="E79" s="32">
        <f t="shared" si="5"/>
        <v>415.55360905840331</v>
      </c>
      <c r="F79" s="44" t="e">
        <f>NA()</f>
        <v>#N/A</v>
      </c>
      <c r="G79" s="44" t="e">
        <f>NA()</f>
        <v>#N/A</v>
      </c>
      <c r="H79" s="44" t="e">
        <f>NA()</f>
        <v>#N/A</v>
      </c>
      <c r="J79" s="32">
        <f t="shared" si="6"/>
        <v>889.69671892994563</v>
      </c>
      <c r="K79" s="33">
        <f t="shared" si="7"/>
        <v>-6.5665329611301004</v>
      </c>
      <c r="L79" s="32">
        <f t="shared" si="8"/>
        <v>-154.73717948717956</v>
      </c>
      <c r="M79" s="44" t="e">
        <f>NA()</f>
        <v>#N/A</v>
      </c>
      <c r="N79" s="44" t="e">
        <f>NA()</f>
        <v>#N/A</v>
      </c>
    </row>
    <row r="80" spans="1:14" ht="15" x14ac:dyDescent="0.35">
      <c r="A80" s="41">
        <v>66</v>
      </c>
      <c r="B80" s="42">
        <f>Demand!BP$4</f>
        <v>40609</v>
      </c>
      <c r="C80" s="9" t="s">
        <v>213</v>
      </c>
      <c r="D80" s="43">
        <f t="shared" si="9"/>
        <v>446</v>
      </c>
      <c r="E80" s="32">
        <f t="shared" ref="E80:E111" si="10">$G$7*D80+(1-$G$7)*E79</f>
        <v>430.77680452920163</v>
      </c>
      <c r="F80" s="44" t="e">
        <f>NA()</f>
        <v>#N/A</v>
      </c>
      <c r="G80" s="44" t="e">
        <f>NA()</f>
        <v>#N/A</v>
      </c>
      <c r="H80" s="44" t="e">
        <f>NA()</f>
        <v>#N/A</v>
      </c>
      <c r="J80" s="32">
        <f t="shared" si="6"/>
        <v>868.01609120028922</v>
      </c>
      <c r="K80" s="33">
        <f t="shared" si="7"/>
        <v>-7.3222376995564158</v>
      </c>
      <c r="L80" s="32">
        <f t="shared" si="8"/>
        <v>-134.84829059829065</v>
      </c>
      <c r="M80" s="44" t="e">
        <f>NA()</f>
        <v>#N/A</v>
      </c>
      <c r="N80" s="44" t="e">
        <f>NA()</f>
        <v>#N/A</v>
      </c>
    </row>
    <row r="81" spans="1:14" ht="15" x14ac:dyDescent="0.35">
      <c r="A81" s="41">
        <v>67</v>
      </c>
      <c r="B81" s="42">
        <f>Demand!BQ$4</f>
        <v>40616</v>
      </c>
      <c r="C81" s="9" t="s">
        <v>213</v>
      </c>
      <c r="D81" s="43">
        <f t="shared" si="9"/>
        <v>463</v>
      </c>
      <c r="E81" s="32">
        <f t="shared" si="10"/>
        <v>446.88840226460081</v>
      </c>
      <c r="F81" s="44" t="e">
        <f>NA()</f>
        <v>#N/A</v>
      </c>
      <c r="G81" s="44" t="e">
        <f>NA()</f>
        <v>#N/A</v>
      </c>
      <c r="H81" s="44" t="e">
        <f>NA()</f>
        <v>#N/A</v>
      </c>
      <c r="J81" s="32">
        <f t="shared" si="6"/>
        <v>846.07379757783281</v>
      </c>
      <c r="K81" s="33">
        <f t="shared" si="7"/>
        <v>-8.0532404957014165</v>
      </c>
      <c r="L81" s="32">
        <f t="shared" si="8"/>
        <v>-105.2927350427351</v>
      </c>
      <c r="M81" s="44" t="e">
        <f>NA()</f>
        <v>#N/A</v>
      </c>
      <c r="N81" s="44" t="e">
        <f>NA()</f>
        <v>#N/A</v>
      </c>
    </row>
    <row r="82" spans="1:14" ht="15" x14ac:dyDescent="0.35">
      <c r="A82" s="41">
        <v>68</v>
      </c>
      <c r="B82" s="42">
        <f>Demand!BR$4</f>
        <v>40623</v>
      </c>
      <c r="C82" s="9" t="s">
        <v>213</v>
      </c>
      <c r="D82" s="43">
        <f t="shared" si="9"/>
        <v>365</v>
      </c>
      <c r="E82" s="32">
        <f t="shared" si="10"/>
        <v>405.94420113230041</v>
      </c>
      <c r="F82" s="44" t="e">
        <f>NA()</f>
        <v>#N/A</v>
      </c>
      <c r="G82" s="44" t="e">
        <f>NA()</f>
        <v>#N/A</v>
      </c>
      <c r="H82" s="44" t="e">
        <f>NA()</f>
        <v>#N/A</v>
      </c>
      <c r="J82" s="32">
        <f t="shared" si="6"/>
        <v>819.51749931349491</v>
      </c>
      <c r="K82" s="33">
        <f t="shared" si="7"/>
        <v>-8.9783933841332413</v>
      </c>
      <c r="L82" s="32">
        <f t="shared" si="8"/>
        <v>-102.95940170940173</v>
      </c>
      <c r="M82" s="44" t="e">
        <f>NA()</f>
        <v>#N/A</v>
      </c>
      <c r="N82" s="44" t="e">
        <f>NA()</f>
        <v>#N/A</v>
      </c>
    </row>
    <row r="83" spans="1:14" ht="15" x14ac:dyDescent="0.35">
      <c r="A83" s="41">
        <v>69</v>
      </c>
      <c r="B83" s="42">
        <f>Demand!BS$4</f>
        <v>40630</v>
      </c>
      <c r="C83" s="9" t="s">
        <v>213</v>
      </c>
      <c r="D83" s="43">
        <f t="shared" si="9"/>
        <v>574</v>
      </c>
      <c r="E83" s="32">
        <f t="shared" si="10"/>
        <v>489.97210056615017</v>
      </c>
      <c r="F83" s="44" t="e">
        <f>NA()</f>
        <v>#N/A</v>
      </c>
      <c r="G83" s="44" t="e">
        <f>NA()</f>
        <v>#N/A</v>
      </c>
      <c r="H83" s="44" t="e">
        <f>NA()</f>
        <v>#N/A</v>
      </c>
      <c r="J83" s="32">
        <f t="shared" si="6"/>
        <v>802.83234294058582</v>
      </c>
      <c r="K83" s="33">
        <f t="shared" si="7"/>
        <v>-9.3637315335720341</v>
      </c>
      <c r="L83" s="32">
        <f t="shared" si="8"/>
        <v>-82.403846153846189</v>
      </c>
      <c r="M83" s="44" t="e">
        <f>NA()</f>
        <v>#N/A</v>
      </c>
      <c r="N83" s="44" t="e">
        <f>NA()</f>
        <v>#N/A</v>
      </c>
    </row>
    <row r="84" spans="1:14" ht="15" x14ac:dyDescent="0.35">
      <c r="A84" s="41">
        <v>70</v>
      </c>
      <c r="B84" s="42">
        <f>Demand!BT$4</f>
        <v>40637</v>
      </c>
      <c r="C84" s="9" t="s">
        <v>213</v>
      </c>
      <c r="D84" s="43">
        <f t="shared" si="9"/>
        <v>368</v>
      </c>
      <c r="E84" s="32">
        <f t="shared" si="10"/>
        <v>428.98605028307509</v>
      </c>
      <c r="F84" s="44" t="e">
        <f>NA()</f>
        <v>#N/A</v>
      </c>
      <c r="G84" s="44" t="e">
        <f>NA()</f>
        <v>#N/A</v>
      </c>
      <c r="H84" s="44" t="e">
        <f>NA()</f>
        <v>#N/A</v>
      </c>
      <c r="J84" s="32">
        <f t="shared" si="6"/>
        <v>775.14870647768862</v>
      </c>
      <c r="K84" s="33">
        <f t="shared" si="7"/>
        <v>-10.279726780038292</v>
      </c>
      <c r="L84" s="32">
        <f t="shared" si="8"/>
        <v>-59.070512820512818</v>
      </c>
      <c r="M84" s="44" t="e">
        <f>NA()</f>
        <v>#N/A</v>
      </c>
      <c r="N84" s="44" t="e">
        <f>NA()</f>
        <v>#N/A</v>
      </c>
    </row>
    <row r="85" spans="1:14" ht="15" x14ac:dyDescent="0.35">
      <c r="A85" s="41">
        <v>71</v>
      </c>
      <c r="B85" s="42">
        <f>Demand!BU$4</f>
        <v>40644</v>
      </c>
      <c r="C85" s="9" t="s">
        <v>213</v>
      </c>
      <c r="D85" s="43">
        <f t="shared" si="9"/>
        <v>474</v>
      </c>
      <c r="E85" s="32">
        <f t="shared" si="10"/>
        <v>451.49302514153754</v>
      </c>
      <c r="F85" s="44" t="e">
        <f>NA()</f>
        <v>#N/A</v>
      </c>
      <c r="G85" s="44" t="e">
        <f>NA()</f>
        <v>#N/A</v>
      </c>
      <c r="H85" s="44" t="e">
        <f>NA()</f>
        <v>#N/A</v>
      </c>
      <c r="J85" s="32">
        <f t="shared" si="6"/>
        <v>751.76794524268223</v>
      </c>
      <c r="K85" s="33">
        <f t="shared" si="7"/>
        <v>-10.934778502786695</v>
      </c>
      <c r="L85" s="32">
        <f t="shared" si="8"/>
        <v>-28.848290598290532</v>
      </c>
      <c r="M85" s="44" t="e">
        <f>NA()</f>
        <v>#N/A</v>
      </c>
      <c r="N85" s="44" t="e">
        <f>NA()</f>
        <v>#N/A</v>
      </c>
    </row>
    <row r="86" spans="1:14" ht="15" x14ac:dyDescent="0.35">
      <c r="A86" s="41">
        <v>72</v>
      </c>
      <c r="B86" s="42">
        <f>Demand!BV$4</f>
        <v>40651</v>
      </c>
      <c r="C86" s="9" t="s">
        <v>213</v>
      </c>
      <c r="D86" s="43">
        <f t="shared" si="9"/>
        <v>492</v>
      </c>
      <c r="E86" s="32">
        <f t="shared" si="10"/>
        <v>471.7465125707688</v>
      </c>
      <c r="F86" s="44" t="e">
        <f>NA()</f>
        <v>#N/A</v>
      </c>
      <c r="G86" s="44" t="e">
        <f>NA()</f>
        <v>#N/A</v>
      </c>
      <c r="H86" s="44" t="e">
        <f>NA()</f>
        <v>#N/A</v>
      </c>
      <c r="J86" s="32">
        <f t="shared" si="6"/>
        <v>731.12836737725968</v>
      </c>
      <c r="K86" s="33">
        <f t="shared" si="7"/>
        <v>-11.420018470918487</v>
      </c>
      <c r="L86" s="32">
        <f t="shared" si="8"/>
        <v>-54.73717948717956</v>
      </c>
      <c r="M86" s="44" t="e">
        <f>NA()</f>
        <v>#N/A</v>
      </c>
      <c r="N86" s="44" t="e">
        <f>NA()</f>
        <v>#N/A</v>
      </c>
    </row>
    <row r="87" spans="1:14" ht="15" x14ac:dyDescent="0.35">
      <c r="A87" s="41">
        <v>73</v>
      </c>
      <c r="B87" s="42">
        <f>Demand!BW$4</f>
        <v>40658</v>
      </c>
      <c r="C87" s="9" t="s">
        <v>213</v>
      </c>
      <c r="D87" s="43">
        <f t="shared" si="9"/>
        <v>375</v>
      </c>
      <c r="E87" s="32">
        <f t="shared" si="10"/>
        <v>423.3732562853844</v>
      </c>
      <c r="F87" s="44" t="e">
        <f>NA()</f>
        <v>#N/A</v>
      </c>
      <c r="G87" s="44" t="e">
        <f>NA()</f>
        <v>#N/A</v>
      </c>
      <c r="H87" s="44" t="e">
        <f>NA()</f>
        <v>#N/A</v>
      </c>
      <c r="J87" s="32">
        <f t="shared" si="6"/>
        <v>706.45979043538296</v>
      </c>
      <c r="K87" s="33">
        <f t="shared" si="7"/>
        <v>-12.082446394466398</v>
      </c>
      <c r="L87" s="32">
        <f t="shared" si="8"/>
        <v>-79.73717948717956</v>
      </c>
      <c r="M87" s="44" t="e">
        <f>NA()</f>
        <v>#N/A</v>
      </c>
      <c r="N87" s="44" t="e">
        <f>NA()</f>
        <v>#N/A</v>
      </c>
    </row>
    <row r="88" spans="1:14" ht="15" x14ac:dyDescent="0.35">
      <c r="A88" s="41">
        <v>74</v>
      </c>
      <c r="B88" s="42">
        <f>Demand!BX$4</f>
        <v>40665</v>
      </c>
      <c r="C88" s="9" t="s">
        <v>213</v>
      </c>
      <c r="D88" s="43">
        <f t="shared" si="9"/>
        <v>1144</v>
      </c>
      <c r="E88" s="32">
        <f t="shared" si="10"/>
        <v>783.68662814269214</v>
      </c>
      <c r="F88" s="44" t="e">
        <f>NA()</f>
        <v>#N/A</v>
      </c>
      <c r="G88" s="44" t="e">
        <f>NA()</f>
        <v>#N/A</v>
      </c>
      <c r="H88" s="44" t="e">
        <f>NA()</f>
        <v>#N/A</v>
      </c>
      <c r="J88" s="32">
        <f t="shared" si="6"/>
        <v>722.78978025767412</v>
      </c>
      <c r="K88" s="33">
        <f t="shared" si="7"/>
        <v>-10.661824583628519</v>
      </c>
      <c r="L88" s="32">
        <f t="shared" si="8"/>
        <v>-118.62606837606836</v>
      </c>
      <c r="M88" s="44" t="e">
        <f>NA()</f>
        <v>#N/A</v>
      </c>
      <c r="N88" s="44" t="e">
        <f>NA()</f>
        <v>#N/A</v>
      </c>
    </row>
    <row r="89" spans="1:14" ht="15" x14ac:dyDescent="0.35">
      <c r="A89" s="41">
        <v>75</v>
      </c>
      <c r="B89" s="42">
        <f>Demand!BY$4</f>
        <v>40672</v>
      </c>
      <c r="C89" s="9" t="s">
        <v>213</v>
      </c>
      <c r="D89" s="43">
        <f t="shared" si="9"/>
        <v>880</v>
      </c>
      <c r="E89" s="32">
        <f t="shared" si="10"/>
        <v>831.84331407134607</v>
      </c>
      <c r="F89" s="44" t="e">
        <f>NA()</f>
        <v>#N/A</v>
      </c>
      <c r="G89" s="44" t="e">
        <f>NA()</f>
        <v>#N/A</v>
      </c>
      <c r="H89" s="44" t="e">
        <f>NA()</f>
        <v>#N/A</v>
      </c>
      <c r="J89" s="32">
        <f t="shared" si="6"/>
        <v>722.64730575359113</v>
      </c>
      <c r="K89" s="33">
        <f t="shared" si="7"/>
        <v>-10.135857079651242</v>
      </c>
      <c r="L89" s="32">
        <f t="shared" si="8"/>
        <v>-42.514957264957275</v>
      </c>
      <c r="M89" s="44" t="e">
        <f>NA()</f>
        <v>#N/A</v>
      </c>
      <c r="N89" s="44" t="e">
        <f>NA()</f>
        <v>#N/A</v>
      </c>
    </row>
    <row r="90" spans="1:14" ht="15" x14ac:dyDescent="0.35">
      <c r="A90" s="41">
        <v>76</v>
      </c>
      <c r="B90" s="42">
        <f>Demand!BZ$4</f>
        <v>40679</v>
      </c>
      <c r="C90" s="9" t="s">
        <v>213</v>
      </c>
      <c r="D90" s="43">
        <f t="shared" si="9"/>
        <v>794</v>
      </c>
      <c r="E90" s="32">
        <f t="shared" si="10"/>
        <v>812.92165703567298</v>
      </c>
      <c r="F90" s="44" t="e">
        <f>NA()</f>
        <v>#N/A</v>
      </c>
      <c r="G90" s="44" t="e">
        <f>NA()</f>
        <v>#N/A</v>
      </c>
      <c r="H90" s="44" t="e">
        <f>NA()</f>
        <v>#N/A</v>
      </c>
      <c r="J90" s="32">
        <f t="shared" si="6"/>
        <v>720.16162410349068</v>
      </c>
      <c r="K90" s="33">
        <f t="shared" si="7"/>
        <v>-9.7533483081737025</v>
      </c>
      <c r="L90" s="32">
        <f t="shared" si="8"/>
        <v>-71.514957264957275</v>
      </c>
      <c r="M90" s="44" t="e">
        <f>NA()</f>
        <v>#N/A</v>
      </c>
      <c r="N90" s="44" t="e">
        <f>NA()</f>
        <v>#N/A</v>
      </c>
    </row>
    <row r="91" spans="1:14" ht="15" x14ac:dyDescent="0.35">
      <c r="A91" s="41">
        <v>77</v>
      </c>
      <c r="B91" s="42">
        <f>Demand!CA$4</f>
        <v>40686</v>
      </c>
      <c r="C91" s="9" t="s">
        <v>213</v>
      </c>
      <c r="D91" s="43">
        <f t="shared" si="9"/>
        <v>1023</v>
      </c>
      <c r="E91" s="32">
        <f t="shared" si="10"/>
        <v>917.96082851783649</v>
      </c>
      <c r="F91" s="44" t="e">
        <f>NA()</f>
        <v>#N/A</v>
      </c>
      <c r="G91" s="44" t="e">
        <f>NA()</f>
        <v>#N/A</v>
      </c>
      <c r="H91" s="44" t="e">
        <f>NA()</f>
        <v>#N/A</v>
      </c>
      <c r="J91" s="32">
        <f t="shared" si="6"/>
        <v>729.08027653546571</v>
      </c>
      <c r="K91" s="33">
        <f t="shared" si="7"/>
        <v>-8.8197482711662651</v>
      </c>
      <c r="L91" s="32">
        <f t="shared" si="8"/>
        <v>-60.848290598290646</v>
      </c>
      <c r="M91" s="44" t="e">
        <f>NA()</f>
        <v>#N/A</v>
      </c>
      <c r="N91" s="44" t="e">
        <f>NA()</f>
        <v>#N/A</v>
      </c>
    </row>
    <row r="92" spans="1:14" ht="15" x14ac:dyDescent="0.35">
      <c r="A92" s="41">
        <v>78</v>
      </c>
      <c r="B92" s="42">
        <f>Demand!CB$4</f>
        <v>40693</v>
      </c>
      <c r="C92" s="9" t="s">
        <v>213</v>
      </c>
      <c r="D92" s="43">
        <f t="shared" si="9"/>
        <v>629</v>
      </c>
      <c r="E92" s="32">
        <f t="shared" si="10"/>
        <v>773.48041425891824</v>
      </c>
      <c r="F92" s="44" t="e">
        <f>NA()</f>
        <v>#N/A</v>
      </c>
      <c r="G92" s="44" t="e">
        <f>NA()</f>
        <v>#N/A</v>
      </c>
      <c r="H92" s="44" t="e">
        <f>NA()</f>
        <v>#N/A</v>
      </c>
      <c r="J92" s="32">
        <f t="shared" si="6"/>
        <v>718.20102749211003</v>
      </c>
      <c r="K92" s="33">
        <f t="shared" si="7"/>
        <v>-8.9227233097757352</v>
      </c>
      <c r="L92" s="32">
        <f t="shared" si="8"/>
        <v>-50.070512820512818</v>
      </c>
      <c r="M92" s="44" t="e">
        <f>NA()</f>
        <v>#N/A</v>
      </c>
      <c r="N92" s="44" t="e">
        <f>NA()</f>
        <v>#N/A</v>
      </c>
    </row>
    <row r="93" spans="1:14" ht="15" x14ac:dyDescent="0.35">
      <c r="A93" s="41">
        <v>79</v>
      </c>
      <c r="B93" s="42">
        <f>Demand!CC$4</f>
        <v>40700</v>
      </c>
      <c r="C93" s="9" t="s">
        <v>213</v>
      </c>
      <c r="D93" s="43">
        <f t="shared" si="9"/>
        <v>372</v>
      </c>
      <c r="E93" s="32">
        <f t="shared" si="10"/>
        <v>572.74020712945912</v>
      </c>
      <c r="F93" s="44" t="e">
        <f>NA()</f>
        <v>#N/A</v>
      </c>
      <c r="G93" s="44" t="e">
        <f>NA()</f>
        <v>#N/A</v>
      </c>
      <c r="H93" s="44" t="e">
        <f>NA()</f>
        <v>#N/A</v>
      </c>
      <c r="J93" s="32">
        <f t="shared" si="6"/>
        <v>696.78458128090983</v>
      </c>
      <c r="K93" s="33">
        <f t="shared" si="7"/>
        <v>-9.5474094548469584</v>
      </c>
      <c r="L93" s="32">
        <f t="shared" si="8"/>
        <v>-87.403846153846189</v>
      </c>
      <c r="M93" s="44" t="e">
        <f>NA()</f>
        <v>#N/A</v>
      </c>
      <c r="N93" s="44" t="e">
        <f>NA()</f>
        <v>#N/A</v>
      </c>
    </row>
    <row r="94" spans="1:14" ht="15" x14ac:dyDescent="0.35">
      <c r="A94" s="41">
        <v>80</v>
      </c>
      <c r="B94" s="42">
        <f>Demand!CD$4</f>
        <v>40707</v>
      </c>
      <c r="C94" s="9" t="s">
        <v>213</v>
      </c>
      <c r="D94" s="43">
        <f t="shared" si="9"/>
        <v>390</v>
      </c>
      <c r="E94" s="32">
        <f t="shared" si="10"/>
        <v>481.37010356472956</v>
      </c>
      <c r="F94" s="44" t="e">
        <f>NA()</f>
        <v>#N/A</v>
      </c>
      <c r="G94" s="44" t="e">
        <f>NA()</f>
        <v>#N/A</v>
      </c>
      <c r="H94" s="44" t="e">
        <f>NA()</f>
        <v>#N/A</v>
      </c>
      <c r="J94" s="32">
        <f t="shared" si="6"/>
        <v>675.87883887578528</v>
      </c>
      <c r="K94" s="33">
        <f t="shared" si="7"/>
        <v>-10.115326102360838</v>
      </c>
      <c r="L94" s="32">
        <f t="shared" si="8"/>
        <v>-70.070512820512818</v>
      </c>
      <c r="M94" s="44" t="e">
        <f>NA()</f>
        <v>#N/A</v>
      </c>
      <c r="N94" s="44" t="e">
        <f>NA()</f>
        <v>#N/A</v>
      </c>
    </row>
    <row r="95" spans="1:14" ht="15" x14ac:dyDescent="0.35">
      <c r="A95" s="41">
        <v>81</v>
      </c>
      <c r="B95" s="42">
        <f>Demand!CE$4</f>
        <v>40714</v>
      </c>
      <c r="C95" s="9" t="s">
        <v>213</v>
      </c>
      <c r="D95" s="43">
        <f t="shared" si="9"/>
        <v>236</v>
      </c>
      <c r="E95" s="32">
        <f t="shared" si="10"/>
        <v>358.68505178236478</v>
      </c>
      <c r="F95" s="44" t="e">
        <f>NA()</f>
        <v>#N/A</v>
      </c>
      <c r="G95" s="44" t="e">
        <f>NA()</f>
        <v>#N/A</v>
      </c>
      <c r="H95" s="44" t="e">
        <f>NA()</f>
        <v>#N/A</v>
      </c>
      <c r="J95" s="32">
        <f t="shared" si="6"/>
        <v>648.46775166466762</v>
      </c>
      <c r="K95" s="33">
        <f t="shared" si="7"/>
        <v>-10.980114157798678</v>
      </c>
      <c r="L95" s="32">
        <f t="shared" si="8"/>
        <v>-83.848290598290646</v>
      </c>
      <c r="M95" s="44" t="e">
        <f>NA()</f>
        <v>#N/A</v>
      </c>
      <c r="N95" s="44" t="e">
        <f>NA()</f>
        <v>#N/A</v>
      </c>
    </row>
    <row r="96" spans="1:14" ht="15" x14ac:dyDescent="0.35">
      <c r="A96" s="41">
        <v>82</v>
      </c>
      <c r="B96" s="42">
        <f>Demand!CF$4</f>
        <v>40721</v>
      </c>
      <c r="C96" s="9" t="s">
        <v>213</v>
      </c>
      <c r="D96" s="43">
        <f t="shared" si="9"/>
        <v>258</v>
      </c>
      <c r="E96" s="32">
        <f t="shared" si="10"/>
        <v>308.34252589118239</v>
      </c>
      <c r="F96" s="44" t="e">
        <f>NA()</f>
        <v>#N/A</v>
      </c>
      <c r="G96" s="44" t="e">
        <f>NA()</f>
        <v>#N/A</v>
      </c>
      <c r="H96" s="44" t="e">
        <f>NA()</f>
        <v>#N/A</v>
      </c>
      <c r="J96" s="32">
        <f t="shared" si="6"/>
        <v>624.73900349477333</v>
      </c>
      <c r="K96" s="33">
        <f t="shared" si="7"/>
        <v>-11.617545858403458</v>
      </c>
      <c r="L96" s="32">
        <f t="shared" si="8"/>
        <v>-124.51495726495727</v>
      </c>
      <c r="M96" s="44" t="e">
        <f>NA()</f>
        <v>#N/A</v>
      </c>
      <c r="N96" s="44" t="e">
        <f>NA()</f>
        <v>#N/A</v>
      </c>
    </row>
    <row r="97" spans="1:27" ht="15" x14ac:dyDescent="0.35">
      <c r="A97" s="41">
        <v>83</v>
      </c>
      <c r="B97" s="42">
        <f>Demand!CG$4</f>
        <v>40728</v>
      </c>
      <c r="C97" s="9" t="s">
        <v>213</v>
      </c>
      <c r="D97" s="43">
        <f t="shared" si="9"/>
        <v>263</v>
      </c>
      <c r="E97" s="32">
        <f t="shared" si="10"/>
        <v>285.6712629455912</v>
      </c>
      <c r="F97" s="44" t="e">
        <f>NA()</f>
        <v>#N/A</v>
      </c>
      <c r="G97" s="44" t="e">
        <f>NA()</f>
        <v>#N/A</v>
      </c>
      <c r="H97" s="44" t="e">
        <f>NA()</f>
        <v>#N/A</v>
      </c>
      <c r="J97" s="32">
        <f t="shared" si="6"/>
        <v>601.85779928446584</v>
      </c>
      <c r="K97" s="33">
        <f t="shared" si="7"/>
        <v>-12.180728775998659</v>
      </c>
      <c r="L97" s="32">
        <f t="shared" si="8"/>
        <v>-124.84829059829065</v>
      </c>
      <c r="M97" s="44" t="e">
        <f>NA()</f>
        <v>#N/A</v>
      </c>
      <c r="N97" s="44" t="e">
        <f>NA()</f>
        <v>#N/A</v>
      </c>
    </row>
    <row r="98" spans="1:27" ht="15" x14ac:dyDescent="0.35">
      <c r="A98" s="41">
        <v>84</v>
      </c>
      <c r="B98" s="42">
        <f>Demand!CH$4</f>
        <v>40735</v>
      </c>
      <c r="C98" s="9" t="s">
        <v>213</v>
      </c>
      <c r="D98" s="43">
        <f t="shared" si="9"/>
        <v>1198</v>
      </c>
      <c r="E98" s="32">
        <f t="shared" si="10"/>
        <v>741.83563147279563</v>
      </c>
      <c r="F98" s="44" t="e">
        <f>NA()</f>
        <v>#N/A</v>
      </c>
      <c r="G98" s="44" t="e">
        <f>NA()</f>
        <v>#N/A</v>
      </c>
      <c r="H98" s="44" t="e">
        <f>NA()</f>
        <v>#N/A</v>
      </c>
      <c r="J98" s="32">
        <f t="shared" si="6"/>
        <v>628.37452040184724</v>
      </c>
      <c r="K98" s="33">
        <f t="shared" si="7"/>
        <v>-10.245856281329656</v>
      </c>
      <c r="L98" s="32">
        <f t="shared" si="8"/>
        <v>-165.62606837606836</v>
      </c>
      <c r="M98" s="44" t="e">
        <f>NA()</f>
        <v>#N/A</v>
      </c>
      <c r="N98" s="44" t="e">
        <f>NA()</f>
        <v>#N/A</v>
      </c>
    </row>
    <row r="99" spans="1:27" ht="15" x14ac:dyDescent="0.35">
      <c r="A99" s="41">
        <v>85</v>
      </c>
      <c r="B99" s="42">
        <f>Demand!CI$4</f>
        <v>40742</v>
      </c>
      <c r="C99" s="9" t="s">
        <v>213</v>
      </c>
      <c r="D99" s="43">
        <f t="shared" si="9"/>
        <v>720</v>
      </c>
      <c r="E99" s="32">
        <f t="shared" si="10"/>
        <v>730.91781573639787</v>
      </c>
      <c r="F99" s="44" t="e">
        <f>NA()</f>
        <v>#N/A</v>
      </c>
      <c r="G99" s="44" t="e">
        <f>NA()</f>
        <v>#N/A</v>
      </c>
      <c r="H99" s="44" t="e">
        <f>NA()</f>
        <v>#N/A</v>
      </c>
      <c r="J99" s="32">
        <f t="shared" ref="J99:J117" si="11">$G$8*(D99-L47)+(1-$G$8)*(J98+K98)</f>
        <v>625.37020099996175</v>
      </c>
      <c r="K99" s="33">
        <f t="shared" ref="K99:K117" si="12">$H$8*(J99-J98)+(1-$H$8)*K98</f>
        <v>-9.8837794373574468</v>
      </c>
      <c r="L99" s="32">
        <f t="shared" ref="L99:L117" si="13">$I$8*(D99-J99)+(1-$I$8)*L47</f>
        <v>-42.959401709401732</v>
      </c>
      <c r="M99" s="44" t="e">
        <f>NA()</f>
        <v>#N/A</v>
      </c>
      <c r="N99" s="44" t="e">
        <f>NA()</f>
        <v>#N/A</v>
      </c>
    </row>
    <row r="100" spans="1:27" ht="15" x14ac:dyDescent="0.35">
      <c r="A100" s="41">
        <v>86</v>
      </c>
      <c r="B100" s="42">
        <f>Demand!CJ$4</f>
        <v>40749</v>
      </c>
      <c r="C100" s="9" t="s">
        <v>213</v>
      </c>
      <c r="D100" s="43">
        <f t="shared" si="9"/>
        <v>780</v>
      </c>
      <c r="E100" s="32">
        <f t="shared" si="10"/>
        <v>755.45890786819893</v>
      </c>
      <c r="F100" s="44" t="e">
        <f>NA()</f>
        <v>#N/A</v>
      </c>
      <c r="G100" s="44" t="e">
        <f>NA()</f>
        <v>#N/A</v>
      </c>
      <c r="H100" s="44" t="e">
        <f>NA()</f>
        <v>#N/A</v>
      </c>
      <c r="J100" s="32">
        <f t="shared" si="11"/>
        <v>625.81007056994417</v>
      </c>
      <c r="K100" s="33">
        <f t="shared" si="12"/>
        <v>-9.3675969869904527</v>
      </c>
      <c r="L100" s="32">
        <f t="shared" si="13"/>
        <v>-41.959401709401732</v>
      </c>
      <c r="M100" s="44" t="e">
        <f>NA()</f>
        <v>#N/A</v>
      </c>
      <c r="N100" s="44" t="e">
        <f>NA()</f>
        <v>#N/A</v>
      </c>
    </row>
    <row r="101" spans="1:27" ht="15" x14ac:dyDescent="0.35">
      <c r="A101" s="41">
        <v>87</v>
      </c>
      <c r="B101" s="42">
        <f>Demand!CK$4</f>
        <v>40756</v>
      </c>
      <c r="C101" s="9" t="s">
        <v>213</v>
      </c>
      <c r="D101" s="43">
        <f t="shared" si="9"/>
        <v>438</v>
      </c>
      <c r="E101" s="32">
        <f t="shared" si="10"/>
        <v>596.72945393409941</v>
      </c>
      <c r="F101" s="44" t="e">
        <f>NA()</f>
        <v>#N/A</v>
      </c>
      <c r="G101" s="44" t="e">
        <f>NA()</f>
        <v>#N/A</v>
      </c>
      <c r="H101" s="44" t="e">
        <f>NA()</f>
        <v>#N/A</v>
      </c>
      <c r="J101" s="32">
        <f t="shared" si="11"/>
        <v>611.43498665594279</v>
      </c>
      <c r="K101" s="33">
        <f t="shared" si="12"/>
        <v>-9.6179713333409982</v>
      </c>
      <c r="L101" s="32">
        <f t="shared" si="13"/>
        <v>-78.292735042735103</v>
      </c>
      <c r="M101" s="44" t="e">
        <f>NA()</f>
        <v>#N/A</v>
      </c>
      <c r="N101" s="44" t="e">
        <f>NA()</f>
        <v>#N/A</v>
      </c>
    </row>
    <row r="102" spans="1:27" ht="15" x14ac:dyDescent="0.35">
      <c r="A102" s="41">
        <v>88</v>
      </c>
      <c r="B102" s="42">
        <f>Demand!CL$4</f>
        <v>40763</v>
      </c>
      <c r="C102" s="9" t="s">
        <v>213</v>
      </c>
      <c r="D102" s="43">
        <f t="shared" si="9"/>
        <v>470</v>
      </c>
      <c r="E102" s="32">
        <f t="shared" si="10"/>
        <v>533.36472696704971</v>
      </c>
      <c r="F102" s="44" t="e">
        <f>NA()</f>
        <v>#N/A</v>
      </c>
      <c r="G102" s="44" t="e">
        <f>NA()</f>
        <v>#N/A</v>
      </c>
      <c r="H102" s="44" t="e">
        <f>NA()</f>
        <v>#N/A</v>
      </c>
      <c r="J102" s="32">
        <f t="shared" si="11"/>
        <v>598.02413464194183</v>
      </c>
      <c r="K102" s="33">
        <f t="shared" si="12"/>
        <v>-9.8076153673739963</v>
      </c>
      <c r="L102" s="32">
        <f t="shared" si="13"/>
        <v>-55.959401709401732</v>
      </c>
      <c r="M102" s="44" t="e">
        <f>NA()</f>
        <v>#N/A</v>
      </c>
      <c r="N102" s="44" t="e">
        <f>NA()</f>
        <v>#N/A</v>
      </c>
    </row>
    <row r="103" spans="1:27" ht="15" x14ac:dyDescent="0.35">
      <c r="A103" s="41">
        <v>89</v>
      </c>
      <c r="B103" s="42">
        <f>Demand!CM$4</f>
        <v>40770</v>
      </c>
      <c r="C103" s="9" t="s">
        <v>213</v>
      </c>
      <c r="D103" s="43">
        <f t="shared" si="9"/>
        <v>296</v>
      </c>
      <c r="E103" s="32">
        <f t="shared" si="10"/>
        <v>414.68236348352485</v>
      </c>
      <c r="F103" s="44" t="e">
        <f>NA()</f>
        <v>#N/A</v>
      </c>
      <c r="G103" s="44" t="e">
        <f>NA()</f>
        <v>#N/A</v>
      </c>
      <c r="H103" s="44" t="e">
        <f>NA()</f>
        <v>#N/A</v>
      </c>
      <c r="J103" s="32">
        <f t="shared" si="11"/>
        <v>577.64255228519846</v>
      </c>
      <c r="K103" s="33">
        <f t="shared" si="12"/>
        <v>-10.336313716842465</v>
      </c>
      <c r="L103" s="32">
        <f t="shared" si="13"/>
        <v>-80.73717948717956</v>
      </c>
      <c r="M103" s="44" t="e">
        <f>NA()</f>
        <v>#N/A</v>
      </c>
      <c r="N103" s="44" t="e">
        <f>NA()</f>
        <v>#N/A</v>
      </c>
    </row>
    <row r="104" spans="1:27" ht="15" x14ac:dyDescent="0.35">
      <c r="A104" s="41">
        <v>90</v>
      </c>
      <c r="B104" s="42">
        <f>Demand!CN$4</f>
        <v>40777</v>
      </c>
      <c r="C104" s="9" t="s">
        <v>213</v>
      </c>
      <c r="D104" s="43">
        <f t="shared" si="9"/>
        <v>775</v>
      </c>
      <c r="E104" s="32">
        <f t="shared" si="10"/>
        <v>594.8411817417624</v>
      </c>
      <c r="F104" s="44" t="e">
        <f>NA()</f>
        <v>#N/A</v>
      </c>
      <c r="G104" s="44" t="e">
        <f>NA()</f>
        <v>#N/A</v>
      </c>
      <c r="H104" s="44" t="e">
        <f>NA()</f>
        <v>#N/A</v>
      </c>
      <c r="J104" s="32">
        <f t="shared" si="11"/>
        <v>581.92778561429714</v>
      </c>
      <c r="K104" s="33">
        <f t="shared" si="12"/>
        <v>-9.6052363645454069</v>
      </c>
      <c r="L104" s="32">
        <f t="shared" si="13"/>
        <v>-84.73717948717956</v>
      </c>
      <c r="M104" s="44" t="e">
        <f>NA()</f>
        <v>#N/A</v>
      </c>
      <c r="N104" s="44" t="e">
        <f>NA()</f>
        <v>#N/A</v>
      </c>
    </row>
    <row r="105" spans="1:27" ht="15" x14ac:dyDescent="0.35">
      <c r="A105" s="41">
        <v>91</v>
      </c>
      <c r="B105" s="42">
        <f>Demand!CO$4</f>
        <v>40784</v>
      </c>
      <c r="C105" s="9" t="s">
        <v>213</v>
      </c>
      <c r="D105" s="43">
        <f t="shared" si="9"/>
        <v>388</v>
      </c>
      <c r="E105" s="32">
        <f t="shared" si="10"/>
        <v>491.4205908708812</v>
      </c>
      <c r="F105" s="44" t="e">
        <f>NA()</f>
        <v>#N/A</v>
      </c>
      <c r="G105" s="44" t="e">
        <f>NA()</f>
        <v>#N/A</v>
      </c>
      <c r="H105" s="44" t="e">
        <f>NA()</f>
        <v>#N/A</v>
      </c>
      <c r="J105" s="32">
        <f t="shared" si="11"/>
        <v>565.54328076162312</v>
      </c>
      <c r="K105" s="33">
        <f t="shared" si="12"/>
        <v>-9.9441997889518365</v>
      </c>
      <c r="L105" s="32">
        <f t="shared" si="13"/>
        <v>-48.73717948717956</v>
      </c>
      <c r="M105" s="44" t="e">
        <f>NA()</f>
        <v>#N/A</v>
      </c>
      <c r="N105" s="44" t="e">
        <f>NA()</f>
        <v>#N/A</v>
      </c>
    </row>
    <row r="106" spans="1:27" ht="15" x14ac:dyDescent="0.35">
      <c r="A106" s="45">
        <v>92</v>
      </c>
      <c r="B106" s="46">
        <f>Demand!CP$4</f>
        <v>40791</v>
      </c>
      <c r="C106" s="47" t="s">
        <v>214</v>
      </c>
      <c r="D106" s="48">
        <f t="shared" si="9"/>
        <v>449</v>
      </c>
      <c r="E106" s="49">
        <f t="shared" si="10"/>
        <v>470.21029543544057</v>
      </c>
      <c r="F106" s="49">
        <f t="shared" ref="F106:F117" si="14">$E$105</f>
        <v>491.4205908708812</v>
      </c>
      <c r="G106" s="49">
        <f t="shared" ref="G106:G117" si="15">$D$105</f>
        <v>388</v>
      </c>
      <c r="H106" s="49">
        <f>AVERAGE(INDEX($D$15:$D$117,91-$G$4+1):INDEX($D$15:$D$117,91))</f>
        <v>633.125</v>
      </c>
      <c r="I106" s="50"/>
      <c r="J106" s="49">
        <f t="shared" si="11"/>
        <v>550.19487478728547</v>
      </c>
      <c r="K106" s="51">
        <f t="shared" si="12"/>
        <v>-10.214410098221126</v>
      </c>
      <c r="L106" s="49">
        <f t="shared" si="13"/>
        <v>1.4850427350427253</v>
      </c>
      <c r="M106" s="49">
        <f t="shared" ref="M106:M117" si="16">MAX(0,$J$105+(A106-91)*$K$105+L54)</f>
        <v>557.08412370771396</v>
      </c>
      <c r="N106" s="49">
        <f t="shared" ref="N106:N117" si="17">MAX(0,_xlfn.FORECAST.ETS(B106,$D$15:$D$105,$B$15:$B$105,52,1))</f>
        <v>426.20247306004893</v>
      </c>
      <c r="Q106" s="32">
        <f t="shared" ref="Q106:Q117" si="18">ABS(G106-$D106)</f>
        <v>61</v>
      </c>
      <c r="R106" s="32">
        <f t="shared" ref="R106:R117" si="19">ABS(H106-$D106)</f>
        <v>184.125</v>
      </c>
      <c r="S106" s="32">
        <f t="shared" ref="S106:S117" si="20">ABS(F106-$D106)</f>
        <v>42.420590870881199</v>
      </c>
      <c r="T106" s="32">
        <f t="shared" ref="T106:T117" si="21">ABS(M106-$D106)</f>
        <v>108.08412370771396</v>
      </c>
      <c r="U106" s="32">
        <f t="shared" ref="U106:U117" si="22">ABS(N106-$D106)</f>
        <v>22.797526939951069</v>
      </c>
      <c r="W106" s="30">
        <f t="shared" ref="W106:W117" si="23">IF($D106&gt;0,Q106/$D106,"")</f>
        <v>0.13585746102449889</v>
      </c>
      <c r="X106" s="30">
        <f t="shared" ref="X106:X117" si="24">IF($D106&gt;0,R106/$D106,"")</f>
        <v>0.41007795100222716</v>
      </c>
      <c r="Y106" s="30">
        <f t="shared" ref="Y106:Y117" si="25">IF($D106&gt;0,S106/$D106,"")</f>
        <v>9.4477930670114035E-2</v>
      </c>
      <c r="Z106" s="30">
        <f t="shared" ref="Z106:Z117" si="26">IF($D106&gt;0,T106/$D106,"")</f>
        <v>0.24072187908176829</v>
      </c>
      <c r="AA106" s="30">
        <f t="shared" ref="AA106:AA117" si="27">IF($D106&gt;0,U106/$D106,"")</f>
        <v>5.0774002093432226E-2</v>
      </c>
    </row>
    <row r="107" spans="1:27" ht="15" x14ac:dyDescent="0.35">
      <c r="A107" s="45">
        <v>93</v>
      </c>
      <c r="B107" s="46">
        <f>Demand!CQ$4</f>
        <v>40798</v>
      </c>
      <c r="C107" s="47" t="s">
        <v>214</v>
      </c>
      <c r="D107" s="48">
        <f t="shared" si="9"/>
        <v>662</v>
      </c>
      <c r="E107" s="49">
        <f t="shared" si="10"/>
        <v>566.10514771772023</v>
      </c>
      <c r="F107" s="49">
        <f t="shared" si="14"/>
        <v>491.4205908708812</v>
      </c>
      <c r="G107" s="49">
        <f t="shared" si="15"/>
        <v>388</v>
      </c>
      <c r="H107" s="49">
        <f>AVERAGE(INDEX($D$15:$D$117,91-$G$4+1):INDEX($D$15:$D$117,91))</f>
        <v>633.125</v>
      </c>
      <c r="I107" s="50"/>
      <c r="J107" s="49">
        <f t="shared" si="11"/>
        <v>547.25718931785889</v>
      </c>
      <c r="K107" s="51">
        <f t="shared" si="12"/>
        <v>-9.8505738667813993</v>
      </c>
      <c r="L107" s="49">
        <f t="shared" si="13"/>
        <v>-23.514957264957275</v>
      </c>
      <c r="M107" s="49">
        <f t="shared" si="16"/>
        <v>522.13992391876218</v>
      </c>
      <c r="N107" s="49">
        <f t="shared" si="17"/>
        <v>562.69745700732653</v>
      </c>
      <c r="Q107" s="32">
        <f t="shared" si="18"/>
        <v>274</v>
      </c>
      <c r="R107" s="32">
        <f t="shared" si="19"/>
        <v>28.875</v>
      </c>
      <c r="S107" s="32">
        <f t="shared" si="20"/>
        <v>170.5794091291188</v>
      </c>
      <c r="T107" s="32">
        <f t="shared" si="21"/>
        <v>139.86007608123782</v>
      </c>
      <c r="U107" s="32">
        <f t="shared" si="22"/>
        <v>99.302542992673466</v>
      </c>
      <c r="W107" s="30">
        <f t="shared" si="23"/>
        <v>0.41389728096676737</v>
      </c>
      <c r="X107" s="30">
        <f t="shared" si="24"/>
        <v>4.3617824773413895E-2</v>
      </c>
      <c r="Y107" s="30">
        <f t="shared" si="25"/>
        <v>0.25767282345788339</v>
      </c>
      <c r="Z107" s="30">
        <f t="shared" si="26"/>
        <v>0.21126899710156771</v>
      </c>
      <c r="AA107" s="30">
        <f t="shared" si="27"/>
        <v>0.15000384137866082</v>
      </c>
    </row>
    <row r="108" spans="1:27" ht="15" x14ac:dyDescent="0.35">
      <c r="A108" s="45">
        <v>94</v>
      </c>
      <c r="B108" s="46">
        <f>Demand!CR$4</f>
        <v>40805</v>
      </c>
      <c r="C108" s="47" t="s">
        <v>214</v>
      </c>
      <c r="D108" s="48">
        <f t="shared" si="9"/>
        <v>697</v>
      </c>
      <c r="E108" s="49">
        <f t="shared" si="10"/>
        <v>631.55257385886011</v>
      </c>
      <c r="F108" s="49">
        <f t="shared" si="14"/>
        <v>491.4205908708812</v>
      </c>
      <c r="G108" s="49">
        <f t="shared" si="15"/>
        <v>388</v>
      </c>
      <c r="H108" s="49">
        <f>AVERAGE(INDEX($D$15:$D$117,91-$G$4+1):INDEX($D$15:$D$117,91))</f>
        <v>633.125</v>
      </c>
      <c r="I108" s="50"/>
      <c r="J108" s="49">
        <f t="shared" si="11"/>
        <v>551.48981031954929</v>
      </c>
      <c r="K108" s="51">
        <f t="shared" si="12"/>
        <v>-9.1464141233578093</v>
      </c>
      <c r="L108" s="49">
        <f t="shared" si="13"/>
        <v>-122.07051282051282</v>
      </c>
      <c r="M108" s="49">
        <f t="shared" si="16"/>
        <v>413.64016857425474</v>
      </c>
      <c r="N108" s="49">
        <f t="shared" si="17"/>
        <v>618.58478224636826</v>
      </c>
      <c r="Q108" s="32">
        <f t="shared" si="18"/>
        <v>309</v>
      </c>
      <c r="R108" s="32">
        <f t="shared" si="19"/>
        <v>63.875</v>
      </c>
      <c r="S108" s="32">
        <f t="shared" si="20"/>
        <v>205.5794091291188</v>
      </c>
      <c r="T108" s="32">
        <f t="shared" si="21"/>
        <v>283.35983142574526</v>
      </c>
      <c r="U108" s="32">
        <f t="shared" si="22"/>
        <v>78.415217753631737</v>
      </c>
      <c r="W108" s="30">
        <f t="shared" si="23"/>
        <v>0.44332855093256812</v>
      </c>
      <c r="X108" s="30">
        <f t="shared" si="24"/>
        <v>9.1642754662840747E-2</v>
      </c>
      <c r="Y108" s="30">
        <f t="shared" si="25"/>
        <v>0.29494893705755926</v>
      </c>
      <c r="Z108" s="30">
        <f t="shared" si="26"/>
        <v>0.40654208238987843</v>
      </c>
      <c r="AA108" s="30">
        <f t="shared" si="27"/>
        <v>0.11250389921611439</v>
      </c>
    </row>
    <row r="109" spans="1:27" ht="15" x14ac:dyDescent="0.35">
      <c r="A109" s="45">
        <v>95</v>
      </c>
      <c r="B109" s="46">
        <f>Demand!CS$4</f>
        <v>40812</v>
      </c>
      <c r="C109" s="47" t="s">
        <v>214</v>
      </c>
      <c r="D109" s="48">
        <f t="shared" si="9"/>
        <v>404</v>
      </c>
      <c r="E109" s="49">
        <f t="shared" si="10"/>
        <v>517.77628692943006</v>
      </c>
      <c r="F109" s="49">
        <f t="shared" si="14"/>
        <v>491.4205908708812</v>
      </c>
      <c r="G109" s="49">
        <f t="shared" si="15"/>
        <v>388</v>
      </c>
      <c r="H109" s="49">
        <f>AVERAGE(INDEX($D$15:$D$117,91-$G$4+1):INDEX($D$15:$D$117,91))</f>
        <v>633.125</v>
      </c>
      <c r="I109" s="50"/>
      <c r="J109" s="49">
        <f t="shared" si="11"/>
        <v>539.57975202740749</v>
      </c>
      <c r="K109" s="51">
        <f t="shared" si="12"/>
        <v>-9.2845963317970082</v>
      </c>
      <c r="L109" s="49">
        <f t="shared" si="13"/>
        <v>-83.070512820512818</v>
      </c>
      <c r="M109" s="49">
        <f t="shared" si="16"/>
        <v>442.69596878530297</v>
      </c>
      <c r="N109" s="49">
        <f t="shared" si="17"/>
        <v>444.59513989673354</v>
      </c>
      <c r="Q109" s="32">
        <f t="shared" si="18"/>
        <v>16</v>
      </c>
      <c r="R109" s="32">
        <f t="shared" si="19"/>
        <v>229.125</v>
      </c>
      <c r="S109" s="32">
        <f t="shared" si="20"/>
        <v>87.420590870881199</v>
      </c>
      <c r="T109" s="32">
        <f t="shared" si="21"/>
        <v>38.695968785302966</v>
      </c>
      <c r="U109" s="32">
        <f t="shared" si="22"/>
        <v>40.595139896733542</v>
      </c>
      <c r="W109" s="30">
        <f t="shared" si="23"/>
        <v>3.9603960396039604E-2</v>
      </c>
      <c r="X109" s="30">
        <f t="shared" si="24"/>
        <v>0.56714108910891092</v>
      </c>
      <c r="Y109" s="30">
        <f t="shared" si="25"/>
        <v>0.21638760116554753</v>
      </c>
      <c r="Z109" s="30">
        <f t="shared" si="26"/>
        <v>9.5782100953720209E-2</v>
      </c>
      <c r="AA109" s="30">
        <f t="shared" si="27"/>
        <v>0.10048301954637015</v>
      </c>
    </row>
    <row r="110" spans="1:27" ht="15" x14ac:dyDescent="0.35">
      <c r="A110" s="45">
        <v>96</v>
      </c>
      <c r="B110" s="46">
        <f>Demand!CT$4</f>
        <v>40819</v>
      </c>
      <c r="C110" s="47" t="s">
        <v>214</v>
      </c>
      <c r="D110" s="48">
        <f t="shared" si="9"/>
        <v>162</v>
      </c>
      <c r="E110" s="49">
        <f t="shared" si="10"/>
        <v>339.88814346471503</v>
      </c>
      <c r="F110" s="49">
        <f t="shared" si="14"/>
        <v>491.4205908708812</v>
      </c>
      <c r="G110" s="49">
        <f t="shared" si="15"/>
        <v>388</v>
      </c>
      <c r="H110" s="49">
        <f>AVERAGE(INDEX($D$15:$D$117,91-$G$4+1):INDEX($D$15:$D$117,91))</f>
        <v>633.125</v>
      </c>
      <c r="I110" s="50"/>
      <c r="J110" s="49">
        <f t="shared" si="11"/>
        <v>513.33947910741108</v>
      </c>
      <c r="K110" s="51">
        <f t="shared" si="12"/>
        <v>-10.132380161206978</v>
      </c>
      <c r="L110" s="49">
        <f t="shared" si="13"/>
        <v>-29.181623931624017</v>
      </c>
      <c r="M110" s="49">
        <f t="shared" si="16"/>
        <v>486.64065788523988</v>
      </c>
      <c r="N110" s="49">
        <f t="shared" si="17"/>
        <v>528.17604545798849</v>
      </c>
      <c r="Q110" s="32">
        <f t="shared" si="18"/>
        <v>226</v>
      </c>
      <c r="R110" s="32">
        <f t="shared" si="19"/>
        <v>471.125</v>
      </c>
      <c r="S110" s="32">
        <f t="shared" si="20"/>
        <v>329.4205908708812</v>
      </c>
      <c r="T110" s="32">
        <f t="shared" si="21"/>
        <v>324.64065788523988</v>
      </c>
      <c r="U110" s="32">
        <f t="shared" si="22"/>
        <v>366.17604545798849</v>
      </c>
      <c r="W110" s="30">
        <f t="shared" si="23"/>
        <v>1.3950617283950617</v>
      </c>
      <c r="X110" s="30">
        <f t="shared" si="24"/>
        <v>2.9081790123456792</v>
      </c>
      <c r="Y110" s="30">
        <f t="shared" si="25"/>
        <v>2.0334604374745755</v>
      </c>
      <c r="Z110" s="30">
        <f t="shared" si="26"/>
        <v>2.0039546783039497</v>
      </c>
      <c r="AA110" s="30">
        <f t="shared" si="27"/>
        <v>2.2603459596172129</v>
      </c>
    </row>
    <row r="111" spans="1:27" ht="15" x14ac:dyDescent="0.35">
      <c r="A111" s="45">
        <v>97</v>
      </c>
      <c r="B111" s="46">
        <f>Demand!CU$4</f>
        <v>40826</v>
      </c>
      <c r="C111" s="47" t="s">
        <v>214</v>
      </c>
      <c r="D111" s="48">
        <f t="shared" ref="D111:D117" si="28">INDEX(DemandAll,MATCH($D$4,DemandCodes,0),A111)</f>
        <v>683</v>
      </c>
      <c r="E111" s="49">
        <f t="shared" si="10"/>
        <v>511.44407173235754</v>
      </c>
      <c r="F111" s="49">
        <f t="shared" si="14"/>
        <v>491.4205908708812</v>
      </c>
      <c r="G111" s="49">
        <f t="shared" si="15"/>
        <v>388</v>
      </c>
      <c r="H111" s="49">
        <f>AVERAGE(INDEX($D$15:$D$117,91-$G$4+1):INDEX($D$15:$D$117,91))</f>
        <v>633.125</v>
      </c>
      <c r="I111" s="50"/>
      <c r="J111" s="49">
        <f t="shared" si="11"/>
        <v>509.7002696399195</v>
      </c>
      <c r="K111" s="51">
        <f t="shared" si="12"/>
        <v>-9.8077216265212073</v>
      </c>
      <c r="L111" s="49">
        <f t="shared" si="13"/>
        <v>49.929487179487069</v>
      </c>
      <c r="M111" s="49">
        <f t="shared" si="16"/>
        <v>555.80756920739918</v>
      </c>
      <c r="N111" s="49">
        <f t="shared" si="17"/>
        <v>531.13252173766637</v>
      </c>
      <c r="Q111" s="32">
        <f t="shared" si="18"/>
        <v>295</v>
      </c>
      <c r="R111" s="32">
        <f t="shared" si="19"/>
        <v>49.875</v>
      </c>
      <c r="S111" s="32">
        <f t="shared" si="20"/>
        <v>191.5794091291188</v>
      </c>
      <c r="T111" s="32">
        <f t="shared" si="21"/>
        <v>127.19243079260082</v>
      </c>
      <c r="U111" s="32">
        <f t="shared" si="22"/>
        <v>151.86747826233363</v>
      </c>
      <c r="W111" s="30">
        <f t="shared" si="23"/>
        <v>0.43191800878477304</v>
      </c>
      <c r="X111" s="30">
        <f t="shared" si="24"/>
        <v>7.302342606149341E-2</v>
      </c>
      <c r="Y111" s="30">
        <f t="shared" si="25"/>
        <v>0.28049693869563513</v>
      </c>
      <c r="Z111" s="30">
        <f t="shared" si="26"/>
        <v>0.18622610657774644</v>
      </c>
      <c r="AA111" s="30">
        <f t="shared" si="27"/>
        <v>0.22235355528892187</v>
      </c>
    </row>
    <row r="112" spans="1:27" ht="15" x14ac:dyDescent="0.35">
      <c r="A112" s="45">
        <v>98</v>
      </c>
      <c r="B112" s="46">
        <f>Demand!CV$4</f>
        <v>40833</v>
      </c>
      <c r="C112" s="47" t="s">
        <v>214</v>
      </c>
      <c r="D112" s="48">
        <f t="shared" si="28"/>
        <v>233</v>
      </c>
      <c r="E112" s="49">
        <f t="shared" ref="E112:E117" si="29">$G$7*D112+(1-$G$7)*E111</f>
        <v>372.22203586617877</v>
      </c>
      <c r="F112" s="49">
        <f t="shared" si="14"/>
        <v>491.4205908708812</v>
      </c>
      <c r="G112" s="49">
        <f t="shared" si="15"/>
        <v>388</v>
      </c>
      <c r="H112" s="49">
        <f>AVERAGE(INDEX($D$15:$D$117,91-$G$4+1):INDEX($D$15:$D$117,91))</f>
        <v>633.125</v>
      </c>
      <c r="I112" s="50"/>
      <c r="J112" s="49">
        <f t="shared" si="11"/>
        <v>484.89589069819851</v>
      </c>
      <c r="K112" s="51">
        <f t="shared" si="12"/>
        <v>-10.557554492281195</v>
      </c>
      <c r="L112" s="49">
        <f t="shared" si="13"/>
        <v>33.040598290598155</v>
      </c>
      <c r="M112" s="49">
        <f t="shared" si="16"/>
        <v>528.97448052955838</v>
      </c>
      <c r="N112" s="49">
        <f t="shared" si="17"/>
        <v>329.07254200146741</v>
      </c>
      <c r="Q112" s="32">
        <f t="shared" si="18"/>
        <v>155</v>
      </c>
      <c r="R112" s="32">
        <f t="shared" si="19"/>
        <v>400.125</v>
      </c>
      <c r="S112" s="32">
        <f t="shared" si="20"/>
        <v>258.4205908708812</v>
      </c>
      <c r="T112" s="32">
        <f t="shared" si="21"/>
        <v>295.97448052955838</v>
      </c>
      <c r="U112" s="32">
        <f t="shared" si="22"/>
        <v>96.072542001467411</v>
      </c>
      <c r="W112" s="30">
        <f t="shared" si="23"/>
        <v>0.66523605150214593</v>
      </c>
      <c r="X112" s="30">
        <f t="shared" si="24"/>
        <v>1.717274678111588</v>
      </c>
      <c r="Y112" s="30">
        <f t="shared" si="25"/>
        <v>1.1091012483728806</v>
      </c>
      <c r="Z112" s="30">
        <f t="shared" si="26"/>
        <v>1.2702767404702076</v>
      </c>
      <c r="AA112" s="30">
        <f t="shared" si="27"/>
        <v>0.41232850644406616</v>
      </c>
    </row>
    <row r="113" spans="1:27" ht="15" x14ac:dyDescent="0.35">
      <c r="A113" s="45">
        <v>99</v>
      </c>
      <c r="B113" s="46">
        <f>Demand!CW$4</f>
        <v>40840</v>
      </c>
      <c r="C113" s="47" t="s">
        <v>214</v>
      </c>
      <c r="D113" s="48">
        <f t="shared" si="28"/>
        <v>447</v>
      </c>
      <c r="E113" s="49">
        <f t="shared" si="29"/>
        <v>409.61101793308939</v>
      </c>
      <c r="F113" s="49">
        <f t="shared" si="14"/>
        <v>491.4205908708812</v>
      </c>
      <c r="G113" s="49">
        <f t="shared" si="15"/>
        <v>388</v>
      </c>
      <c r="H113" s="49">
        <f>AVERAGE(INDEX($D$15:$D$117,91-$G$4+1):INDEX($D$15:$D$117,91))</f>
        <v>633.125</v>
      </c>
      <c r="I113" s="50"/>
      <c r="J113" s="49">
        <f t="shared" si="11"/>
        <v>466.24161170331371</v>
      </c>
      <c r="K113" s="51">
        <f t="shared" si="12"/>
        <v>-10.962390717411376</v>
      </c>
      <c r="L113" s="49">
        <f t="shared" si="13"/>
        <v>134.59615384615381</v>
      </c>
      <c r="M113" s="49">
        <f t="shared" si="16"/>
        <v>620.58583629616226</v>
      </c>
      <c r="N113" s="49">
        <f t="shared" si="17"/>
        <v>671.5995497700676</v>
      </c>
      <c r="Q113" s="32">
        <f t="shared" si="18"/>
        <v>59</v>
      </c>
      <c r="R113" s="32">
        <f t="shared" si="19"/>
        <v>186.125</v>
      </c>
      <c r="S113" s="32">
        <f t="shared" si="20"/>
        <v>44.420590870881199</v>
      </c>
      <c r="T113" s="32">
        <f t="shared" si="21"/>
        <v>173.58583629616226</v>
      </c>
      <c r="U113" s="32">
        <f t="shared" si="22"/>
        <v>224.5995497700676</v>
      </c>
      <c r="W113" s="30">
        <f t="shared" si="23"/>
        <v>0.1319910514541387</v>
      </c>
      <c r="X113" s="30">
        <f t="shared" si="24"/>
        <v>0.41638702460850113</v>
      </c>
      <c r="Y113" s="30">
        <f t="shared" si="25"/>
        <v>9.9374923648503796E-2</v>
      </c>
      <c r="Z113" s="30">
        <f t="shared" si="26"/>
        <v>0.38833520424197371</v>
      </c>
      <c r="AA113" s="30">
        <f t="shared" si="27"/>
        <v>0.50245984288605727</v>
      </c>
    </row>
    <row r="114" spans="1:27" ht="15" x14ac:dyDescent="0.35">
      <c r="A114" s="45">
        <v>100</v>
      </c>
      <c r="B114" s="46">
        <f>Demand!CX$4</f>
        <v>40847</v>
      </c>
      <c r="C114" s="47" t="s">
        <v>214</v>
      </c>
      <c r="D114" s="48">
        <f t="shared" si="28"/>
        <v>1705</v>
      </c>
      <c r="E114" s="49">
        <f t="shared" si="29"/>
        <v>1057.3055089665447</v>
      </c>
      <c r="F114" s="49">
        <f t="shared" si="14"/>
        <v>491.4205908708812</v>
      </c>
      <c r="G114" s="49">
        <f t="shared" si="15"/>
        <v>388</v>
      </c>
      <c r="H114" s="49">
        <f>AVERAGE(INDEX($D$15:$D$117,91-$G$4+1):INDEX($D$15:$D$117,91))</f>
        <v>633.125</v>
      </c>
      <c r="I114" s="50"/>
      <c r="J114" s="49">
        <f t="shared" si="11"/>
        <v>506.94100779985507</v>
      </c>
      <c r="K114" s="51">
        <f t="shared" si="12"/>
        <v>-8.3793013767137374</v>
      </c>
      <c r="L114" s="49">
        <f t="shared" si="13"/>
        <v>216.48504273504273</v>
      </c>
      <c r="M114" s="49">
        <f t="shared" si="16"/>
        <v>692.53052539609939</v>
      </c>
      <c r="N114" s="49">
        <f t="shared" si="17"/>
        <v>886.06555511954593</v>
      </c>
      <c r="Q114" s="32">
        <f t="shared" si="18"/>
        <v>1317</v>
      </c>
      <c r="R114" s="32">
        <f t="shared" si="19"/>
        <v>1071.875</v>
      </c>
      <c r="S114" s="32">
        <f t="shared" si="20"/>
        <v>1213.5794091291189</v>
      </c>
      <c r="T114" s="32">
        <f t="shared" si="21"/>
        <v>1012.4694746039006</v>
      </c>
      <c r="U114" s="32">
        <f t="shared" si="22"/>
        <v>818.93444488045407</v>
      </c>
      <c r="W114" s="30">
        <f t="shared" si="23"/>
        <v>0.77243401759530794</v>
      </c>
      <c r="X114" s="30">
        <f t="shared" si="24"/>
        <v>0.62866568914956011</v>
      </c>
      <c r="Y114" s="30">
        <f t="shared" si="25"/>
        <v>0.71177677954787033</v>
      </c>
      <c r="Z114" s="30">
        <f t="shared" si="26"/>
        <v>0.59382373877061623</v>
      </c>
      <c r="AA114" s="30">
        <f t="shared" si="27"/>
        <v>0.48031345740789094</v>
      </c>
    </row>
    <row r="115" spans="1:27" ht="15" x14ac:dyDescent="0.35">
      <c r="A115" s="45">
        <v>101</v>
      </c>
      <c r="B115" s="46">
        <f>Demand!CY$4</f>
        <v>40854</v>
      </c>
      <c r="C115" s="47" t="s">
        <v>214</v>
      </c>
      <c r="D115" s="48">
        <f t="shared" si="28"/>
        <v>594</v>
      </c>
      <c r="E115" s="49">
        <f t="shared" si="29"/>
        <v>825.65275448327236</v>
      </c>
      <c r="F115" s="49">
        <f t="shared" si="14"/>
        <v>491.4205908708812</v>
      </c>
      <c r="G115" s="49">
        <f t="shared" si="15"/>
        <v>388</v>
      </c>
      <c r="H115" s="49">
        <f>AVERAGE(INDEX($D$15:$D$117,91-$G$4+1):INDEX($D$15:$D$117,91))</f>
        <v>633.125</v>
      </c>
      <c r="I115" s="50"/>
      <c r="J115" s="49">
        <f t="shared" si="11"/>
        <v>491.80936896523212</v>
      </c>
      <c r="K115" s="51">
        <f t="shared" si="12"/>
        <v>-8.716918249609197</v>
      </c>
      <c r="L115" s="49">
        <f t="shared" si="13"/>
        <v>230.48504273504273</v>
      </c>
      <c r="M115" s="49">
        <f t="shared" si="16"/>
        <v>696.5863256071475</v>
      </c>
      <c r="N115" s="49">
        <f t="shared" si="17"/>
        <v>1144.0931025709197</v>
      </c>
      <c r="Q115" s="32">
        <f t="shared" si="18"/>
        <v>206</v>
      </c>
      <c r="R115" s="32">
        <f t="shared" si="19"/>
        <v>39.125</v>
      </c>
      <c r="S115" s="32">
        <f t="shared" si="20"/>
        <v>102.5794091291188</v>
      </c>
      <c r="T115" s="32">
        <f t="shared" si="21"/>
        <v>102.5863256071475</v>
      </c>
      <c r="U115" s="32">
        <f t="shared" si="22"/>
        <v>550.09310257091965</v>
      </c>
      <c r="W115" s="30">
        <f t="shared" si="23"/>
        <v>0.34680134680134678</v>
      </c>
      <c r="X115" s="30">
        <f t="shared" si="24"/>
        <v>6.5867003367003366E-2</v>
      </c>
      <c r="Y115" s="30">
        <f t="shared" si="25"/>
        <v>0.17269260796147945</v>
      </c>
      <c r="Z115" s="30">
        <f t="shared" si="26"/>
        <v>0.17270425186388469</v>
      </c>
      <c r="AA115" s="30">
        <f t="shared" si="27"/>
        <v>0.92608266426080754</v>
      </c>
    </row>
    <row r="116" spans="1:27" ht="15" x14ac:dyDescent="0.35">
      <c r="A116" s="45">
        <v>102</v>
      </c>
      <c r="B116" s="46">
        <f>Demand!CZ$4</f>
        <v>40861</v>
      </c>
      <c r="C116" s="47" t="s">
        <v>214</v>
      </c>
      <c r="D116" s="48">
        <f t="shared" si="28"/>
        <v>1321</v>
      </c>
      <c r="E116" s="49">
        <f t="shared" si="29"/>
        <v>1073.3263772416362</v>
      </c>
      <c r="F116" s="49">
        <f t="shared" si="14"/>
        <v>491.4205908708812</v>
      </c>
      <c r="G116" s="49">
        <f t="shared" si="15"/>
        <v>388</v>
      </c>
      <c r="H116" s="49">
        <f>AVERAGE(INDEX($D$15:$D$117,91-$G$4+1):INDEX($D$15:$D$117,91))</f>
        <v>633.125</v>
      </c>
      <c r="I116" s="50"/>
      <c r="J116" s="49">
        <f t="shared" si="11"/>
        <v>513.29690937642295</v>
      </c>
      <c r="K116" s="51">
        <f t="shared" si="12"/>
        <v>-7.2066953165691965</v>
      </c>
      <c r="L116" s="49">
        <f t="shared" si="13"/>
        <v>233.81837606837598</v>
      </c>
      <c r="M116" s="49">
        <f t="shared" si="16"/>
        <v>689.97545915152887</v>
      </c>
      <c r="N116" s="49">
        <f t="shared" si="17"/>
        <v>401.51575051131022</v>
      </c>
      <c r="Q116" s="32">
        <f t="shared" si="18"/>
        <v>933</v>
      </c>
      <c r="R116" s="32">
        <f t="shared" si="19"/>
        <v>687.875</v>
      </c>
      <c r="S116" s="32">
        <f t="shared" si="20"/>
        <v>829.57940912911886</v>
      </c>
      <c r="T116" s="32">
        <f t="shared" si="21"/>
        <v>631.02454084847113</v>
      </c>
      <c r="U116" s="32">
        <f t="shared" si="22"/>
        <v>919.48424948868978</v>
      </c>
      <c r="W116" s="30">
        <f t="shared" si="23"/>
        <v>0.70628311884935657</v>
      </c>
      <c r="X116" s="30">
        <f t="shared" si="24"/>
        <v>0.52072293716881146</v>
      </c>
      <c r="Y116" s="30">
        <f t="shared" si="25"/>
        <v>0.62799349669123306</v>
      </c>
      <c r="Z116" s="30">
        <f t="shared" si="26"/>
        <v>0.47768701048332407</v>
      </c>
      <c r="AA116" s="30">
        <f t="shared" si="27"/>
        <v>0.69605166501793325</v>
      </c>
    </row>
    <row r="117" spans="1:27" ht="15" x14ac:dyDescent="0.35">
      <c r="A117" s="45">
        <v>103</v>
      </c>
      <c r="B117" s="46">
        <f>Demand!DA$4</f>
        <v>40868</v>
      </c>
      <c r="C117" s="47" t="s">
        <v>214</v>
      </c>
      <c r="D117" s="48">
        <f t="shared" si="28"/>
        <v>903</v>
      </c>
      <c r="E117" s="49">
        <f t="shared" si="29"/>
        <v>988.16318862081812</v>
      </c>
      <c r="F117" s="49">
        <f t="shared" si="14"/>
        <v>491.4205908708812</v>
      </c>
      <c r="G117" s="49">
        <f t="shared" si="15"/>
        <v>388</v>
      </c>
      <c r="H117" s="49">
        <f>AVERAGE(INDEX($D$15:$D$117,91-$G$4+1):INDEX($D$15:$D$117,91))</f>
        <v>633.125</v>
      </c>
      <c r="I117" s="50"/>
      <c r="J117" s="49">
        <f t="shared" si="11"/>
        <v>517.71700677566446</v>
      </c>
      <c r="K117" s="51">
        <f t="shared" si="12"/>
        <v>-6.6253556807786609</v>
      </c>
      <c r="L117" s="49">
        <f t="shared" si="13"/>
        <v>164.37393162393164</v>
      </c>
      <c r="M117" s="49">
        <f t="shared" si="16"/>
        <v>610.58681491813275</v>
      </c>
      <c r="N117" s="49">
        <f t="shared" si="17"/>
        <v>1513.1163928228789</v>
      </c>
      <c r="Q117" s="32">
        <f t="shared" si="18"/>
        <v>515</v>
      </c>
      <c r="R117" s="32">
        <f t="shared" si="19"/>
        <v>269.875</v>
      </c>
      <c r="S117" s="32">
        <f t="shared" si="20"/>
        <v>411.5794091291188</v>
      </c>
      <c r="T117" s="32">
        <f t="shared" si="21"/>
        <v>292.41318508186725</v>
      </c>
      <c r="U117" s="32">
        <f t="shared" si="22"/>
        <v>610.11639282287888</v>
      </c>
      <c r="W117" s="30">
        <f t="shared" si="23"/>
        <v>0.57032115171650055</v>
      </c>
      <c r="X117" s="30">
        <f t="shared" si="24"/>
        <v>0.29886489479512734</v>
      </c>
      <c r="Y117" s="30">
        <f t="shared" si="25"/>
        <v>0.45579115075206955</v>
      </c>
      <c r="Z117" s="30">
        <f t="shared" si="26"/>
        <v>0.32382412522908888</v>
      </c>
      <c r="AA117" s="30">
        <f t="shared" si="27"/>
        <v>0.67565492006963335</v>
      </c>
    </row>
    <row r="118" spans="1:27" ht="15" x14ac:dyDescent="0.35">
      <c r="A118" s="52">
        <v>104</v>
      </c>
      <c r="B118" s="53">
        <f t="shared" ref="B118:B129" si="30">B117+7</f>
        <v>40875</v>
      </c>
      <c r="C118" s="54" t="s">
        <v>215</v>
      </c>
      <c r="D118" s="55" t="e">
        <f>NA()</f>
        <v>#N/A</v>
      </c>
      <c r="E118" s="56"/>
      <c r="F118" s="57">
        <f t="shared" ref="F118:F129" si="31">$E$117</f>
        <v>988.16318862081812</v>
      </c>
      <c r="G118" s="57">
        <f t="shared" ref="G118:G129" si="32">$D$117</f>
        <v>903</v>
      </c>
      <c r="H118" s="57">
        <f>AVERAGE(INDEX($D$15:$D$117,103-$G$4+1):INDEX($D$15:$D$117,103))</f>
        <v>756</v>
      </c>
      <c r="I118" s="56"/>
      <c r="J118" s="56"/>
      <c r="K118" s="56"/>
      <c r="L118" s="56"/>
      <c r="M118" s="57">
        <f t="shared" ref="M118:M129" si="33">MAX(0,$J$117+(A118-103)*$K$117+L66)</f>
        <v>548.35447160770627</v>
      </c>
      <c r="N118" s="57">
        <f t="shared" ref="N118:N129" si="34">MAX(0,_xlfn.FORECAST.ETS(B118,$D$15:$D$117,$B$15:$B$117,52,1))</f>
        <v>1140.1303588700698</v>
      </c>
    </row>
    <row r="119" spans="1:27" ht="15" x14ac:dyDescent="0.35">
      <c r="A119" s="52">
        <v>105</v>
      </c>
      <c r="B119" s="53">
        <f t="shared" si="30"/>
        <v>40882</v>
      </c>
      <c r="C119" s="54" t="s">
        <v>215</v>
      </c>
      <c r="D119" s="55" t="e">
        <f>NA()</f>
        <v>#N/A</v>
      </c>
      <c r="E119" s="56"/>
      <c r="F119" s="57">
        <f t="shared" si="31"/>
        <v>988.16318862081812</v>
      </c>
      <c r="G119" s="57">
        <f t="shared" si="32"/>
        <v>903</v>
      </c>
      <c r="H119" s="57">
        <f>AVERAGE(INDEX($D$15:$D$117,103-$G$4+1):INDEX($D$15:$D$117,103))</f>
        <v>756</v>
      </c>
      <c r="I119" s="56"/>
      <c r="J119" s="56"/>
      <c r="K119" s="56"/>
      <c r="L119" s="56"/>
      <c r="M119" s="57">
        <f t="shared" si="33"/>
        <v>711.26244926026106</v>
      </c>
      <c r="N119" s="57">
        <f t="shared" si="34"/>
        <v>614.49593621897338</v>
      </c>
    </row>
    <row r="120" spans="1:27" ht="15" x14ac:dyDescent="0.35">
      <c r="A120" s="52">
        <v>106</v>
      </c>
      <c r="B120" s="53">
        <f t="shared" si="30"/>
        <v>40889</v>
      </c>
      <c r="C120" s="54" t="s">
        <v>215</v>
      </c>
      <c r="D120" s="55" t="e">
        <f>NA()</f>
        <v>#N/A</v>
      </c>
      <c r="E120" s="56"/>
      <c r="F120" s="57">
        <f t="shared" si="31"/>
        <v>988.16318862081812</v>
      </c>
      <c r="G120" s="57">
        <f t="shared" si="32"/>
        <v>903</v>
      </c>
      <c r="H120" s="57">
        <f>AVERAGE(INDEX($D$15:$D$117,103-$G$4+1):INDEX($D$15:$D$117,103))</f>
        <v>756</v>
      </c>
      <c r="I120" s="56"/>
      <c r="J120" s="56"/>
      <c r="K120" s="56"/>
      <c r="L120" s="56"/>
      <c r="M120" s="57">
        <f t="shared" si="33"/>
        <v>646.93709357948228</v>
      </c>
      <c r="N120" s="57">
        <f t="shared" si="34"/>
        <v>192.20271015088747</v>
      </c>
    </row>
    <row r="121" spans="1:27" ht="15" x14ac:dyDescent="0.35">
      <c r="A121" s="52">
        <v>107</v>
      </c>
      <c r="B121" s="53">
        <f t="shared" si="30"/>
        <v>40896</v>
      </c>
      <c r="C121" s="54" t="s">
        <v>215</v>
      </c>
      <c r="D121" s="55" t="e">
        <f>NA()</f>
        <v>#N/A</v>
      </c>
      <c r="E121" s="56"/>
      <c r="F121" s="57">
        <f t="shared" si="31"/>
        <v>988.16318862081812</v>
      </c>
      <c r="G121" s="57">
        <f t="shared" si="32"/>
        <v>903</v>
      </c>
      <c r="H121" s="57">
        <f>AVERAGE(INDEX($D$15:$D$117,103-$G$4+1):INDEX($D$15:$D$117,103))</f>
        <v>756</v>
      </c>
      <c r="I121" s="56"/>
      <c r="J121" s="56"/>
      <c r="K121" s="56"/>
      <c r="L121" s="56"/>
      <c r="M121" s="57">
        <f t="shared" si="33"/>
        <v>668.81173789870365</v>
      </c>
      <c r="N121" s="57">
        <f t="shared" si="34"/>
        <v>0</v>
      </c>
    </row>
    <row r="122" spans="1:27" ht="15" x14ac:dyDescent="0.35">
      <c r="A122" s="52">
        <v>108</v>
      </c>
      <c r="B122" s="53">
        <f t="shared" si="30"/>
        <v>40903</v>
      </c>
      <c r="C122" s="54" t="s">
        <v>215</v>
      </c>
      <c r="D122" s="55" t="e">
        <f>NA()</f>
        <v>#N/A</v>
      </c>
      <c r="E122" s="56"/>
      <c r="F122" s="57">
        <f t="shared" si="31"/>
        <v>988.16318862081812</v>
      </c>
      <c r="G122" s="57">
        <f t="shared" si="32"/>
        <v>903</v>
      </c>
      <c r="H122" s="57">
        <f>AVERAGE(INDEX($D$15:$D$117,103-$G$4+1):INDEX($D$15:$D$117,103))</f>
        <v>756</v>
      </c>
      <c r="I122" s="56"/>
      <c r="J122" s="56"/>
      <c r="K122" s="56"/>
      <c r="L122" s="56"/>
      <c r="M122" s="57">
        <f t="shared" si="33"/>
        <v>679.56138221792503</v>
      </c>
      <c r="N122" s="57">
        <f t="shared" si="34"/>
        <v>0</v>
      </c>
    </row>
    <row r="123" spans="1:27" ht="15" x14ac:dyDescent="0.35">
      <c r="A123" s="52">
        <v>109</v>
      </c>
      <c r="B123" s="53">
        <f t="shared" si="30"/>
        <v>40910</v>
      </c>
      <c r="C123" s="54" t="s">
        <v>215</v>
      </c>
      <c r="D123" s="55" t="e">
        <f>NA()</f>
        <v>#N/A</v>
      </c>
      <c r="E123" s="56"/>
      <c r="F123" s="57">
        <f t="shared" si="31"/>
        <v>988.16318862081812</v>
      </c>
      <c r="G123" s="57">
        <f t="shared" si="32"/>
        <v>903</v>
      </c>
      <c r="H123" s="57">
        <f>AVERAGE(INDEX($D$15:$D$117,103-$G$4+1):INDEX($D$15:$D$117,103))</f>
        <v>756</v>
      </c>
      <c r="I123" s="56"/>
      <c r="J123" s="56"/>
      <c r="K123" s="56"/>
      <c r="L123" s="56"/>
      <c r="M123" s="57">
        <f t="shared" si="33"/>
        <v>614.56102653714629</v>
      </c>
      <c r="N123" s="57">
        <f t="shared" si="34"/>
        <v>0</v>
      </c>
    </row>
    <row r="124" spans="1:27" ht="15" x14ac:dyDescent="0.35">
      <c r="A124" s="52">
        <v>110</v>
      </c>
      <c r="B124" s="53">
        <f t="shared" si="30"/>
        <v>40917</v>
      </c>
      <c r="C124" s="54" t="s">
        <v>215</v>
      </c>
      <c r="D124" s="55" t="e">
        <f>NA()</f>
        <v>#N/A</v>
      </c>
      <c r="E124" s="56"/>
      <c r="F124" s="57">
        <f t="shared" si="31"/>
        <v>988.16318862081812</v>
      </c>
      <c r="G124" s="57">
        <f t="shared" si="32"/>
        <v>903</v>
      </c>
      <c r="H124" s="57">
        <f>AVERAGE(INDEX($D$15:$D$117,103-$G$4+1):INDEX($D$15:$D$117,103))</f>
        <v>756</v>
      </c>
      <c r="I124" s="56"/>
      <c r="J124" s="56"/>
      <c r="K124" s="56"/>
      <c r="L124" s="56"/>
      <c r="M124" s="57">
        <f t="shared" si="33"/>
        <v>323.26900418970104</v>
      </c>
      <c r="N124" s="57">
        <f t="shared" si="34"/>
        <v>1831.8128683623527</v>
      </c>
    </row>
    <row r="125" spans="1:27" ht="15" x14ac:dyDescent="0.35">
      <c r="A125" s="52">
        <v>111</v>
      </c>
      <c r="B125" s="53">
        <f t="shared" si="30"/>
        <v>40924</v>
      </c>
      <c r="C125" s="54" t="s">
        <v>215</v>
      </c>
      <c r="D125" s="55" t="e">
        <f>NA()</f>
        <v>#N/A</v>
      </c>
      <c r="E125" s="56"/>
      <c r="F125" s="57">
        <f t="shared" si="31"/>
        <v>988.16318862081812</v>
      </c>
      <c r="G125" s="57">
        <f t="shared" si="32"/>
        <v>903</v>
      </c>
      <c r="H125" s="57">
        <f>AVERAGE(INDEX($D$15:$D$117,103-$G$4+1):INDEX($D$15:$D$117,103))</f>
        <v>756</v>
      </c>
      <c r="I125" s="56"/>
      <c r="J125" s="56"/>
      <c r="K125" s="56"/>
      <c r="L125" s="56"/>
      <c r="M125" s="57">
        <f t="shared" si="33"/>
        <v>247.86587073114453</v>
      </c>
      <c r="N125" s="57">
        <f t="shared" si="34"/>
        <v>0</v>
      </c>
    </row>
    <row r="126" spans="1:27" ht="15" x14ac:dyDescent="0.35">
      <c r="A126" s="52">
        <v>112</v>
      </c>
      <c r="B126" s="53">
        <f t="shared" si="30"/>
        <v>40931</v>
      </c>
      <c r="C126" s="54" t="s">
        <v>215</v>
      </c>
      <c r="D126" s="55" t="e">
        <f>NA()</f>
        <v>#N/A</v>
      </c>
      <c r="E126" s="56"/>
      <c r="F126" s="57">
        <f t="shared" si="31"/>
        <v>988.16318862081812</v>
      </c>
      <c r="G126" s="57">
        <f t="shared" si="32"/>
        <v>903</v>
      </c>
      <c r="H126" s="57">
        <f>AVERAGE(INDEX($D$15:$D$117,103-$G$4+1):INDEX($D$15:$D$117,103))</f>
        <v>756</v>
      </c>
      <c r="I126" s="56"/>
      <c r="J126" s="56"/>
      <c r="K126" s="56"/>
      <c r="L126" s="56"/>
      <c r="M126" s="57">
        <f t="shared" si="33"/>
        <v>329.79607060592139</v>
      </c>
      <c r="N126" s="57">
        <f t="shared" si="34"/>
        <v>0</v>
      </c>
    </row>
    <row r="127" spans="1:27" ht="15" x14ac:dyDescent="0.35">
      <c r="A127" s="52">
        <v>113</v>
      </c>
      <c r="B127" s="53">
        <f t="shared" si="30"/>
        <v>40938</v>
      </c>
      <c r="C127" s="54" t="s">
        <v>215</v>
      </c>
      <c r="D127" s="55" t="e">
        <f>NA()</f>
        <v>#N/A</v>
      </c>
      <c r="E127" s="56"/>
      <c r="F127" s="57">
        <f t="shared" si="31"/>
        <v>988.16318862081812</v>
      </c>
      <c r="G127" s="57">
        <f t="shared" si="32"/>
        <v>903</v>
      </c>
      <c r="H127" s="57">
        <f>AVERAGE(INDEX($D$15:$D$117,103-$G$4+1):INDEX($D$15:$D$117,103))</f>
        <v>756</v>
      </c>
      <c r="I127" s="56"/>
      <c r="J127" s="56"/>
      <c r="K127" s="56"/>
      <c r="L127" s="56"/>
      <c r="M127" s="57">
        <f t="shared" si="33"/>
        <v>416.17071492514276</v>
      </c>
      <c r="N127" s="57">
        <f t="shared" si="34"/>
        <v>0</v>
      </c>
    </row>
    <row r="128" spans="1:27" ht="15" x14ac:dyDescent="0.35">
      <c r="A128" s="52">
        <v>114</v>
      </c>
      <c r="B128" s="53">
        <f t="shared" si="30"/>
        <v>40945</v>
      </c>
      <c r="C128" s="54" t="s">
        <v>215</v>
      </c>
      <c r="D128" s="55" t="e">
        <f>NA()</f>
        <v>#N/A</v>
      </c>
      <c r="E128" s="56"/>
      <c r="F128" s="57">
        <f t="shared" si="31"/>
        <v>988.16318862081812</v>
      </c>
      <c r="G128" s="57">
        <f t="shared" si="32"/>
        <v>903</v>
      </c>
      <c r="H128" s="57">
        <f>AVERAGE(INDEX($D$15:$D$117,103-$G$4+1):INDEX($D$15:$D$117,103))</f>
        <v>756</v>
      </c>
      <c r="I128" s="56"/>
      <c r="J128" s="56"/>
      <c r="K128" s="56"/>
      <c r="L128" s="56"/>
      <c r="M128" s="57">
        <f t="shared" si="33"/>
        <v>305.76758146658636</v>
      </c>
      <c r="N128" s="57">
        <f t="shared" si="34"/>
        <v>0</v>
      </c>
    </row>
    <row r="129" spans="1:14" ht="15" x14ac:dyDescent="0.35">
      <c r="A129" s="52">
        <v>115</v>
      </c>
      <c r="B129" s="53">
        <f t="shared" si="30"/>
        <v>40952</v>
      </c>
      <c r="C129" s="54" t="s">
        <v>215</v>
      </c>
      <c r="D129" s="55" t="e">
        <f>NA()</f>
        <v>#N/A</v>
      </c>
      <c r="E129" s="56"/>
      <c r="F129" s="57">
        <f t="shared" si="31"/>
        <v>988.16318862081812</v>
      </c>
      <c r="G129" s="57">
        <f t="shared" si="32"/>
        <v>903</v>
      </c>
      <c r="H129" s="57">
        <f>AVERAGE(INDEX($D$15:$D$117,103-$G$4+1):INDEX($D$15:$D$117,103))</f>
        <v>756</v>
      </c>
      <c r="I129" s="56"/>
      <c r="J129" s="56"/>
      <c r="K129" s="56"/>
      <c r="L129" s="56"/>
      <c r="M129" s="57">
        <f t="shared" si="33"/>
        <v>361.80889245247431</v>
      </c>
      <c r="N129" s="57">
        <f t="shared" si="34"/>
        <v>0</v>
      </c>
    </row>
  </sheetData>
  <mergeCells count="6">
    <mergeCell ref="E8:F8"/>
    <mergeCell ref="E4:F4"/>
    <mergeCell ref="E6:F6"/>
    <mergeCell ref="E7:F7"/>
    <mergeCell ref="C5:D5"/>
    <mergeCell ref="E5:F5"/>
  </mergeCells>
  <conditionalFormatting sqref="D15:N129">
    <cfRule type="expression" dxfId="5" priority="2">
      <formula>ISNA(D15)</formula>
    </cfRule>
  </conditionalFormatting>
  <conditionalFormatting sqref="O6:O9">
    <cfRule type="expression" dxfId="4" priority="1">
      <formula>O6=MIN($O$6:$O$9)</formula>
    </cfRule>
  </conditionalFormatting>
  <dataValidations count="3">
    <dataValidation type="list" showErrorMessage="1" error="Pick a stock code from the list" sqref="C4" xr:uid="{00000000-0002-0000-0500-000000000000}">
      <formula1>SKUList</formula1>
    </dataValidation>
    <dataValidation type="whole" showErrorMessage="1" error="1 to 52 weeks" sqref="G4" xr:uid="{00000000-0002-0000-0500-000001000000}">
      <formula1>1</formula1>
      <formula2>52</formula2>
    </dataValidation>
    <dataValidation type="decimal" allowBlank="1" showErrorMessage="1" error="α between 0.01 and 0.99" sqref="G6" xr:uid="{00000000-0002-0000-0500-000002000000}">
      <formula1>0.01</formula1>
      <formula2>0.99</formula2>
    </dataValidation>
  </dataValidations>
  <pageMargins left="0.75" right="0.75" top="1" bottom="1" header="0.5" footer="0.5"/>
  <pageSetup scale="2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A78D6"/>
  </sheetPr>
  <dimension ref="A1:W60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1" customWidth="1"/>
    <col min="2" max="2" width="15" customWidth="1"/>
    <col min="3" max="3" width="12" customWidth="1"/>
    <col min="4" max="5" width="11" customWidth="1"/>
    <col min="6" max="6" width="7" customWidth="1"/>
    <col min="8" max="8" width="7" customWidth="1"/>
    <col min="9" max="9" width="6" customWidth="1"/>
    <col min="10" max="21" width="10" customWidth="1"/>
    <col min="22" max="23" width="15" customWidth="1"/>
  </cols>
  <sheetData>
    <row r="1" spans="1:23" ht="23.4" x14ac:dyDescent="0.55000000000000004">
      <c r="A1" s="1" t="s">
        <v>216</v>
      </c>
    </row>
    <row r="2" spans="1:23" x14ac:dyDescent="0.3">
      <c r="A2" s="2" t="s">
        <v>217</v>
      </c>
    </row>
    <row r="3" spans="1:23" x14ac:dyDescent="0.3">
      <c r="H3" s="2" t="s">
        <v>218</v>
      </c>
    </row>
    <row r="4" spans="1:23" ht="43.95" customHeight="1" x14ac:dyDescent="0.3">
      <c r="A4" s="8" t="s">
        <v>123</v>
      </c>
      <c r="B4" s="8" t="s">
        <v>163</v>
      </c>
      <c r="C4" s="8" t="s">
        <v>219</v>
      </c>
      <c r="D4" s="8" t="s">
        <v>220</v>
      </c>
      <c r="E4" s="8" t="s">
        <v>221</v>
      </c>
      <c r="F4" s="8" t="s">
        <v>88</v>
      </c>
      <c r="H4" s="8" t="s">
        <v>88</v>
      </c>
      <c r="I4" s="8" t="s">
        <v>104</v>
      </c>
      <c r="J4" s="8" t="s">
        <v>222</v>
      </c>
      <c r="K4" s="8" t="s">
        <v>223</v>
      </c>
      <c r="L4" s="8" t="s">
        <v>224</v>
      </c>
      <c r="M4" s="8" t="s">
        <v>225</v>
      </c>
      <c r="N4" s="8" t="s">
        <v>226</v>
      </c>
      <c r="O4" s="8" t="s">
        <v>227</v>
      </c>
      <c r="P4" s="8" t="s">
        <v>228</v>
      </c>
      <c r="Q4" s="8" t="s">
        <v>229</v>
      </c>
      <c r="R4" s="8" t="s">
        <v>230</v>
      </c>
      <c r="S4" s="8" t="s">
        <v>231</v>
      </c>
      <c r="T4" s="8" t="s">
        <v>232</v>
      </c>
      <c r="U4" s="8" t="s">
        <v>233</v>
      </c>
      <c r="V4" s="8" t="s">
        <v>234</v>
      </c>
      <c r="W4" s="8" t="s">
        <v>235</v>
      </c>
    </row>
    <row r="5" spans="1:23" ht="15" x14ac:dyDescent="0.35">
      <c r="A5" s="58" t="s">
        <v>236</v>
      </c>
      <c r="B5" s="58" t="s">
        <v>172</v>
      </c>
      <c r="C5" s="58">
        <v>2481</v>
      </c>
      <c r="D5" s="59">
        <v>859</v>
      </c>
      <c r="E5" s="59">
        <v>-825</v>
      </c>
      <c r="F5" s="60" t="str">
        <f t="shared" ref="F5:F68" si="0">_xlfn.XLOOKUP(A5,ClsCode,ClsClass)</f>
        <v>AX</v>
      </c>
      <c r="H5" s="61" t="s">
        <v>237</v>
      </c>
      <c r="I5" s="26">
        <f t="shared" ref="I5:I13" si="1">COUNTIFS(ClsClass,H5)</f>
        <v>36</v>
      </c>
      <c r="J5" s="30">
        <f t="shared" ref="J5:J13" si="2">IFERROR(SUMIFS(BtAbsErr,BtClass,$H5,BtMethod,"Naive")/SUMIFS(BtActual,BtClass,$H5,BtMethod,"Naive"),"")</f>
        <v>0.49754178111089109</v>
      </c>
      <c r="K5" s="30">
        <f t="shared" ref="K5:K13" si="3">IFERROR(SUMIFS(BtAbsErr,BtClass,$H5,BtMethod,"Moving average")/SUMIFS(BtActual,BtClass,$H5,BtMethod,"Moving average"),"")</f>
        <v>0.45871182442031666</v>
      </c>
      <c r="L5" s="30">
        <f t="shared" ref="L5:L13" si="4">IFERROR(SUMIFS(BtAbsErr,BtClass,$H5,BtMethod,"SES")/SUMIFS(BtActual,BtClass,$H5,BtMethod,"SES"),"")</f>
        <v>0.45932500667292342</v>
      </c>
      <c r="M5" s="30">
        <f t="shared" ref="M5:M13" si="5">IFERROR(SUMIFS(BtAbsErr,BtClass,$H5,BtMethod,"Holt-Winters")/SUMIFS(BtActual,BtClass,$H5,BtMethod,"Holt-Winters"),"")</f>
        <v>0.48445942001532621</v>
      </c>
      <c r="N5" s="37">
        <f t="shared" ref="N5:N13" si="6">IFERROR(SUMIFS(BtErr,BtClass,$H5,BtMethod,"Naive")/SUMIFS(BtActual,BtClass,$H5,BtMethod,"Naive"),"")</f>
        <v>-0.26713219276569</v>
      </c>
      <c r="O5" s="37">
        <f t="shared" ref="O5:O13" si="7">IFERROR(SUMIFS(BtErr,BtClass,$H5,BtMethod,"Moving average")/SUMIFS(BtActual,BtClass,$H5,BtMethod,"Moving average"),"")</f>
        <v>1.2562316494605695E-2</v>
      </c>
      <c r="P5" s="37">
        <f t="shared" ref="P5:P13" si="8">IFERROR(SUMIFS(BtErr,BtClass,$H5,BtMethod,"SES")/SUMIFS(BtActual,BtClass,$H5,BtMethod,"SES"),"")</f>
        <v>-1.4556892053624471E-2</v>
      </c>
      <c r="Q5" s="37">
        <f t="shared" ref="Q5:Q13" si="9">IFERROR(SUMIFS(BtErr,BtClass,$H5,BtMethod,"Holt-Winters")/SUMIFS(BtActual,BtClass,$H5,BtMethod,"Holt-Winters"),"")</f>
        <v>0.12996244478693997</v>
      </c>
      <c r="R5" s="33">
        <f t="shared" ref="R5:R13" si="10">IFERROR(J5+ABS(N5),"")</f>
        <v>0.76467397387658109</v>
      </c>
      <c r="S5" s="33">
        <f t="shared" ref="S5:S13" si="11">IFERROR(K5+ABS(O5),"")</f>
        <v>0.47127414091492237</v>
      </c>
      <c r="T5" s="33">
        <f t="shared" ref="T5:T13" si="12">IFERROR(L5+ABS(P5),"")</f>
        <v>0.4738818987265479</v>
      </c>
      <c r="U5" s="33">
        <f t="shared" ref="U5:U13" si="13">IFERROR(M5+ABS(Q5),"")</f>
        <v>0.61442186480226613</v>
      </c>
      <c r="V5" s="19" t="str">
        <f t="shared" ref="V5:V13" si="14">IF(I5=0,"",SUBSTITUTE(INDEX($R$4:$U$4,MATCH(MIN(R5:U5),R5:U5,0)),"Score ",""))</f>
        <v>Moving average</v>
      </c>
      <c r="W5" s="9" t="str">
        <f t="shared" ref="W5:W13" si="15">IF(I5=0,"",SUBSTITUTE(INDEX($R$4:$T$4,MATCH(MIN(R5:T5),R5:T5,0)),"Score ",""))</f>
        <v>Moving average</v>
      </c>
    </row>
    <row r="6" spans="1:23" ht="15" x14ac:dyDescent="0.35">
      <c r="A6" s="58" t="s">
        <v>236</v>
      </c>
      <c r="B6" s="58" t="s">
        <v>176</v>
      </c>
      <c r="C6" s="58">
        <v>2481</v>
      </c>
      <c r="D6" s="59">
        <v>649</v>
      </c>
      <c r="E6" s="59">
        <v>90</v>
      </c>
      <c r="F6" s="60" t="str">
        <f t="shared" si="0"/>
        <v>AX</v>
      </c>
      <c r="H6" s="61" t="s">
        <v>238</v>
      </c>
      <c r="I6" s="26">
        <f t="shared" si="1"/>
        <v>31</v>
      </c>
      <c r="J6" s="30">
        <f t="shared" si="2"/>
        <v>0.73967575013366926</v>
      </c>
      <c r="K6" s="30">
        <f t="shared" si="3"/>
        <v>0.60536534749472115</v>
      </c>
      <c r="L6" s="30">
        <f t="shared" si="4"/>
        <v>0.5984961494195582</v>
      </c>
      <c r="M6" s="30">
        <f t="shared" si="5"/>
        <v>0.64247971943052373</v>
      </c>
      <c r="N6" s="37">
        <f t="shared" si="6"/>
        <v>-0.3997118181735797</v>
      </c>
      <c r="O6" s="37">
        <f t="shared" si="7"/>
        <v>-0.25492763736213941</v>
      </c>
      <c r="P6" s="37">
        <f t="shared" si="8"/>
        <v>-0.29816270854667548</v>
      </c>
      <c r="Q6" s="37">
        <f t="shared" si="9"/>
        <v>6.8553894532701387E-2</v>
      </c>
      <c r="R6" s="33">
        <f t="shared" si="10"/>
        <v>1.139387568307249</v>
      </c>
      <c r="S6" s="33">
        <f t="shared" si="11"/>
        <v>0.86029298485686057</v>
      </c>
      <c r="T6" s="33">
        <f t="shared" si="12"/>
        <v>0.89665885796623368</v>
      </c>
      <c r="U6" s="33">
        <f t="shared" si="13"/>
        <v>0.71103361396322518</v>
      </c>
      <c r="V6" s="19" t="str">
        <f t="shared" si="14"/>
        <v>Holt-Winters</v>
      </c>
      <c r="W6" s="9" t="str">
        <f t="shared" si="15"/>
        <v>Moving average</v>
      </c>
    </row>
    <row r="7" spans="1:23" ht="15" x14ac:dyDescent="0.35">
      <c r="A7" s="58" t="s">
        <v>236</v>
      </c>
      <c r="B7" s="58" t="s">
        <v>180</v>
      </c>
      <c r="C7" s="58">
        <v>2481</v>
      </c>
      <c r="D7" s="59">
        <v>751.19320000000005</v>
      </c>
      <c r="E7" s="59">
        <v>-591.57960000000003</v>
      </c>
      <c r="F7" s="60" t="str">
        <f t="shared" si="0"/>
        <v>AX</v>
      </c>
      <c r="H7" s="61" t="s">
        <v>239</v>
      </c>
      <c r="I7" s="26">
        <f t="shared" si="1"/>
        <v>28</v>
      </c>
      <c r="J7" s="30">
        <f t="shared" si="2"/>
        <v>1.0387238648272545</v>
      </c>
      <c r="K7" s="30">
        <f t="shared" si="3"/>
        <v>0.80109351108973148</v>
      </c>
      <c r="L7" s="30">
        <f t="shared" si="4"/>
        <v>0.79159602796914452</v>
      </c>
      <c r="M7" s="30">
        <f t="shared" si="5"/>
        <v>0.76705251086639037</v>
      </c>
      <c r="N7" s="37">
        <f t="shared" si="6"/>
        <v>-0.2339065748105898</v>
      </c>
      <c r="O7" s="37">
        <f t="shared" si="7"/>
        <v>-0.62190114591028567</v>
      </c>
      <c r="P7" s="37">
        <f t="shared" si="8"/>
        <v>-0.51089672376174688</v>
      </c>
      <c r="Q7" s="37">
        <f t="shared" si="9"/>
        <v>0.14717216657790305</v>
      </c>
      <c r="R7" s="33">
        <f t="shared" si="10"/>
        <v>1.2726304396378443</v>
      </c>
      <c r="S7" s="33">
        <f t="shared" si="11"/>
        <v>1.4229946570000171</v>
      </c>
      <c r="T7" s="33">
        <f t="shared" si="12"/>
        <v>1.3024927517308913</v>
      </c>
      <c r="U7" s="33">
        <f t="shared" si="13"/>
        <v>0.91422467744429348</v>
      </c>
      <c r="V7" s="19" t="str">
        <f t="shared" si="14"/>
        <v>Holt-Winters</v>
      </c>
      <c r="W7" s="9" t="str">
        <f t="shared" si="15"/>
        <v>Naive</v>
      </c>
    </row>
    <row r="8" spans="1:23" ht="15" x14ac:dyDescent="0.35">
      <c r="A8" s="58" t="s">
        <v>236</v>
      </c>
      <c r="B8" s="58" t="s">
        <v>182</v>
      </c>
      <c r="C8" s="58">
        <v>2481</v>
      </c>
      <c r="D8" s="59">
        <v>1258.1304</v>
      </c>
      <c r="E8" s="59">
        <v>904.029</v>
      </c>
      <c r="F8" s="60" t="str">
        <f t="shared" si="0"/>
        <v>AX</v>
      </c>
      <c r="H8" s="61" t="s">
        <v>240</v>
      </c>
      <c r="I8" s="26">
        <f t="shared" si="1"/>
        <v>10</v>
      </c>
      <c r="J8" s="30">
        <f t="shared" si="2"/>
        <v>0.43072585404235786</v>
      </c>
      <c r="K8" s="30">
        <f t="shared" si="3"/>
        <v>0.45467510327191657</v>
      </c>
      <c r="L8" s="30">
        <f t="shared" si="4"/>
        <v>0.43454530194741325</v>
      </c>
      <c r="M8" s="30">
        <f t="shared" si="5"/>
        <v>0.43499424955740612</v>
      </c>
      <c r="N8" s="37">
        <f t="shared" si="6"/>
        <v>-0.15494065962887679</v>
      </c>
      <c r="O8" s="37">
        <f t="shared" si="7"/>
        <v>-0.15189167923414859</v>
      </c>
      <c r="P8" s="37">
        <f t="shared" si="8"/>
        <v>-0.13703822700150811</v>
      </c>
      <c r="Q8" s="37">
        <f t="shared" si="9"/>
        <v>-0.18099285948462396</v>
      </c>
      <c r="R8" s="33">
        <f t="shared" si="10"/>
        <v>0.58566651367123468</v>
      </c>
      <c r="S8" s="33">
        <f t="shared" si="11"/>
        <v>0.60656678250606522</v>
      </c>
      <c r="T8" s="33">
        <f t="shared" si="12"/>
        <v>0.57158352894892139</v>
      </c>
      <c r="U8" s="33">
        <f t="shared" si="13"/>
        <v>0.61598710904203013</v>
      </c>
      <c r="V8" s="19" t="str">
        <f t="shared" si="14"/>
        <v>SES</v>
      </c>
      <c r="W8" s="9" t="str">
        <f t="shared" si="15"/>
        <v>SES</v>
      </c>
    </row>
    <row r="9" spans="1:23" ht="15" x14ac:dyDescent="0.35">
      <c r="A9" s="58" t="s">
        <v>158</v>
      </c>
      <c r="B9" s="58" t="s">
        <v>172</v>
      </c>
      <c r="C9" s="58">
        <v>8260</v>
      </c>
      <c r="D9" s="59">
        <v>4366</v>
      </c>
      <c r="E9" s="59">
        <v>-3604</v>
      </c>
      <c r="F9" s="60" t="str">
        <f t="shared" si="0"/>
        <v>AY</v>
      </c>
      <c r="H9" s="61" t="s">
        <v>241</v>
      </c>
      <c r="I9" s="26">
        <f t="shared" si="1"/>
        <v>17</v>
      </c>
      <c r="J9" s="30">
        <f t="shared" si="2"/>
        <v>0.68577483443708609</v>
      </c>
      <c r="K9" s="30">
        <f t="shared" si="3"/>
        <v>0.59964238410596027</v>
      </c>
      <c r="L9" s="30">
        <f t="shared" si="4"/>
        <v>0.54538219337748339</v>
      </c>
      <c r="M9" s="30">
        <f t="shared" si="5"/>
        <v>0.59039746490066225</v>
      </c>
      <c r="N9" s="37">
        <f t="shared" si="6"/>
        <v>-0.56799999999999995</v>
      </c>
      <c r="O9" s="37">
        <f t="shared" si="7"/>
        <v>-0.28150993377483446</v>
      </c>
      <c r="P9" s="37">
        <f t="shared" si="8"/>
        <v>-0.20274934039735096</v>
      </c>
      <c r="Q9" s="37">
        <f t="shared" si="9"/>
        <v>7.110420927152318E-2</v>
      </c>
      <c r="R9" s="33">
        <f t="shared" si="10"/>
        <v>1.253774834437086</v>
      </c>
      <c r="S9" s="33">
        <f t="shared" si="11"/>
        <v>0.88115231788079473</v>
      </c>
      <c r="T9" s="33">
        <f t="shared" si="12"/>
        <v>0.74813153377483432</v>
      </c>
      <c r="U9" s="33">
        <f t="shared" si="13"/>
        <v>0.66150167417218542</v>
      </c>
      <c r="V9" s="19" t="str">
        <f t="shared" si="14"/>
        <v>Holt-Winters</v>
      </c>
      <c r="W9" s="9" t="str">
        <f t="shared" si="15"/>
        <v>SES</v>
      </c>
    </row>
    <row r="10" spans="1:23" ht="15" x14ac:dyDescent="0.35">
      <c r="A10" s="58" t="s">
        <v>158</v>
      </c>
      <c r="B10" s="58" t="s">
        <v>176</v>
      </c>
      <c r="C10" s="58">
        <v>8260</v>
      </c>
      <c r="D10" s="59">
        <v>3682</v>
      </c>
      <c r="E10" s="59">
        <v>-662.5</v>
      </c>
      <c r="F10" s="60" t="str">
        <f t="shared" si="0"/>
        <v>AY</v>
      </c>
      <c r="H10" s="61" t="s">
        <v>242</v>
      </c>
      <c r="I10" s="26">
        <f t="shared" si="1"/>
        <v>12</v>
      </c>
      <c r="J10" s="30">
        <f t="shared" si="2"/>
        <v>1.1168692400160278</v>
      </c>
      <c r="K10" s="30">
        <f t="shared" si="3"/>
        <v>0.94767597168425266</v>
      </c>
      <c r="L10" s="30">
        <f t="shared" si="4"/>
        <v>0.93363082676639497</v>
      </c>
      <c r="M10" s="30">
        <f t="shared" si="5"/>
        <v>1.0760676639508482</v>
      </c>
      <c r="N10" s="37">
        <f t="shared" si="6"/>
        <v>-0.61773741151328965</v>
      </c>
      <c r="O10" s="37">
        <f t="shared" si="7"/>
        <v>-0.49833043942834249</v>
      </c>
      <c r="P10" s="37">
        <f t="shared" si="8"/>
        <v>-0.50268638974221991</v>
      </c>
      <c r="Q10" s="37">
        <f t="shared" si="9"/>
        <v>9.0534259382931196E-4</v>
      </c>
      <c r="R10" s="33">
        <f t="shared" si="10"/>
        <v>1.7346066515293175</v>
      </c>
      <c r="S10" s="33">
        <f t="shared" si="11"/>
        <v>1.4460064111125952</v>
      </c>
      <c r="T10" s="33">
        <f t="shared" si="12"/>
        <v>1.4363172165086149</v>
      </c>
      <c r="U10" s="33">
        <f t="shared" si="13"/>
        <v>1.0769730065446774</v>
      </c>
      <c r="V10" s="19" t="str">
        <f t="shared" si="14"/>
        <v>Holt-Winters</v>
      </c>
      <c r="W10" s="9" t="str">
        <f t="shared" si="15"/>
        <v>SES</v>
      </c>
    </row>
    <row r="11" spans="1:23" ht="15" x14ac:dyDescent="0.35">
      <c r="A11" s="58" t="s">
        <v>158</v>
      </c>
      <c r="B11" s="58" t="s">
        <v>180</v>
      </c>
      <c r="C11" s="58">
        <v>8260</v>
      </c>
      <c r="D11" s="59">
        <v>3887.1588000000002</v>
      </c>
      <c r="E11" s="59">
        <v>-2362.9528</v>
      </c>
      <c r="F11" s="60" t="str">
        <f t="shared" si="0"/>
        <v>AY</v>
      </c>
      <c r="H11" s="61" t="s">
        <v>243</v>
      </c>
      <c r="I11" s="26">
        <f t="shared" si="1"/>
        <v>5</v>
      </c>
      <c r="J11" s="30">
        <f t="shared" si="2"/>
        <v>0.56604184829991278</v>
      </c>
      <c r="K11" s="30">
        <f t="shared" si="3"/>
        <v>0.56097428073234523</v>
      </c>
      <c r="L11" s="30">
        <f t="shared" si="4"/>
        <v>0.54676216216216211</v>
      </c>
      <c r="M11" s="30">
        <f t="shared" si="5"/>
        <v>0.61682937009590233</v>
      </c>
      <c r="N11" s="37">
        <f t="shared" si="6"/>
        <v>-0.27942458587619878</v>
      </c>
      <c r="O11" s="37">
        <f t="shared" si="7"/>
        <v>0.11748038360941587</v>
      </c>
      <c r="P11" s="37">
        <f t="shared" si="8"/>
        <v>8.8597733217088054E-2</v>
      </c>
      <c r="Q11" s="37">
        <f t="shared" si="9"/>
        <v>-0.44362193766346991</v>
      </c>
      <c r="R11" s="33">
        <f t="shared" si="10"/>
        <v>0.84546643417611156</v>
      </c>
      <c r="S11" s="33">
        <f t="shared" si="11"/>
        <v>0.67845466434176105</v>
      </c>
      <c r="T11" s="33">
        <f t="shared" si="12"/>
        <v>0.63535989537925019</v>
      </c>
      <c r="U11" s="33">
        <f t="shared" si="13"/>
        <v>1.0604513077593722</v>
      </c>
      <c r="V11" s="19" t="str">
        <f t="shared" si="14"/>
        <v>SES</v>
      </c>
      <c r="W11" s="9" t="str">
        <f t="shared" si="15"/>
        <v>SES</v>
      </c>
    </row>
    <row r="12" spans="1:23" ht="15" x14ac:dyDescent="0.35">
      <c r="A12" s="58" t="s">
        <v>158</v>
      </c>
      <c r="B12" s="58" t="s">
        <v>182</v>
      </c>
      <c r="C12" s="58">
        <v>8260</v>
      </c>
      <c r="D12" s="59">
        <v>3529.8869</v>
      </c>
      <c r="E12" s="59">
        <v>-1442.7520999999999</v>
      </c>
      <c r="F12" s="60" t="str">
        <f t="shared" si="0"/>
        <v>AY</v>
      </c>
      <c r="H12" s="61" t="s">
        <v>244</v>
      </c>
      <c r="I12" s="26">
        <f t="shared" si="1"/>
        <v>7</v>
      </c>
      <c r="J12" s="30">
        <f t="shared" si="2"/>
        <v>0.70045233707488697</v>
      </c>
      <c r="K12" s="30">
        <f t="shared" si="3"/>
        <v>0.74401072206399732</v>
      </c>
      <c r="L12" s="30">
        <f t="shared" si="4"/>
        <v>0.7081003518177249</v>
      </c>
      <c r="M12" s="30">
        <f t="shared" si="5"/>
        <v>0.92831142569944713</v>
      </c>
      <c r="N12" s="37">
        <f t="shared" si="6"/>
        <v>-0.12950242921762439</v>
      </c>
      <c r="O12" s="37">
        <f t="shared" si="7"/>
        <v>-4.7830457363042388E-2</v>
      </c>
      <c r="P12" s="37">
        <f t="shared" si="8"/>
        <v>-7.6494153124476452E-2</v>
      </c>
      <c r="Q12" s="37">
        <f t="shared" si="9"/>
        <v>0.46569460546155134</v>
      </c>
      <c r="R12" s="33">
        <f t="shared" si="10"/>
        <v>0.8299547662925113</v>
      </c>
      <c r="S12" s="33">
        <f t="shared" si="11"/>
        <v>0.79184117942703969</v>
      </c>
      <c r="T12" s="33">
        <f t="shared" si="12"/>
        <v>0.7845945049422014</v>
      </c>
      <c r="U12" s="33">
        <f t="shared" si="13"/>
        <v>1.3940060311609985</v>
      </c>
      <c r="V12" s="19" t="str">
        <f t="shared" si="14"/>
        <v>SES</v>
      </c>
      <c r="W12" s="9" t="str">
        <f t="shared" si="15"/>
        <v>SES</v>
      </c>
    </row>
    <row r="13" spans="1:23" ht="15" x14ac:dyDescent="0.35">
      <c r="A13" s="58" t="s">
        <v>245</v>
      </c>
      <c r="B13" s="58" t="s">
        <v>172</v>
      </c>
      <c r="C13" s="58">
        <v>2356</v>
      </c>
      <c r="D13" s="59">
        <v>1054</v>
      </c>
      <c r="E13" s="59">
        <v>116</v>
      </c>
      <c r="F13" s="60" t="str">
        <f t="shared" si="0"/>
        <v>AX</v>
      </c>
      <c r="H13" s="61" t="s">
        <v>246</v>
      </c>
      <c r="I13" s="26">
        <f t="shared" si="1"/>
        <v>4</v>
      </c>
      <c r="J13" s="30">
        <f t="shared" si="2"/>
        <v>0.88807163415414136</v>
      </c>
      <c r="K13" s="30">
        <f t="shared" si="3"/>
        <v>0.74416373520946599</v>
      </c>
      <c r="L13" s="30">
        <f t="shared" si="4"/>
        <v>0.81386274384393986</v>
      </c>
      <c r="M13" s="30">
        <f t="shared" si="5"/>
        <v>1.1361949152542372</v>
      </c>
      <c r="N13" s="37">
        <f t="shared" si="6"/>
        <v>-0.6738087623920691</v>
      </c>
      <c r="O13" s="37">
        <f t="shared" si="7"/>
        <v>-0.3883914294851295</v>
      </c>
      <c r="P13" s="37">
        <f t="shared" si="8"/>
        <v>-0.30994589062999678</v>
      </c>
      <c r="Q13" s="37">
        <f t="shared" si="9"/>
        <v>0.5582400703549727</v>
      </c>
      <c r="R13" s="33">
        <f t="shared" si="10"/>
        <v>1.5618803965462105</v>
      </c>
      <c r="S13" s="33">
        <f t="shared" si="11"/>
        <v>1.1325551646945955</v>
      </c>
      <c r="T13" s="33">
        <f t="shared" si="12"/>
        <v>1.1238086344739366</v>
      </c>
      <c r="U13" s="33">
        <f t="shared" si="13"/>
        <v>1.69443498560921</v>
      </c>
      <c r="V13" s="19" t="str">
        <f t="shared" si="14"/>
        <v>SES</v>
      </c>
      <c r="W13" s="9" t="str">
        <f t="shared" si="15"/>
        <v>SES</v>
      </c>
    </row>
    <row r="14" spans="1:23" ht="15" x14ac:dyDescent="0.35">
      <c r="A14" s="58" t="s">
        <v>245</v>
      </c>
      <c r="B14" s="58" t="s">
        <v>176</v>
      </c>
      <c r="C14" s="58">
        <v>2356</v>
      </c>
      <c r="D14" s="59">
        <v>3105.5</v>
      </c>
      <c r="E14" s="59">
        <v>3105.5</v>
      </c>
      <c r="F14" s="60" t="str">
        <f t="shared" si="0"/>
        <v>AX</v>
      </c>
    </row>
    <row r="15" spans="1:23" ht="15" x14ac:dyDescent="0.35">
      <c r="A15" s="58" t="s">
        <v>245</v>
      </c>
      <c r="B15" s="58" t="s">
        <v>180</v>
      </c>
      <c r="C15" s="58">
        <v>2356</v>
      </c>
      <c r="D15" s="59">
        <v>2229.0639999999999</v>
      </c>
      <c r="E15" s="59">
        <v>2068.4767999999999</v>
      </c>
      <c r="F15" s="60" t="str">
        <f t="shared" si="0"/>
        <v>AX</v>
      </c>
      <c r="H15" s="19" t="s">
        <v>247</v>
      </c>
      <c r="I15" s="17">
        <f>SUM(I5:I13)</f>
        <v>150</v>
      </c>
      <c r="J15" s="62">
        <f>SUMIFS(BtAbsErr,BtMethod,"Naive")/SUMIFS(BtActual,BtMethod,"Naive")</f>
        <v>0.70415320993578512</v>
      </c>
      <c r="K15" s="62">
        <f>SUMIFS(BtAbsErr,BtMethod,"Moving average")/SUMIFS(BtActual,BtMethod,"Moving average")</f>
        <v>0.59950477433129712</v>
      </c>
      <c r="L15" s="62">
        <f>SUMIFS(BtAbsErr,BtMethod,"SES")/SUMIFS(BtActual,BtMethod,"SES")</f>
        <v>0.58890461527678173</v>
      </c>
      <c r="M15" s="62">
        <f>SUMIFS(BtAbsErr,BtMethod,"Holt-Winters")/SUMIFS(BtActual,BtMethod,"Holt-Winters")</f>
        <v>0.62435036771247288</v>
      </c>
      <c r="N15" s="63">
        <f>SUMIFS(BtErr,BtMethod,"Naive")/SUMIFS(BtActual,BtMethod,"Naive")</f>
        <v>-0.34303476015118267</v>
      </c>
      <c r="O15" s="63">
        <f>SUMIFS(BtErr,BtMethod,"Moving average")/SUMIFS(BtActual,BtMethod,"Moving average")</f>
        <v>-0.22563635285300668</v>
      </c>
      <c r="P15" s="63">
        <f>SUMIFS(BtErr,BtMethod,"SES")/SUMIFS(BtActual,BtMethod,"SES")</f>
        <v>-0.2216346037925068</v>
      </c>
      <c r="Q15" s="63">
        <f>SUMIFS(BtErr,BtMethod,"Holt-Winters")/SUMIFS(BtActual,BtMethod,"Holt-Winters")</f>
        <v>8.5234959912870487E-2</v>
      </c>
      <c r="R15" s="38">
        <f>J15+ABS(N15)</f>
        <v>1.0471879700869677</v>
      </c>
      <c r="S15" s="38">
        <f>K15+ABS(O15)</f>
        <v>0.82514112718430377</v>
      </c>
      <c r="T15" s="38">
        <f>L15+ABS(P15)</f>
        <v>0.8105392190692885</v>
      </c>
      <c r="U15" s="38">
        <f>M15+ABS(Q15)</f>
        <v>0.70958532762534332</v>
      </c>
    </row>
    <row r="16" spans="1:23" ht="15" x14ac:dyDescent="0.35">
      <c r="A16" s="58" t="s">
        <v>245</v>
      </c>
      <c r="B16" s="58" t="s">
        <v>182</v>
      </c>
      <c r="C16" s="58">
        <v>2356</v>
      </c>
      <c r="D16" s="59">
        <v>5195.5690999999997</v>
      </c>
      <c r="E16" s="59">
        <v>5195.5690999999997</v>
      </c>
      <c r="F16" s="60" t="str">
        <f t="shared" si="0"/>
        <v>AX</v>
      </c>
    </row>
    <row r="17" spans="1:8" ht="15" x14ac:dyDescent="0.35">
      <c r="A17" s="58" t="s">
        <v>248</v>
      </c>
      <c r="B17" s="58" t="s">
        <v>172</v>
      </c>
      <c r="C17" s="58">
        <v>13967</v>
      </c>
      <c r="D17" s="59">
        <v>6275</v>
      </c>
      <c r="E17" s="59">
        <v>-5375</v>
      </c>
      <c r="F17" s="60" t="str">
        <f t="shared" si="0"/>
        <v>AX</v>
      </c>
      <c r="H17" s="2" t="s">
        <v>249</v>
      </c>
    </row>
    <row r="18" spans="1:8" ht="15" x14ac:dyDescent="0.35">
      <c r="A18" s="58" t="s">
        <v>248</v>
      </c>
      <c r="B18" s="58" t="s">
        <v>176</v>
      </c>
      <c r="C18" s="58">
        <v>13967</v>
      </c>
      <c r="D18" s="59">
        <v>5967</v>
      </c>
      <c r="E18" s="59">
        <v>-2694.5</v>
      </c>
      <c r="F18" s="60" t="str">
        <f t="shared" si="0"/>
        <v>AX</v>
      </c>
    </row>
    <row r="19" spans="1:8" ht="15" x14ac:dyDescent="0.35">
      <c r="A19" s="58" t="s">
        <v>248</v>
      </c>
      <c r="B19" s="58" t="s">
        <v>180</v>
      </c>
      <c r="C19" s="58">
        <v>13967</v>
      </c>
      <c r="D19" s="59">
        <v>5967</v>
      </c>
      <c r="E19" s="59">
        <v>-2247.2408</v>
      </c>
      <c r="F19" s="60" t="str">
        <f t="shared" si="0"/>
        <v>AX</v>
      </c>
    </row>
    <row r="20" spans="1:8" ht="15" x14ac:dyDescent="0.35">
      <c r="A20" s="58" t="s">
        <v>248</v>
      </c>
      <c r="B20" s="58" t="s">
        <v>182</v>
      </c>
      <c r="C20" s="58">
        <v>13967</v>
      </c>
      <c r="D20" s="59">
        <v>6718.8416999999999</v>
      </c>
      <c r="E20" s="59">
        <v>623.85829999999999</v>
      </c>
      <c r="F20" s="60" t="str">
        <f t="shared" si="0"/>
        <v>AX</v>
      </c>
    </row>
    <row r="21" spans="1:8" ht="15" x14ac:dyDescent="0.35">
      <c r="A21" s="58" t="s">
        <v>250</v>
      </c>
      <c r="B21" s="58" t="s">
        <v>172</v>
      </c>
      <c r="C21" s="58">
        <v>10500</v>
      </c>
      <c r="D21" s="59">
        <v>7908</v>
      </c>
      <c r="E21" s="59">
        <v>-7908</v>
      </c>
      <c r="F21" s="60" t="str">
        <f t="shared" si="0"/>
        <v>AY</v>
      </c>
    </row>
    <row r="22" spans="1:8" ht="15" x14ac:dyDescent="0.35">
      <c r="A22" s="58" t="s">
        <v>250</v>
      </c>
      <c r="B22" s="58" t="s">
        <v>176</v>
      </c>
      <c r="C22" s="58">
        <v>10500</v>
      </c>
      <c r="D22" s="59">
        <v>3724</v>
      </c>
      <c r="E22" s="59">
        <v>1644</v>
      </c>
      <c r="F22" s="60" t="str">
        <f t="shared" si="0"/>
        <v>AY</v>
      </c>
    </row>
    <row r="23" spans="1:8" ht="15" x14ac:dyDescent="0.35">
      <c r="A23" s="58" t="s">
        <v>250</v>
      </c>
      <c r="B23" s="58" t="s">
        <v>180</v>
      </c>
      <c r="C23" s="58">
        <v>10500</v>
      </c>
      <c r="D23" s="59">
        <v>3072.5630000000001</v>
      </c>
      <c r="E23" s="59">
        <v>-476.62200000000001</v>
      </c>
      <c r="F23" s="60" t="str">
        <f t="shared" si="0"/>
        <v>AY</v>
      </c>
    </row>
    <row r="24" spans="1:8" ht="15" x14ac:dyDescent="0.35">
      <c r="A24" s="58" t="s">
        <v>250</v>
      </c>
      <c r="B24" s="58" t="s">
        <v>182</v>
      </c>
      <c r="C24" s="58">
        <v>10500</v>
      </c>
      <c r="D24" s="59">
        <v>7177.6539000000002</v>
      </c>
      <c r="E24" s="59">
        <v>7177.6539000000002</v>
      </c>
      <c r="F24" s="60" t="str">
        <f t="shared" si="0"/>
        <v>AY</v>
      </c>
    </row>
    <row r="25" spans="1:8" ht="15" x14ac:dyDescent="0.35">
      <c r="A25" s="58" t="s">
        <v>251</v>
      </c>
      <c r="B25" s="58" t="s">
        <v>172</v>
      </c>
      <c r="C25" s="58">
        <v>12113</v>
      </c>
      <c r="D25" s="59">
        <v>9821</v>
      </c>
      <c r="E25" s="59">
        <v>-9821</v>
      </c>
      <c r="F25" s="60" t="str">
        <f t="shared" si="0"/>
        <v>AZ</v>
      </c>
    </row>
    <row r="26" spans="1:8" ht="15" x14ac:dyDescent="0.35">
      <c r="A26" s="58" t="s">
        <v>251</v>
      </c>
      <c r="B26" s="58" t="s">
        <v>176</v>
      </c>
      <c r="C26" s="58">
        <v>12113</v>
      </c>
      <c r="D26" s="59">
        <v>10965.5</v>
      </c>
      <c r="E26" s="59">
        <v>-10965.5</v>
      </c>
      <c r="F26" s="60" t="str">
        <f t="shared" si="0"/>
        <v>AZ</v>
      </c>
    </row>
    <row r="27" spans="1:8" ht="15" x14ac:dyDescent="0.35">
      <c r="A27" s="58" t="s">
        <v>251</v>
      </c>
      <c r="B27" s="58" t="s">
        <v>180</v>
      </c>
      <c r="C27" s="58">
        <v>12113</v>
      </c>
      <c r="D27" s="59">
        <v>9918.6272000000008</v>
      </c>
      <c r="E27" s="59">
        <v>-9918.6272000000008</v>
      </c>
      <c r="F27" s="60" t="str">
        <f t="shared" si="0"/>
        <v>AZ</v>
      </c>
    </row>
    <row r="28" spans="1:8" ht="15" x14ac:dyDescent="0.35">
      <c r="A28" s="58" t="s">
        <v>251</v>
      </c>
      <c r="B28" s="58" t="s">
        <v>182</v>
      </c>
      <c r="C28" s="58">
        <v>12113</v>
      </c>
      <c r="D28" s="59">
        <v>4123.9498999999996</v>
      </c>
      <c r="E28" s="59">
        <v>-2293.8492999999999</v>
      </c>
      <c r="F28" s="60" t="str">
        <f t="shared" si="0"/>
        <v>AZ</v>
      </c>
    </row>
    <row r="29" spans="1:8" ht="15" x14ac:dyDescent="0.35">
      <c r="A29" s="58" t="s">
        <v>252</v>
      </c>
      <c r="B29" s="58" t="s">
        <v>172</v>
      </c>
      <c r="C29" s="58">
        <v>3258</v>
      </c>
      <c r="D29" s="59">
        <v>2206</v>
      </c>
      <c r="E29" s="59">
        <v>-738</v>
      </c>
      <c r="F29" s="60" t="str">
        <f t="shared" si="0"/>
        <v>AY</v>
      </c>
    </row>
    <row r="30" spans="1:8" ht="15" x14ac:dyDescent="0.35">
      <c r="A30" s="58" t="s">
        <v>252</v>
      </c>
      <c r="B30" s="58" t="s">
        <v>176</v>
      </c>
      <c r="C30" s="58">
        <v>3258</v>
      </c>
      <c r="D30" s="59">
        <v>2141</v>
      </c>
      <c r="E30" s="59">
        <v>-1128</v>
      </c>
      <c r="F30" s="60" t="str">
        <f t="shared" si="0"/>
        <v>AY</v>
      </c>
    </row>
    <row r="31" spans="1:8" ht="15" x14ac:dyDescent="0.35">
      <c r="A31" s="58" t="s">
        <v>252</v>
      </c>
      <c r="B31" s="58" t="s">
        <v>180</v>
      </c>
      <c r="C31" s="58">
        <v>3258</v>
      </c>
      <c r="D31" s="59">
        <v>2128.9281999999998</v>
      </c>
      <c r="E31" s="59">
        <v>-1391.5691999999999</v>
      </c>
      <c r="F31" s="60" t="str">
        <f t="shared" si="0"/>
        <v>AY</v>
      </c>
    </row>
    <row r="32" spans="1:8" ht="15" x14ac:dyDescent="0.35">
      <c r="A32" s="58" t="s">
        <v>252</v>
      </c>
      <c r="B32" s="58" t="s">
        <v>182</v>
      </c>
      <c r="C32" s="58">
        <v>3258</v>
      </c>
      <c r="D32" s="59">
        <v>2179.9636999999998</v>
      </c>
      <c r="E32" s="59">
        <v>985.8913</v>
      </c>
      <c r="F32" s="60" t="str">
        <f t="shared" si="0"/>
        <v>AY</v>
      </c>
    </row>
    <row r="33" spans="1:6" ht="15" x14ac:dyDescent="0.35">
      <c r="A33" s="58" t="s">
        <v>253</v>
      </c>
      <c r="B33" s="58" t="s">
        <v>172</v>
      </c>
      <c r="C33" s="58">
        <v>3</v>
      </c>
      <c r="D33" s="59">
        <v>57</v>
      </c>
      <c r="E33" s="59">
        <v>57</v>
      </c>
      <c r="F33" s="60" t="str">
        <f t="shared" si="0"/>
        <v>AZ</v>
      </c>
    </row>
    <row r="34" spans="1:6" ht="15" x14ac:dyDescent="0.35">
      <c r="A34" s="58" t="s">
        <v>253</v>
      </c>
      <c r="B34" s="58" t="s">
        <v>176</v>
      </c>
      <c r="C34" s="58">
        <v>3</v>
      </c>
      <c r="D34" s="59">
        <v>84</v>
      </c>
      <c r="E34" s="59">
        <v>84</v>
      </c>
      <c r="F34" s="60" t="str">
        <f t="shared" si="0"/>
        <v>AZ</v>
      </c>
    </row>
    <row r="35" spans="1:6" ht="15" x14ac:dyDescent="0.35">
      <c r="A35" s="58" t="s">
        <v>253</v>
      </c>
      <c r="B35" s="58" t="s">
        <v>180</v>
      </c>
      <c r="C35" s="58">
        <v>3</v>
      </c>
      <c r="D35" s="59">
        <v>70.697999999999993</v>
      </c>
      <c r="E35" s="59">
        <v>70.697999999999993</v>
      </c>
      <c r="F35" s="60" t="str">
        <f t="shared" si="0"/>
        <v>AZ</v>
      </c>
    </row>
    <row r="36" spans="1:6" ht="15" x14ac:dyDescent="0.35">
      <c r="A36" s="58" t="s">
        <v>253</v>
      </c>
      <c r="B36" s="58" t="s">
        <v>182</v>
      </c>
      <c r="C36" s="58">
        <v>3</v>
      </c>
      <c r="D36" s="59">
        <v>127.3327</v>
      </c>
      <c r="E36" s="59">
        <v>127.3327</v>
      </c>
      <c r="F36" s="60" t="str">
        <f t="shared" si="0"/>
        <v>AZ</v>
      </c>
    </row>
    <row r="37" spans="1:6" ht="15" x14ac:dyDescent="0.35">
      <c r="A37" s="58" t="s">
        <v>254</v>
      </c>
      <c r="B37" s="58" t="s">
        <v>172</v>
      </c>
      <c r="C37" s="58">
        <v>19866</v>
      </c>
      <c r="D37" s="59">
        <v>11058</v>
      </c>
      <c r="E37" s="59">
        <v>-8418</v>
      </c>
      <c r="F37" s="60" t="str">
        <f t="shared" si="0"/>
        <v>AY</v>
      </c>
    </row>
    <row r="38" spans="1:6" ht="15" x14ac:dyDescent="0.35">
      <c r="A38" s="58" t="s">
        <v>254</v>
      </c>
      <c r="B38" s="58" t="s">
        <v>176</v>
      </c>
      <c r="C38" s="58">
        <v>19866</v>
      </c>
      <c r="D38" s="59">
        <v>11114</v>
      </c>
      <c r="E38" s="59">
        <v>-8754</v>
      </c>
      <c r="F38" s="60" t="str">
        <f t="shared" si="0"/>
        <v>AY</v>
      </c>
    </row>
    <row r="39" spans="1:6" ht="15" x14ac:dyDescent="0.35">
      <c r="A39" s="58" t="s">
        <v>254</v>
      </c>
      <c r="B39" s="58" t="s">
        <v>180</v>
      </c>
      <c r="C39" s="58">
        <v>19866</v>
      </c>
      <c r="D39" s="59">
        <v>11143.715200000001</v>
      </c>
      <c r="E39" s="59">
        <v>-8932.2911999999997</v>
      </c>
      <c r="F39" s="60" t="str">
        <f t="shared" si="0"/>
        <v>AY</v>
      </c>
    </row>
    <row r="40" spans="1:6" ht="15" x14ac:dyDescent="0.35">
      <c r="A40" s="58" t="s">
        <v>254</v>
      </c>
      <c r="B40" s="58" t="s">
        <v>182</v>
      </c>
      <c r="C40" s="58">
        <v>19866</v>
      </c>
      <c r="D40" s="59">
        <v>9411.9969999999994</v>
      </c>
      <c r="E40" s="59">
        <v>1998.6130000000001</v>
      </c>
      <c r="F40" s="60" t="str">
        <f t="shared" si="0"/>
        <v>AY</v>
      </c>
    </row>
    <row r="41" spans="1:6" ht="15" x14ac:dyDescent="0.35">
      <c r="A41" s="58" t="s">
        <v>255</v>
      </c>
      <c r="B41" s="58" t="s">
        <v>172</v>
      </c>
      <c r="C41" s="58">
        <v>6961</v>
      </c>
      <c r="D41" s="59">
        <v>4007</v>
      </c>
      <c r="E41" s="59">
        <v>-3985</v>
      </c>
      <c r="F41" s="60" t="str">
        <f t="shared" si="0"/>
        <v>AX</v>
      </c>
    </row>
    <row r="42" spans="1:6" ht="15" x14ac:dyDescent="0.35">
      <c r="A42" s="58" t="s">
        <v>255</v>
      </c>
      <c r="B42" s="58" t="s">
        <v>176</v>
      </c>
      <c r="C42" s="58">
        <v>6961</v>
      </c>
      <c r="D42" s="59">
        <v>3014.25</v>
      </c>
      <c r="E42" s="59">
        <v>-1844.5</v>
      </c>
      <c r="F42" s="60" t="str">
        <f t="shared" si="0"/>
        <v>AX</v>
      </c>
    </row>
    <row r="43" spans="1:6" ht="15" x14ac:dyDescent="0.35">
      <c r="A43" s="58" t="s">
        <v>255</v>
      </c>
      <c r="B43" s="58" t="s">
        <v>180</v>
      </c>
      <c r="C43" s="58">
        <v>6961</v>
      </c>
      <c r="D43" s="59">
        <v>2986.8128000000002</v>
      </c>
      <c r="E43" s="59">
        <v>-1679.8768</v>
      </c>
      <c r="F43" s="60" t="str">
        <f t="shared" si="0"/>
        <v>AX</v>
      </c>
    </row>
    <row r="44" spans="1:6" ht="15" x14ac:dyDescent="0.35">
      <c r="A44" s="58" t="s">
        <v>255</v>
      </c>
      <c r="B44" s="58" t="s">
        <v>182</v>
      </c>
      <c r="C44" s="58">
        <v>6961</v>
      </c>
      <c r="D44" s="59">
        <v>2892.154</v>
      </c>
      <c r="E44" s="59">
        <v>-1898.2560000000001</v>
      </c>
      <c r="F44" s="60" t="str">
        <f t="shared" si="0"/>
        <v>AX</v>
      </c>
    </row>
    <row r="45" spans="1:6" ht="15" x14ac:dyDescent="0.35">
      <c r="A45" s="58" t="s">
        <v>256</v>
      </c>
      <c r="B45" s="58" t="s">
        <v>172</v>
      </c>
      <c r="C45" s="58">
        <v>3280</v>
      </c>
      <c r="D45" s="59">
        <v>2068</v>
      </c>
      <c r="E45" s="59">
        <v>-1168</v>
      </c>
      <c r="F45" s="60" t="str">
        <f t="shared" si="0"/>
        <v>AY</v>
      </c>
    </row>
    <row r="46" spans="1:6" ht="15" x14ac:dyDescent="0.35">
      <c r="A46" s="58" t="s">
        <v>256</v>
      </c>
      <c r="B46" s="58" t="s">
        <v>176</v>
      </c>
      <c r="C46" s="58">
        <v>3280</v>
      </c>
      <c r="D46" s="59">
        <v>2268</v>
      </c>
      <c r="E46" s="59">
        <v>-1768</v>
      </c>
      <c r="F46" s="60" t="str">
        <f t="shared" si="0"/>
        <v>AY</v>
      </c>
    </row>
    <row r="47" spans="1:6" ht="15" x14ac:dyDescent="0.35">
      <c r="A47" s="58" t="s">
        <v>256</v>
      </c>
      <c r="B47" s="58" t="s">
        <v>180</v>
      </c>
      <c r="C47" s="58">
        <v>3280</v>
      </c>
      <c r="D47" s="59">
        <v>2203.8824</v>
      </c>
      <c r="E47" s="59">
        <v>-1575.6472000000001</v>
      </c>
      <c r="F47" s="60" t="str">
        <f t="shared" si="0"/>
        <v>AY</v>
      </c>
    </row>
    <row r="48" spans="1:6" ht="15" x14ac:dyDescent="0.35">
      <c r="A48" s="58" t="s">
        <v>256</v>
      </c>
      <c r="B48" s="58" t="s">
        <v>182</v>
      </c>
      <c r="C48" s="58">
        <v>3280</v>
      </c>
      <c r="D48" s="59">
        <v>1984.7539999999999</v>
      </c>
      <c r="E48" s="59">
        <v>745.17439999999999</v>
      </c>
      <c r="F48" s="60" t="str">
        <f t="shared" si="0"/>
        <v>AY</v>
      </c>
    </row>
    <row r="49" spans="1:6" ht="15" x14ac:dyDescent="0.35">
      <c r="A49" s="58" t="s">
        <v>257</v>
      </c>
      <c r="B49" s="58" t="s">
        <v>172</v>
      </c>
      <c r="C49" s="58">
        <v>4396</v>
      </c>
      <c r="D49" s="59">
        <v>2020</v>
      </c>
      <c r="E49" s="59">
        <v>-2020</v>
      </c>
      <c r="F49" s="60" t="str">
        <f t="shared" si="0"/>
        <v>AX</v>
      </c>
    </row>
    <row r="50" spans="1:6" ht="15" x14ac:dyDescent="0.35">
      <c r="A50" s="58" t="s">
        <v>257</v>
      </c>
      <c r="B50" s="58" t="s">
        <v>176</v>
      </c>
      <c r="C50" s="58">
        <v>4396</v>
      </c>
      <c r="D50" s="59">
        <v>1321</v>
      </c>
      <c r="E50" s="59">
        <v>698</v>
      </c>
      <c r="F50" s="60" t="str">
        <f t="shared" si="0"/>
        <v>AX</v>
      </c>
    </row>
    <row r="51" spans="1:6" ht="15" x14ac:dyDescent="0.35">
      <c r="A51" s="58" t="s">
        <v>257</v>
      </c>
      <c r="B51" s="58" t="s">
        <v>180</v>
      </c>
      <c r="C51" s="58">
        <v>4396</v>
      </c>
      <c r="D51" s="59">
        <v>1235.3240000000001</v>
      </c>
      <c r="E51" s="59">
        <v>455.97199999999998</v>
      </c>
      <c r="F51" s="60" t="str">
        <f t="shared" si="0"/>
        <v>AX</v>
      </c>
    </row>
    <row r="52" spans="1:6" ht="15" x14ac:dyDescent="0.35">
      <c r="A52" s="58" t="s">
        <v>257</v>
      </c>
      <c r="B52" s="58" t="s">
        <v>182</v>
      </c>
      <c r="C52" s="58">
        <v>4396</v>
      </c>
      <c r="D52" s="59">
        <v>1275.9205999999999</v>
      </c>
      <c r="E52" s="59">
        <v>-724.5566</v>
      </c>
      <c r="F52" s="60" t="str">
        <f t="shared" si="0"/>
        <v>AX</v>
      </c>
    </row>
    <row r="53" spans="1:6" ht="15" x14ac:dyDescent="0.35">
      <c r="A53" s="58" t="s">
        <v>258</v>
      </c>
      <c r="B53" s="58" t="s">
        <v>172</v>
      </c>
      <c r="C53" s="58">
        <v>776</v>
      </c>
      <c r="D53" s="59">
        <v>3664</v>
      </c>
      <c r="E53" s="59">
        <v>3664</v>
      </c>
      <c r="F53" s="60" t="str">
        <f t="shared" si="0"/>
        <v>AZ</v>
      </c>
    </row>
    <row r="54" spans="1:6" ht="15" x14ac:dyDescent="0.35">
      <c r="A54" s="58" t="s">
        <v>258</v>
      </c>
      <c r="B54" s="58" t="s">
        <v>176</v>
      </c>
      <c r="C54" s="58">
        <v>776</v>
      </c>
      <c r="D54" s="59">
        <v>897</v>
      </c>
      <c r="E54" s="59">
        <v>824.5</v>
      </c>
      <c r="F54" s="60" t="str">
        <f t="shared" si="0"/>
        <v>AZ</v>
      </c>
    </row>
    <row r="55" spans="1:6" ht="15" x14ac:dyDescent="0.35">
      <c r="A55" s="58" t="s">
        <v>258</v>
      </c>
      <c r="B55" s="58" t="s">
        <v>180</v>
      </c>
      <c r="C55" s="58">
        <v>776</v>
      </c>
      <c r="D55" s="59">
        <v>801.83600000000001</v>
      </c>
      <c r="E55" s="59">
        <v>681.75400000000002</v>
      </c>
      <c r="F55" s="60" t="str">
        <f t="shared" si="0"/>
        <v>AZ</v>
      </c>
    </row>
    <row r="56" spans="1:6" ht="15" x14ac:dyDescent="0.35">
      <c r="A56" s="58" t="s">
        <v>258</v>
      </c>
      <c r="B56" s="58" t="s">
        <v>182</v>
      </c>
      <c r="C56" s="58">
        <v>776</v>
      </c>
      <c r="D56" s="59">
        <v>1583.6063999999999</v>
      </c>
      <c r="E56" s="59">
        <v>1583.6063999999999</v>
      </c>
      <c r="F56" s="60" t="str">
        <f t="shared" si="0"/>
        <v>AZ</v>
      </c>
    </row>
    <row r="57" spans="1:6" ht="15" x14ac:dyDescent="0.35">
      <c r="A57" s="58" t="s">
        <v>259</v>
      </c>
      <c r="B57" s="58" t="s">
        <v>172</v>
      </c>
      <c r="C57" s="58">
        <v>3589</v>
      </c>
      <c r="D57" s="59">
        <v>2277</v>
      </c>
      <c r="E57" s="59">
        <v>-253</v>
      </c>
      <c r="F57" s="60" t="str">
        <f t="shared" si="0"/>
        <v>AY</v>
      </c>
    </row>
    <row r="58" spans="1:6" ht="15" x14ac:dyDescent="0.35">
      <c r="A58" s="58" t="s">
        <v>259</v>
      </c>
      <c r="B58" s="58" t="s">
        <v>176</v>
      </c>
      <c r="C58" s="58">
        <v>3589</v>
      </c>
      <c r="D58" s="59">
        <v>2725.75</v>
      </c>
      <c r="E58" s="59">
        <v>816.5</v>
      </c>
      <c r="F58" s="60" t="str">
        <f t="shared" si="0"/>
        <v>AY</v>
      </c>
    </row>
    <row r="59" spans="1:6" ht="15" x14ac:dyDescent="0.35">
      <c r="A59" s="58" t="s">
        <v>259</v>
      </c>
      <c r="B59" s="58" t="s">
        <v>180</v>
      </c>
      <c r="C59" s="58">
        <v>3589</v>
      </c>
      <c r="D59" s="59">
        <v>2707.3786</v>
      </c>
      <c r="E59" s="59">
        <v>779.75720000000001</v>
      </c>
      <c r="F59" s="60" t="str">
        <f t="shared" si="0"/>
        <v>AY</v>
      </c>
    </row>
    <row r="60" spans="1:6" ht="15" x14ac:dyDescent="0.35">
      <c r="A60" s="58" t="s">
        <v>259</v>
      </c>
      <c r="B60" s="58" t="s">
        <v>182</v>
      </c>
      <c r="C60" s="58">
        <v>3589</v>
      </c>
      <c r="D60" s="59">
        <v>2488.2087000000001</v>
      </c>
      <c r="E60" s="59">
        <v>207.0703</v>
      </c>
      <c r="F60" s="60" t="str">
        <f t="shared" si="0"/>
        <v>AY</v>
      </c>
    </row>
    <row r="61" spans="1:6" ht="15" x14ac:dyDescent="0.35">
      <c r="A61" s="58" t="s">
        <v>260</v>
      </c>
      <c r="B61" s="58" t="s">
        <v>172</v>
      </c>
      <c r="C61" s="58">
        <v>4760</v>
      </c>
      <c r="D61" s="59">
        <v>3326</v>
      </c>
      <c r="E61" s="59">
        <v>-3200</v>
      </c>
      <c r="F61" s="60" t="str">
        <f t="shared" si="0"/>
        <v>AY</v>
      </c>
    </row>
    <row r="62" spans="1:6" ht="15" x14ac:dyDescent="0.35">
      <c r="A62" s="58" t="s">
        <v>260</v>
      </c>
      <c r="B62" s="58" t="s">
        <v>176</v>
      </c>
      <c r="C62" s="58">
        <v>4760</v>
      </c>
      <c r="D62" s="59">
        <v>2922</v>
      </c>
      <c r="E62" s="59">
        <v>-2663</v>
      </c>
      <c r="F62" s="60" t="str">
        <f t="shared" si="0"/>
        <v>AY</v>
      </c>
    </row>
    <row r="63" spans="1:6" ht="15" x14ac:dyDescent="0.35">
      <c r="A63" s="58" t="s">
        <v>260</v>
      </c>
      <c r="B63" s="58" t="s">
        <v>180</v>
      </c>
      <c r="C63" s="58">
        <v>4760</v>
      </c>
      <c r="D63" s="59">
        <v>2921.3896</v>
      </c>
      <c r="E63" s="59">
        <v>-2662.0844000000002</v>
      </c>
      <c r="F63" s="60" t="str">
        <f t="shared" si="0"/>
        <v>AY</v>
      </c>
    </row>
    <row r="64" spans="1:6" ht="15" x14ac:dyDescent="0.35">
      <c r="A64" s="58" t="s">
        <v>260</v>
      </c>
      <c r="B64" s="58" t="s">
        <v>182</v>
      </c>
      <c r="C64" s="58">
        <v>4760</v>
      </c>
      <c r="D64" s="59">
        <v>2737.4250999999999</v>
      </c>
      <c r="E64" s="59">
        <v>-2442.1374999999998</v>
      </c>
      <c r="F64" s="60" t="str">
        <f t="shared" si="0"/>
        <v>AY</v>
      </c>
    </row>
    <row r="65" spans="1:6" ht="15" x14ac:dyDescent="0.35">
      <c r="A65" s="58" t="s">
        <v>261</v>
      </c>
      <c r="B65" s="58" t="s">
        <v>172</v>
      </c>
      <c r="C65" s="58">
        <v>5529</v>
      </c>
      <c r="D65" s="59">
        <v>3871</v>
      </c>
      <c r="E65" s="59">
        <v>387</v>
      </c>
      <c r="F65" s="60" t="str">
        <f t="shared" si="0"/>
        <v>AX</v>
      </c>
    </row>
    <row r="66" spans="1:6" ht="15" x14ac:dyDescent="0.35">
      <c r="A66" s="58" t="s">
        <v>261</v>
      </c>
      <c r="B66" s="58" t="s">
        <v>176</v>
      </c>
      <c r="C66" s="58">
        <v>5529</v>
      </c>
      <c r="D66" s="59">
        <v>3255</v>
      </c>
      <c r="E66" s="59">
        <v>-669</v>
      </c>
      <c r="F66" s="60" t="str">
        <f t="shared" si="0"/>
        <v>AX</v>
      </c>
    </row>
    <row r="67" spans="1:6" ht="15" x14ac:dyDescent="0.35">
      <c r="A67" s="58" t="s">
        <v>261</v>
      </c>
      <c r="B67" s="58" t="s">
        <v>180</v>
      </c>
      <c r="C67" s="58">
        <v>5529</v>
      </c>
      <c r="D67" s="59">
        <v>3452.6039999999998</v>
      </c>
      <c r="E67" s="59">
        <v>-273.79199999999997</v>
      </c>
      <c r="F67" s="60" t="str">
        <f t="shared" si="0"/>
        <v>AX</v>
      </c>
    </row>
    <row r="68" spans="1:6" ht="15" x14ac:dyDescent="0.35">
      <c r="A68" s="58" t="s">
        <v>261</v>
      </c>
      <c r="B68" s="58" t="s">
        <v>182</v>
      </c>
      <c r="C68" s="58">
        <v>5529</v>
      </c>
      <c r="D68" s="59">
        <v>5772.6877000000004</v>
      </c>
      <c r="E68" s="59">
        <v>3632.6983</v>
      </c>
      <c r="F68" s="60" t="str">
        <f t="shared" si="0"/>
        <v>AX</v>
      </c>
    </row>
    <row r="69" spans="1:6" ht="15" x14ac:dyDescent="0.35">
      <c r="A69" s="58" t="s">
        <v>262</v>
      </c>
      <c r="B69" s="58" t="s">
        <v>172</v>
      </c>
      <c r="C69" s="58">
        <v>3219</v>
      </c>
      <c r="D69" s="59">
        <v>1011</v>
      </c>
      <c r="E69" s="59">
        <v>525</v>
      </c>
      <c r="F69" s="60" t="str">
        <f t="shared" ref="F69:F132" si="16">_xlfn.XLOOKUP(A69,ClsCode,ClsClass)</f>
        <v>AX</v>
      </c>
    </row>
    <row r="70" spans="1:6" ht="15" x14ac:dyDescent="0.35">
      <c r="A70" s="58" t="s">
        <v>262</v>
      </c>
      <c r="B70" s="58" t="s">
        <v>176</v>
      </c>
      <c r="C70" s="58">
        <v>3219</v>
      </c>
      <c r="D70" s="59">
        <v>1003.5</v>
      </c>
      <c r="E70" s="59">
        <v>510</v>
      </c>
      <c r="F70" s="60" t="str">
        <f t="shared" si="16"/>
        <v>AX</v>
      </c>
    </row>
    <row r="71" spans="1:6" ht="15" x14ac:dyDescent="0.35">
      <c r="A71" s="58" t="s">
        <v>262</v>
      </c>
      <c r="B71" s="58" t="s">
        <v>180</v>
      </c>
      <c r="C71" s="58">
        <v>3219</v>
      </c>
      <c r="D71" s="59">
        <v>894.41160000000002</v>
      </c>
      <c r="E71" s="59">
        <v>291.82319999999999</v>
      </c>
      <c r="F71" s="60" t="str">
        <f t="shared" si="16"/>
        <v>AX</v>
      </c>
    </row>
    <row r="72" spans="1:6" ht="15" x14ac:dyDescent="0.35">
      <c r="A72" s="58" t="s">
        <v>262</v>
      </c>
      <c r="B72" s="58" t="s">
        <v>182</v>
      </c>
      <c r="C72" s="58">
        <v>3219</v>
      </c>
      <c r="D72" s="59">
        <v>774.1318</v>
      </c>
      <c r="E72" s="59">
        <v>-38.5396</v>
      </c>
      <c r="F72" s="60" t="str">
        <f t="shared" si="16"/>
        <v>AX</v>
      </c>
    </row>
    <row r="73" spans="1:6" ht="15" x14ac:dyDescent="0.35">
      <c r="A73" s="58" t="s">
        <v>263</v>
      </c>
      <c r="B73" s="58" t="s">
        <v>172</v>
      </c>
      <c r="C73" s="58">
        <v>2807</v>
      </c>
      <c r="D73" s="59">
        <v>2087</v>
      </c>
      <c r="E73" s="59">
        <v>-2087</v>
      </c>
      <c r="F73" s="60" t="str">
        <f t="shared" si="16"/>
        <v>AZ</v>
      </c>
    </row>
    <row r="74" spans="1:6" ht="15" x14ac:dyDescent="0.35">
      <c r="A74" s="58" t="s">
        <v>263</v>
      </c>
      <c r="B74" s="58" t="s">
        <v>176</v>
      </c>
      <c r="C74" s="58">
        <v>2807</v>
      </c>
      <c r="D74" s="59">
        <v>2087</v>
      </c>
      <c r="E74" s="59">
        <v>-2087</v>
      </c>
      <c r="F74" s="60" t="str">
        <f t="shared" si="16"/>
        <v>AZ</v>
      </c>
    </row>
    <row r="75" spans="1:6" ht="15" x14ac:dyDescent="0.35">
      <c r="A75" s="58" t="s">
        <v>263</v>
      </c>
      <c r="B75" s="58" t="s">
        <v>180</v>
      </c>
      <c r="C75" s="58">
        <v>2807</v>
      </c>
      <c r="D75" s="59">
        <v>2047.8548000000001</v>
      </c>
      <c r="E75" s="59">
        <v>-2047.8548000000001</v>
      </c>
      <c r="F75" s="60" t="str">
        <f t="shared" si="16"/>
        <v>AZ</v>
      </c>
    </row>
    <row r="76" spans="1:6" ht="15" x14ac:dyDescent="0.35">
      <c r="A76" s="58" t="s">
        <v>263</v>
      </c>
      <c r="B76" s="58" t="s">
        <v>182</v>
      </c>
      <c r="C76" s="58">
        <v>2807</v>
      </c>
      <c r="D76" s="59">
        <v>1075.2846999999999</v>
      </c>
      <c r="E76" s="59">
        <v>-56.041499999999999</v>
      </c>
      <c r="F76" s="60" t="str">
        <f t="shared" si="16"/>
        <v>AZ</v>
      </c>
    </row>
    <row r="77" spans="1:6" ht="15" x14ac:dyDescent="0.35">
      <c r="A77" s="58" t="s">
        <v>264</v>
      </c>
      <c r="B77" s="58" t="s">
        <v>172</v>
      </c>
      <c r="C77" s="58">
        <v>3402</v>
      </c>
      <c r="D77" s="59">
        <v>2850</v>
      </c>
      <c r="E77" s="59">
        <v>-2850</v>
      </c>
      <c r="F77" s="60" t="str">
        <f t="shared" si="16"/>
        <v>AZ</v>
      </c>
    </row>
    <row r="78" spans="1:6" ht="15" x14ac:dyDescent="0.35">
      <c r="A78" s="58" t="s">
        <v>264</v>
      </c>
      <c r="B78" s="58" t="s">
        <v>176</v>
      </c>
      <c r="C78" s="58">
        <v>3402</v>
      </c>
      <c r="D78" s="59">
        <v>3222</v>
      </c>
      <c r="E78" s="59">
        <v>-3222</v>
      </c>
      <c r="F78" s="60" t="str">
        <f t="shared" si="16"/>
        <v>AZ</v>
      </c>
    </row>
    <row r="79" spans="1:6" ht="15" x14ac:dyDescent="0.35">
      <c r="A79" s="58" t="s">
        <v>264</v>
      </c>
      <c r="B79" s="58" t="s">
        <v>180</v>
      </c>
      <c r="C79" s="58">
        <v>3402</v>
      </c>
      <c r="D79" s="59">
        <v>2822.9279999999999</v>
      </c>
      <c r="E79" s="59">
        <v>-2822.9279999999999</v>
      </c>
      <c r="F79" s="60" t="str">
        <f t="shared" si="16"/>
        <v>AZ</v>
      </c>
    </row>
    <row r="80" spans="1:6" ht="15" x14ac:dyDescent="0.35">
      <c r="A80" s="58" t="s">
        <v>264</v>
      </c>
      <c r="B80" s="58" t="s">
        <v>182</v>
      </c>
      <c r="C80" s="58">
        <v>3402</v>
      </c>
      <c r="D80" s="59">
        <v>1203.3852999999999</v>
      </c>
      <c r="E80" s="59">
        <v>-972.99289999999996</v>
      </c>
      <c r="F80" s="60" t="str">
        <f t="shared" si="16"/>
        <v>AZ</v>
      </c>
    </row>
    <row r="81" spans="1:6" ht="15" x14ac:dyDescent="0.35">
      <c r="A81" s="58" t="s">
        <v>265</v>
      </c>
      <c r="B81" s="58" t="s">
        <v>172</v>
      </c>
      <c r="C81" s="58">
        <v>2581</v>
      </c>
      <c r="D81" s="59">
        <v>1837</v>
      </c>
      <c r="E81" s="59">
        <v>-1837</v>
      </c>
      <c r="F81" s="60" t="str">
        <f t="shared" si="16"/>
        <v>AZ</v>
      </c>
    </row>
    <row r="82" spans="1:6" ht="15" x14ac:dyDescent="0.35">
      <c r="A82" s="58" t="s">
        <v>265</v>
      </c>
      <c r="B82" s="58" t="s">
        <v>176</v>
      </c>
      <c r="C82" s="58">
        <v>2581</v>
      </c>
      <c r="D82" s="59">
        <v>1553</v>
      </c>
      <c r="E82" s="59">
        <v>-1471</v>
      </c>
      <c r="F82" s="60" t="str">
        <f t="shared" si="16"/>
        <v>AZ</v>
      </c>
    </row>
    <row r="83" spans="1:6" ht="15" x14ac:dyDescent="0.35">
      <c r="A83" s="58" t="s">
        <v>265</v>
      </c>
      <c r="B83" s="58" t="s">
        <v>180</v>
      </c>
      <c r="C83" s="58">
        <v>2581</v>
      </c>
      <c r="D83" s="59">
        <v>1510.3671999999999</v>
      </c>
      <c r="E83" s="59">
        <v>-1387.7344000000001</v>
      </c>
      <c r="F83" s="60" t="str">
        <f t="shared" si="16"/>
        <v>AZ</v>
      </c>
    </row>
    <row r="84" spans="1:6" ht="15" x14ac:dyDescent="0.35">
      <c r="A84" s="58" t="s">
        <v>265</v>
      </c>
      <c r="B84" s="58" t="s">
        <v>182</v>
      </c>
      <c r="C84" s="58">
        <v>2581</v>
      </c>
      <c r="D84" s="59">
        <v>1691.0084999999999</v>
      </c>
      <c r="E84" s="59">
        <v>-96.431700000000006</v>
      </c>
      <c r="F84" s="60" t="str">
        <f t="shared" si="16"/>
        <v>AZ</v>
      </c>
    </row>
    <row r="85" spans="1:6" ht="15" x14ac:dyDescent="0.35">
      <c r="A85" s="58" t="s">
        <v>266</v>
      </c>
      <c r="B85" s="58" t="s">
        <v>172</v>
      </c>
      <c r="C85" s="58">
        <v>3474</v>
      </c>
      <c r="D85" s="59">
        <v>2032</v>
      </c>
      <c r="E85" s="59">
        <v>-1626</v>
      </c>
      <c r="F85" s="60" t="str">
        <f t="shared" si="16"/>
        <v>AX</v>
      </c>
    </row>
    <row r="86" spans="1:6" ht="15" x14ac:dyDescent="0.35">
      <c r="A86" s="58" t="s">
        <v>266</v>
      </c>
      <c r="B86" s="58" t="s">
        <v>176</v>
      </c>
      <c r="C86" s="58">
        <v>3474</v>
      </c>
      <c r="D86" s="59">
        <v>1645.25</v>
      </c>
      <c r="E86" s="59">
        <v>-469.5</v>
      </c>
      <c r="F86" s="60" t="str">
        <f t="shared" si="16"/>
        <v>AX</v>
      </c>
    </row>
    <row r="87" spans="1:6" ht="15" x14ac:dyDescent="0.35">
      <c r="A87" s="58" t="s">
        <v>266</v>
      </c>
      <c r="B87" s="58" t="s">
        <v>180</v>
      </c>
      <c r="C87" s="58">
        <v>3474</v>
      </c>
      <c r="D87" s="59">
        <v>1643.2547999999999</v>
      </c>
      <c r="E87" s="59">
        <v>-457.52879999999999</v>
      </c>
      <c r="F87" s="60" t="str">
        <f t="shared" si="16"/>
        <v>AX</v>
      </c>
    </row>
    <row r="88" spans="1:6" ht="15" x14ac:dyDescent="0.35">
      <c r="A88" s="58" t="s">
        <v>266</v>
      </c>
      <c r="B88" s="58" t="s">
        <v>182</v>
      </c>
      <c r="C88" s="58">
        <v>3474</v>
      </c>
      <c r="D88" s="59">
        <v>1753.0894000000001</v>
      </c>
      <c r="E88" s="59">
        <v>-175.7576</v>
      </c>
      <c r="F88" s="60" t="str">
        <f t="shared" si="16"/>
        <v>AX</v>
      </c>
    </row>
    <row r="89" spans="1:6" ht="15" x14ac:dyDescent="0.35">
      <c r="A89" s="58" t="s">
        <v>267</v>
      </c>
      <c r="B89" s="58" t="s">
        <v>172</v>
      </c>
      <c r="C89" s="58">
        <v>4225</v>
      </c>
      <c r="D89" s="59">
        <v>1465</v>
      </c>
      <c r="E89" s="59">
        <v>-1093</v>
      </c>
      <c r="F89" s="60" t="str">
        <f t="shared" si="16"/>
        <v>AX</v>
      </c>
    </row>
    <row r="90" spans="1:6" ht="15" x14ac:dyDescent="0.35">
      <c r="A90" s="58" t="s">
        <v>267</v>
      </c>
      <c r="B90" s="58" t="s">
        <v>176</v>
      </c>
      <c r="C90" s="58">
        <v>4225</v>
      </c>
      <c r="D90" s="59">
        <v>1331</v>
      </c>
      <c r="E90" s="59">
        <v>-601</v>
      </c>
      <c r="F90" s="60" t="str">
        <f t="shared" si="16"/>
        <v>AX</v>
      </c>
    </row>
    <row r="91" spans="1:6" ht="15" x14ac:dyDescent="0.35">
      <c r="A91" s="58" t="s">
        <v>267</v>
      </c>
      <c r="B91" s="58" t="s">
        <v>180</v>
      </c>
      <c r="C91" s="58">
        <v>4225</v>
      </c>
      <c r="D91" s="59">
        <v>1331</v>
      </c>
      <c r="E91" s="59">
        <v>-535.50160000000005</v>
      </c>
      <c r="F91" s="60" t="str">
        <f t="shared" si="16"/>
        <v>AX</v>
      </c>
    </row>
    <row r="92" spans="1:6" ht="15" x14ac:dyDescent="0.35">
      <c r="A92" s="58" t="s">
        <v>267</v>
      </c>
      <c r="B92" s="58" t="s">
        <v>182</v>
      </c>
      <c r="C92" s="58">
        <v>4225</v>
      </c>
      <c r="D92" s="59">
        <v>1311.4774</v>
      </c>
      <c r="E92" s="59">
        <v>999.32719999999995</v>
      </c>
      <c r="F92" s="60" t="str">
        <f t="shared" si="16"/>
        <v>AX</v>
      </c>
    </row>
    <row r="93" spans="1:6" ht="15" x14ac:dyDescent="0.35">
      <c r="A93" s="58" t="s">
        <v>268</v>
      </c>
      <c r="B93" s="58" t="s">
        <v>172</v>
      </c>
      <c r="C93" s="58">
        <v>577</v>
      </c>
      <c r="D93" s="59">
        <v>321</v>
      </c>
      <c r="E93" s="59">
        <v>-157</v>
      </c>
      <c r="F93" s="60" t="str">
        <f t="shared" si="16"/>
        <v>AZ</v>
      </c>
    </row>
    <row r="94" spans="1:6" ht="15" x14ac:dyDescent="0.35">
      <c r="A94" s="58" t="s">
        <v>268</v>
      </c>
      <c r="B94" s="58" t="s">
        <v>176</v>
      </c>
      <c r="C94" s="58">
        <v>577</v>
      </c>
      <c r="D94" s="59">
        <v>315</v>
      </c>
      <c r="E94" s="59">
        <v>-28</v>
      </c>
      <c r="F94" s="60" t="str">
        <f t="shared" si="16"/>
        <v>AZ</v>
      </c>
    </row>
    <row r="95" spans="1:6" ht="15" x14ac:dyDescent="0.35">
      <c r="A95" s="58" t="s">
        <v>268</v>
      </c>
      <c r="B95" s="58" t="s">
        <v>180</v>
      </c>
      <c r="C95" s="58">
        <v>577</v>
      </c>
      <c r="D95" s="59">
        <v>532.38340000000005</v>
      </c>
      <c r="E95" s="59">
        <v>473.76679999999999</v>
      </c>
      <c r="F95" s="60" t="str">
        <f t="shared" si="16"/>
        <v>AZ</v>
      </c>
    </row>
    <row r="96" spans="1:6" ht="15" x14ac:dyDescent="0.35">
      <c r="A96" s="58" t="s">
        <v>268</v>
      </c>
      <c r="B96" s="58" t="s">
        <v>182</v>
      </c>
      <c r="C96" s="58">
        <v>577</v>
      </c>
      <c r="D96" s="59">
        <v>426.1857</v>
      </c>
      <c r="E96" s="59">
        <v>288.8159</v>
      </c>
      <c r="F96" s="60" t="str">
        <f t="shared" si="16"/>
        <v>AZ</v>
      </c>
    </row>
    <row r="97" spans="1:6" ht="15" x14ac:dyDescent="0.35">
      <c r="A97" s="58" t="s">
        <v>269</v>
      </c>
      <c r="B97" s="58" t="s">
        <v>172</v>
      </c>
      <c r="C97" s="58">
        <v>3515</v>
      </c>
      <c r="D97" s="59">
        <v>1587</v>
      </c>
      <c r="E97" s="59">
        <v>-359</v>
      </c>
      <c r="F97" s="60" t="str">
        <f t="shared" si="16"/>
        <v>AX</v>
      </c>
    </row>
    <row r="98" spans="1:6" ht="15" x14ac:dyDescent="0.35">
      <c r="A98" s="58" t="s">
        <v>269</v>
      </c>
      <c r="B98" s="58" t="s">
        <v>176</v>
      </c>
      <c r="C98" s="58">
        <v>3515</v>
      </c>
      <c r="D98" s="59">
        <v>1565</v>
      </c>
      <c r="E98" s="59">
        <v>-936.5</v>
      </c>
      <c r="F98" s="60" t="str">
        <f t="shared" si="16"/>
        <v>AX</v>
      </c>
    </row>
    <row r="99" spans="1:6" ht="15" x14ac:dyDescent="0.35">
      <c r="A99" s="58" t="s">
        <v>269</v>
      </c>
      <c r="B99" s="58" t="s">
        <v>180</v>
      </c>
      <c r="C99" s="58">
        <v>3515</v>
      </c>
      <c r="D99" s="59">
        <v>1565</v>
      </c>
      <c r="E99" s="59">
        <v>-700.96879999999999</v>
      </c>
      <c r="F99" s="60" t="str">
        <f t="shared" si="16"/>
        <v>AX</v>
      </c>
    </row>
    <row r="100" spans="1:6" ht="15" x14ac:dyDescent="0.35">
      <c r="A100" s="58" t="s">
        <v>269</v>
      </c>
      <c r="B100" s="58" t="s">
        <v>182</v>
      </c>
      <c r="C100" s="58">
        <v>3515</v>
      </c>
      <c r="D100" s="59">
        <v>1657.7601999999999</v>
      </c>
      <c r="E100" s="59">
        <v>482.60599999999999</v>
      </c>
      <c r="F100" s="60" t="str">
        <f t="shared" si="16"/>
        <v>AX</v>
      </c>
    </row>
    <row r="101" spans="1:6" ht="15" x14ac:dyDescent="0.35">
      <c r="A101" s="58" t="s">
        <v>270</v>
      </c>
      <c r="B101" s="58" t="s">
        <v>172</v>
      </c>
      <c r="C101" s="58">
        <v>3173</v>
      </c>
      <c r="D101" s="59">
        <v>1605</v>
      </c>
      <c r="E101" s="59">
        <v>-1553</v>
      </c>
      <c r="F101" s="60" t="str">
        <f t="shared" si="16"/>
        <v>AX</v>
      </c>
    </row>
    <row r="102" spans="1:6" ht="15" x14ac:dyDescent="0.35">
      <c r="A102" s="58" t="s">
        <v>270</v>
      </c>
      <c r="B102" s="58" t="s">
        <v>176</v>
      </c>
      <c r="C102" s="58">
        <v>3173</v>
      </c>
      <c r="D102" s="59">
        <v>1175</v>
      </c>
      <c r="E102" s="59">
        <v>409</v>
      </c>
      <c r="F102" s="60" t="str">
        <f t="shared" si="16"/>
        <v>AX</v>
      </c>
    </row>
    <row r="103" spans="1:6" ht="15" x14ac:dyDescent="0.35">
      <c r="A103" s="58" t="s">
        <v>270</v>
      </c>
      <c r="B103" s="58" t="s">
        <v>180</v>
      </c>
      <c r="C103" s="58">
        <v>3173</v>
      </c>
      <c r="D103" s="59">
        <v>1145.896</v>
      </c>
      <c r="E103" s="59">
        <v>321.68799999999999</v>
      </c>
      <c r="F103" s="60" t="str">
        <f t="shared" si="16"/>
        <v>AX</v>
      </c>
    </row>
    <row r="104" spans="1:6" ht="15" x14ac:dyDescent="0.35">
      <c r="A104" s="58" t="s">
        <v>270</v>
      </c>
      <c r="B104" s="58" t="s">
        <v>182</v>
      </c>
      <c r="C104" s="58">
        <v>3173</v>
      </c>
      <c r="D104" s="59">
        <v>2012.0619999999999</v>
      </c>
      <c r="E104" s="59">
        <v>1907.8152</v>
      </c>
      <c r="F104" s="60" t="str">
        <f t="shared" si="16"/>
        <v>AX</v>
      </c>
    </row>
    <row r="105" spans="1:6" ht="15" x14ac:dyDescent="0.35">
      <c r="A105" s="58" t="s">
        <v>271</v>
      </c>
      <c r="B105" s="58" t="s">
        <v>172</v>
      </c>
      <c r="C105" s="58">
        <v>2011</v>
      </c>
      <c r="D105" s="59">
        <v>417</v>
      </c>
      <c r="E105" s="59">
        <v>-235</v>
      </c>
      <c r="F105" s="60" t="str">
        <f t="shared" si="16"/>
        <v>AX</v>
      </c>
    </row>
    <row r="106" spans="1:6" ht="15" x14ac:dyDescent="0.35">
      <c r="A106" s="58" t="s">
        <v>271</v>
      </c>
      <c r="B106" s="58" t="s">
        <v>176</v>
      </c>
      <c r="C106" s="58">
        <v>2011</v>
      </c>
      <c r="D106" s="59">
        <v>361.5</v>
      </c>
      <c r="E106" s="59">
        <v>-46</v>
      </c>
      <c r="F106" s="60" t="str">
        <f t="shared" si="16"/>
        <v>AX</v>
      </c>
    </row>
    <row r="107" spans="1:6" ht="15" x14ac:dyDescent="0.35">
      <c r="A107" s="58" t="s">
        <v>271</v>
      </c>
      <c r="B107" s="58" t="s">
        <v>180</v>
      </c>
      <c r="C107" s="58">
        <v>2011</v>
      </c>
      <c r="D107" s="59">
        <v>440.3064</v>
      </c>
      <c r="E107" s="59">
        <v>-304.91919999999999</v>
      </c>
      <c r="F107" s="60" t="str">
        <f t="shared" si="16"/>
        <v>AX</v>
      </c>
    </row>
    <row r="108" spans="1:6" ht="15" x14ac:dyDescent="0.35">
      <c r="A108" s="58" t="s">
        <v>271</v>
      </c>
      <c r="B108" s="58" t="s">
        <v>182</v>
      </c>
      <c r="C108" s="58">
        <v>2011</v>
      </c>
      <c r="D108" s="59">
        <v>494.62939999999998</v>
      </c>
      <c r="E108" s="59">
        <v>364.03660000000002</v>
      </c>
      <c r="F108" s="60" t="str">
        <f t="shared" si="16"/>
        <v>AX</v>
      </c>
    </row>
    <row r="109" spans="1:6" ht="15" x14ac:dyDescent="0.35">
      <c r="A109" s="58" t="s">
        <v>272</v>
      </c>
      <c r="B109" s="58" t="s">
        <v>172</v>
      </c>
      <c r="C109" s="58">
        <v>8325</v>
      </c>
      <c r="D109" s="59">
        <v>13585</v>
      </c>
      <c r="E109" s="59">
        <v>11127</v>
      </c>
      <c r="F109" s="60" t="str">
        <f t="shared" si="16"/>
        <v>AZ</v>
      </c>
    </row>
    <row r="110" spans="1:6" ht="15" x14ac:dyDescent="0.35">
      <c r="A110" s="58" t="s">
        <v>272</v>
      </c>
      <c r="B110" s="58" t="s">
        <v>176</v>
      </c>
      <c r="C110" s="58">
        <v>8325</v>
      </c>
      <c r="D110" s="59">
        <v>5701.25</v>
      </c>
      <c r="E110" s="59">
        <v>-2095.5</v>
      </c>
      <c r="F110" s="60" t="str">
        <f t="shared" si="16"/>
        <v>AZ</v>
      </c>
    </row>
    <row r="111" spans="1:6" ht="15" x14ac:dyDescent="0.35">
      <c r="A111" s="58" t="s">
        <v>272</v>
      </c>
      <c r="B111" s="58" t="s">
        <v>180</v>
      </c>
      <c r="C111" s="58">
        <v>8325</v>
      </c>
      <c r="D111" s="59">
        <v>5717.5789999999997</v>
      </c>
      <c r="E111" s="59">
        <v>-1997.5260000000001</v>
      </c>
      <c r="F111" s="60" t="str">
        <f t="shared" si="16"/>
        <v>AZ</v>
      </c>
    </row>
    <row r="112" spans="1:6" ht="15" x14ac:dyDescent="0.35">
      <c r="A112" s="58" t="s">
        <v>272</v>
      </c>
      <c r="B112" s="58" t="s">
        <v>182</v>
      </c>
      <c r="C112" s="58">
        <v>8325</v>
      </c>
      <c r="D112" s="59">
        <v>5665.5703000000003</v>
      </c>
      <c r="E112" s="59">
        <v>-674.30370000000005</v>
      </c>
      <c r="F112" s="60" t="str">
        <f t="shared" si="16"/>
        <v>AZ</v>
      </c>
    </row>
    <row r="113" spans="1:6" ht="15" x14ac:dyDescent="0.35">
      <c r="A113" s="58" t="s">
        <v>273</v>
      </c>
      <c r="B113" s="58" t="s">
        <v>172</v>
      </c>
      <c r="C113" s="58">
        <v>1115</v>
      </c>
      <c r="D113" s="59">
        <v>877</v>
      </c>
      <c r="E113" s="59">
        <v>-863</v>
      </c>
      <c r="F113" s="60" t="str">
        <f t="shared" si="16"/>
        <v>AZ</v>
      </c>
    </row>
    <row r="114" spans="1:6" ht="15" x14ac:dyDescent="0.35">
      <c r="A114" s="58" t="s">
        <v>273</v>
      </c>
      <c r="B114" s="58" t="s">
        <v>176</v>
      </c>
      <c r="C114" s="58">
        <v>1115</v>
      </c>
      <c r="D114" s="59">
        <v>817</v>
      </c>
      <c r="E114" s="59">
        <v>-734</v>
      </c>
      <c r="F114" s="60" t="str">
        <f t="shared" si="16"/>
        <v>AZ</v>
      </c>
    </row>
    <row r="115" spans="1:6" ht="15" x14ac:dyDescent="0.35">
      <c r="A115" s="58" t="s">
        <v>273</v>
      </c>
      <c r="B115" s="58" t="s">
        <v>180</v>
      </c>
      <c r="C115" s="58">
        <v>1115</v>
      </c>
      <c r="D115" s="59">
        <v>828.98159999999996</v>
      </c>
      <c r="E115" s="59">
        <v>-659.11040000000003</v>
      </c>
      <c r="F115" s="60" t="str">
        <f t="shared" si="16"/>
        <v>AZ</v>
      </c>
    </row>
    <row r="116" spans="1:6" ht="15" x14ac:dyDescent="0.35">
      <c r="A116" s="58" t="s">
        <v>273</v>
      </c>
      <c r="B116" s="58" t="s">
        <v>182</v>
      </c>
      <c r="C116" s="58">
        <v>1115</v>
      </c>
      <c r="D116" s="59">
        <v>1085.3163</v>
      </c>
      <c r="E116" s="59">
        <v>-1085.3163</v>
      </c>
      <c r="F116" s="60" t="str">
        <f t="shared" si="16"/>
        <v>AZ</v>
      </c>
    </row>
    <row r="117" spans="1:6" ht="15" x14ac:dyDescent="0.35">
      <c r="A117" s="58" t="s">
        <v>274</v>
      </c>
      <c r="B117" s="58" t="s">
        <v>172</v>
      </c>
      <c r="C117" s="58">
        <v>5905</v>
      </c>
      <c r="D117" s="59">
        <v>3835</v>
      </c>
      <c r="E117" s="59">
        <v>-3697</v>
      </c>
      <c r="F117" s="60" t="str">
        <f t="shared" si="16"/>
        <v>AX</v>
      </c>
    </row>
    <row r="118" spans="1:6" ht="15" x14ac:dyDescent="0.35">
      <c r="A118" s="58" t="s">
        <v>274</v>
      </c>
      <c r="B118" s="58" t="s">
        <v>176</v>
      </c>
      <c r="C118" s="58">
        <v>5905</v>
      </c>
      <c r="D118" s="59">
        <v>2809.5</v>
      </c>
      <c r="E118" s="59">
        <v>-2170</v>
      </c>
      <c r="F118" s="60" t="str">
        <f t="shared" si="16"/>
        <v>AX</v>
      </c>
    </row>
    <row r="119" spans="1:6" ht="15" x14ac:dyDescent="0.35">
      <c r="A119" s="58" t="s">
        <v>274</v>
      </c>
      <c r="B119" s="58" t="s">
        <v>180</v>
      </c>
      <c r="C119" s="58">
        <v>5905</v>
      </c>
      <c r="D119" s="59">
        <v>3365.8424</v>
      </c>
      <c r="E119" s="59">
        <v>-3125.2636000000002</v>
      </c>
      <c r="F119" s="60" t="str">
        <f t="shared" si="16"/>
        <v>AX</v>
      </c>
    </row>
    <row r="120" spans="1:6" ht="15" x14ac:dyDescent="0.35">
      <c r="A120" s="58" t="s">
        <v>274</v>
      </c>
      <c r="B120" s="58" t="s">
        <v>182</v>
      </c>
      <c r="C120" s="58">
        <v>5905</v>
      </c>
      <c r="D120" s="59">
        <v>2161.4283</v>
      </c>
      <c r="E120" s="59">
        <v>1016.6341</v>
      </c>
      <c r="F120" s="60" t="str">
        <f t="shared" si="16"/>
        <v>AX</v>
      </c>
    </row>
    <row r="121" spans="1:6" ht="15" x14ac:dyDescent="0.35">
      <c r="A121" s="58" t="s">
        <v>275</v>
      </c>
      <c r="B121" s="58" t="s">
        <v>172</v>
      </c>
      <c r="C121" s="58">
        <v>2219</v>
      </c>
      <c r="D121" s="59">
        <v>1091</v>
      </c>
      <c r="E121" s="59">
        <v>-575</v>
      </c>
      <c r="F121" s="60" t="str">
        <f t="shared" si="16"/>
        <v>AX</v>
      </c>
    </row>
    <row r="122" spans="1:6" ht="15" x14ac:dyDescent="0.35">
      <c r="A122" s="58" t="s">
        <v>275</v>
      </c>
      <c r="B122" s="58" t="s">
        <v>176</v>
      </c>
      <c r="C122" s="58">
        <v>2219</v>
      </c>
      <c r="D122" s="59">
        <v>1085.75</v>
      </c>
      <c r="E122" s="59">
        <v>-6.5</v>
      </c>
      <c r="F122" s="60" t="str">
        <f t="shared" si="16"/>
        <v>AX</v>
      </c>
    </row>
    <row r="123" spans="1:6" ht="15" x14ac:dyDescent="0.35">
      <c r="A123" s="58" t="s">
        <v>275</v>
      </c>
      <c r="B123" s="58" t="s">
        <v>180</v>
      </c>
      <c r="C123" s="58">
        <v>2219</v>
      </c>
      <c r="D123" s="59">
        <v>1095.9956</v>
      </c>
      <c r="E123" s="59">
        <v>54.973599999999998</v>
      </c>
      <c r="F123" s="60" t="str">
        <f t="shared" si="16"/>
        <v>AX</v>
      </c>
    </row>
    <row r="124" spans="1:6" ht="15" x14ac:dyDescent="0.35">
      <c r="A124" s="58" t="s">
        <v>275</v>
      </c>
      <c r="B124" s="58" t="s">
        <v>182</v>
      </c>
      <c r="C124" s="58">
        <v>2219</v>
      </c>
      <c r="D124" s="59">
        <v>1382.8512000000001</v>
      </c>
      <c r="E124" s="59">
        <v>995.38779999999997</v>
      </c>
      <c r="F124" s="60" t="str">
        <f t="shared" si="16"/>
        <v>AX</v>
      </c>
    </row>
    <row r="125" spans="1:6" ht="15" x14ac:dyDescent="0.35">
      <c r="A125" s="58" t="s">
        <v>276</v>
      </c>
      <c r="B125" s="58" t="s">
        <v>172</v>
      </c>
      <c r="C125" s="58">
        <v>2712</v>
      </c>
      <c r="D125" s="59">
        <v>1714</v>
      </c>
      <c r="E125" s="59">
        <v>-1284</v>
      </c>
      <c r="F125" s="60" t="str">
        <f t="shared" si="16"/>
        <v>AY</v>
      </c>
    </row>
    <row r="126" spans="1:6" ht="15" x14ac:dyDescent="0.35">
      <c r="A126" s="58" t="s">
        <v>276</v>
      </c>
      <c r="B126" s="58" t="s">
        <v>176</v>
      </c>
      <c r="C126" s="58">
        <v>2712</v>
      </c>
      <c r="D126" s="59">
        <v>1794.25</v>
      </c>
      <c r="E126" s="59">
        <v>-802.5</v>
      </c>
      <c r="F126" s="60" t="str">
        <f t="shared" si="16"/>
        <v>AY</v>
      </c>
    </row>
    <row r="127" spans="1:6" ht="15" x14ac:dyDescent="0.35">
      <c r="A127" s="58" t="s">
        <v>276</v>
      </c>
      <c r="B127" s="58" t="s">
        <v>180</v>
      </c>
      <c r="C127" s="58">
        <v>2712</v>
      </c>
      <c r="D127" s="59">
        <v>1741.2076</v>
      </c>
      <c r="E127" s="59">
        <v>-1120.7544</v>
      </c>
      <c r="F127" s="60" t="str">
        <f t="shared" si="16"/>
        <v>AY</v>
      </c>
    </row>
    <row r="128" spans="1:6" ht="15" x14ac:dyDescent="0.35">
      <c r="A128" s="58" t="s">
        <v>276</v>
      </c>
      <c r="B128" s="58" t="s">
        <v>182</v>
      </c>
      <c r="C128" s="58">
        <v>2712</v>
      </c>
      <c r="D128" s="59">
        <v>1847.2318</v>
      </c>
      <c r="E128" s="59">
        <v>-359.63780000000003</v>
      </c>
      <c r="F128" s="60" t="str">
        <f t="shared" si="16"/>
        <v>AY</v>
      </c>
    </row>
    <row r="129" spans="1:6" ht="15" x14ac:dyDescent="0.35">
      <c r="A129" s="58" t="s">
        <v>277</v>
      </c>
      <c r="B129" s="58" t="s">
        <v>172</v>
      </c>
      <c r="C129" s="58">
        <v>343</v>
      </c>
      <c r="D129" s="59">
        <v>177</v>
      </c>
      <c r="E129" s="59">
        <v>137</v>
      </c>
      <c r="F129" s="60" t="str">
        <f t="shared" si="16"/>
        <v>AZ</v>
      </c>
    </row>
    <row r="130" spans="1:6" ht="15" x14ac:dyDescent="0.35">
      <c r="A130" s="58" t="s">
        <v>277</v>
      </c>
      <c r="B130" s="58" t="s">
        <v>176</v>
      </c>
      <c r="C130" s="58">
        <v>343</v>
      </c>
      <c r="D130" s="59">
        <v>164</v>
      </c>
      <c r="E130" s="59">
        <v>117.5</v>
      </c>
      <c r="F130" s="60" t="str">
        <f t="shared" si="16"/>
        <v>AZ</v>
      </c>
    </row>
    <row r="131" spans="1:6" ht="15" x14ac:dyDescent="0.35">
      <c r="A131" s="58" t="s">
        <v>277</v>
      </c>
      <c r="B131" s="58" t="s">
        <v>180</v>
      </c>
      <c r="C131" s="58">
        <v>343</v>
      </c>
      <c r="D131" s="59">
        <v>187.39599999999999</v>
      </c>
      <c r="E131" s="59">
        <v>152.59399999999999</v>
      </c>
      <c r="F131" s="60" t="str">
        <f t="shared" si="16"/>
        <v>AZ</v>
      </c>
    </row>
    <row r="132" spans="1:6" ht="15" x14ac:dyDescent="0.35">
      <c r="A132" s="58" t="s">
        <v>277</v>
      </c>
      <c r="B132" s="58" t="s">
        <v>182</v>
      </c>
      <c r="C132" s="58">
        <v>343</v>
      </c>
      <c r="D132" s="59">
        <v>194.47980000000001</v>
      </c>
      <c r="E132" s="59">
        <v>-24.4846</v>
      </c>
      <c r="F132" s="60" t="str">
        <f t="shared" si="16"/>
        <v>AZ</v>
      </c>
    </row>
    <row r="133" spans="1:6" ht="15" x14ac:dyDescent="0.35">
      <c r="A133" s="58" t="s">
        <v>278</v>
      </c>
      <c r="B133" s="58" t="s">
        <v>172</v>
      </c>
      <c r="C133" s="58">
        <v>1033</v>
      </c>
      <c r="D133" s="59">
        <v>819</v>
      </c>
      <c r="E133" s="59">
        <v>-517</v>
      </c>
      <c r="F133" s="60" t="str">
        <f t="shared" ref="F133:F196" si="17">_xlfn.XLOOKUP(A133,ClsCode,ClsClass)</f>
        <v>AZ</v>
      </c>
    </row>
    <row r="134" spans="1:6" ht="15" x14ac:dyDescent="0.35">
      <c r="A134" s="58" t="s">
        <v>278</v>
      </c>
      <c r="B134" s="58" t="s">
        <v>176</v>
      </c>
      <c r="C134" s="58">
        <v>1033</v>
      </c>
      <c r="D134" s="59">
        <v>783.5</v>
      </c>
      <c r="E134" s="59">
        <v>-599.5</v>
      </c>
      <c r="F134" s="60" t="str">
        <f t="shared" si="17"/>
        <v>AZ</v>
      </c>
    </row>
    <row r="135" spans="1:6" ht="15" x14ac:dyDescent="0.35">
      <c r="A135" s="58" t="s">
        <v>278</v>
      </c>
      <c r="B135" s="58" t="s">
        <v>180</v>
      </c>
      <c r="C135" s="58">
        <v>1033</v>
      </c>
      <c r="D135" s="59">
        <v>1002.9048</v>
      </c>
      <c r="E135" s="59">
        <v>-149.19040000000001</v>
      </c>
      <c r="F135" s="60" t="str">
        <f t="shared" si="17"/>
        <v>AZ</v>
      </c>
    </row>
    <row r="136" spans="1:6" ht="15" x14ac:dyDescent="0.35">
      <c r="A136" s="58" t="s">
        <v>278</v>
      </c>
      <c r="B136" s="58" t="s">
        <v>182</v>
      </c>
      <c r="C136" s="58">
        <v>1033</v>
      </c>
      <c r="D136" s="59">
        <v>904.94780000000003</v>
      </c>
      <c r="E136" s="59">
        <v>-695.57399999999996</v>
      </c>
      <c r="F136" s="60" t="str">
        <f t="shared" si="17"/>
        <v>AZ</v>
      </c>
    </row>
    <row r="137" spans="1:6" ht="15" x14ac:dyDescent="0.35">
      <c r="A137" s="58" t="s">
        <v>279</v>
      </c>
      <c r="B137" s="58" t="s">
        <v>172</v>
      </c>
      <c r="C137" s="58">
        <v>5482</v>
      </c>
      <c r="D137" s="59">
        <v>4778</v>
      </c>
      <c r="E137" s="59">
        <v>-4714</v>
      </c>
      <c r="F137" s="60" t="str">
        <f t="shared" si="17"/>
        <v>AZ</v>
      </c>
    </row>
    <row r="138" spans="1:6" ht="15" x14ac:dyDescent="0.35">
      <c r="A138" s="58" t="s">
        <v>279</v>
      </c>
      <c r="B138" s="58" t="s">
        <v>176</v>
      </c>
      <c r="C138" s="58">
        <v>5482</v>
      </c>
      <c r="D138" s="59">
        <v>5294.5</v>
      </c>
      <c r="E138" s="59">
        <v>-5294.5</v>
      </c>
      <c r="F138" s="60" t="str">
        <f t="shared" si="17"/>
        <v>AZ</v>
      </c>
    </row>
    <row r="139" spans="1:6" ht="15" x14ac:dyDescent="0.35">
      <c r="A139" s="58" t="s">
        <v>279</v>
      </c>
      <c r="B139" s="58" t="s">
        <v>180</v>
      </c>
      <c r="C139" s="58">
        <v>5482</v>
      </c>
      <c r="D139" s="59">
        <v>5186.7172</v>
      </c>
      <c r="E139" s="59">
        <v>-5186.7172</v>
      </c>
      <c r="F139" s="60" t="str">
        <f t="shared" si="17"/>
        <v>AZ</v>
      </c>
    </row>
    <row r="140" spans="1:6" ht="15" x14ac:dyDescent="0.35">
      <c r="A140" s="58" t="s">
        <v>279</v>
      </c>
      <c r="B140" s="58" t="s">
        <v>182</v>
      </c>
      <c r="C140" s="58">
        <v>5482</v>
      </c>
      <c r="D140" s="59">
        <v>8691.2335999999996</v>
      </c>
      <c r="E140" s="59">
        <v>8691.2335999999996</v>
      </c>
      <c r="F140" s="60" t="str">
        <f t="shared" si="17"/>
        <v>AZ</v>
      </c>
    </row>
    <row r="141" spans="1:6" ht="15" x14ac:dyDescent="0.35">
      <c r="A141" s="58" t="s">
        <v>280</v>
      </c>
      <c r="B141" s="58" t="s">
        <v>172</v>
      </c>
      <c r="C141" s="58">
        <v>745</v>
      </c>
      <c r="D141" s="59">
        <v>515</v>
      </c>
      <c r="E141" s="59">
        <v>-445</v>
      </c>
      <c r="F141" s="60" t="str">
        <f t="shared" si="17"/>
        <v>AY</v>
      </c>
    </row>
    <row r="142" spans="1:6" ht="15" x14ac:dyDescent="0.35">
      <c r="A142" s="58" t="s">
        <v>280</v>
      </c>
      <c r="B142" s="58" t="s">
        <v>176</v>
      </c>
      <c r="C142" s="58">
        <v>745</v>
      </c>
      <c r="D142" s="59">
        <v>666</v>
      </c>
      <c r="E142" s="59">
        <v>627.5</v>
      </c>
      <c r="F142" s="60" t="str">
        <f t="shared" si="17"/>
        <v>AY</v>
      </c>
    </row>
    <row r="143" spans="1:6" ht="15" x14ac:dyDescent="0.35">
      <c r="A143" s="58" t="s">
        <v>280</v>
      </c>
      <c r="B143" s="58" t="s">
        <v>180</v>
      </c>
      <c r="C143" s="58">
        <v>745</v>
      </c>
      <c r="D143" s="59">
        <v>477.03519999999997</v>
      </c>
      <c r="E143" s="59">
        <v>191.10560000000001</v>
      </c>
      <c r="F143" s="60" t="str">
        <f t="shared" si="17"/>
        <v>AY</v>
      </c>
    </row>
    <row r="144" spans="1:6" ht="15" x14ac:dyDescent="0.35">
      <c r="A144" s="58" t="s">
        <v>280</v>
      </c>
      <c r="B144" s="58" t="s">
        <v>182</v>
      </c>
      <c r="C144" s="58">
        <v>745</v>
      </c>
      <c r="D144" s="59">
        <v>488.99380000000002</v>
      </c>
      <c r="E144" s="59">
        <v>252.75880000000001</v>
      </c>
      <c r="F144" s="60" t="str">
        <f t="shared" si="17"/>
        <v>AY</v>
      </c>
    </row>
    <row r="145" spans="1:6" ht="15" x14ac:dyDescent="0.35">
      <c r="A145" s="58" t="s">
        <v>281</v>
      </c>
      <c r="B145" s="58" t="s">
        <v>172</v>
      </c>
      <c r="C145" s="58">
        <v>3920</v>
      </c>
      <c r="D145" s="59">
        <v>3920</v>
      </c>
      <c r="E145" s="59">
        <v>-3920</v>
      </c>
      <c r="F145" s="60" t="str">
        <f t="shared" si="17"/>
        <v>AY</v>
      </c>
    </row>
    <row r="146" spans="1:6" ht="15" x14ac:dyDescent="0.35">
      <c r="A146" s="58" t="s">
        <v>281</v>
      </c>
      <c r="B146" s="58" t="s">
        <v>176</v>
      </c>
      <c r="C146" s="58">
        <v>3920</v>
      </c>
      <c r="D146" s="59">
        <v>1883</v>
      </c>
      <c r="E146" s="59">
        <v>55</v>
      </c>
      <c r="F146" s="60" t="str">
        <f t="shared" si="17"/>
        <v>AY</v>
      </c>
    </row>
    <row r="147" spans="1:6" ht="15" x14ac:dyDescent="0.35">
      <c r="A147" s="58" t="s">
        <v>281</v>
      </c>
      <c r="B147" s="58" t="s">
        <v>180</v>
      </c>
      <c r="C147" s="58">
        <v>3920</v>
      </c>
      <c r="D147" s="59">
        <v>1721.2152000000001</v>
      </c>
      <c r="E147" s="59">
        <v>-432.7088</v>
      </c>
      <c r="F147" s="60" t="str">
        <f t="shared" si="17"/>
        <v>AY</v>
      </c>
    </row>
    <row r="148" spans="1:6" ht="15" x14ac:dyDescent="0.35">
      <c r="A148" s="58" t="s">
        <v>281</v>
      </c>
      <c r="B148" s="58" t="s">
        <v>182</v>
      </c>
      <c r="C148" s="58">
        <v>3920</v>
      </c>
      <c r="D148" s="59">
        <v>2467.8652000000002</v>
      </c>
      <c r="E148" s="59">
        <v>1559.9644000000001</v>
      </c>
      <c r="F148" s="60" t="str">
        <f t="shared" si="17"/>
        <v>AY</v>
      </c>
    </row>
    <row r="149" spans="1:6" ht="15" x14ac:dyDescent="0.35">
      <c r="A149" s="58" t="s">
        <v>282</v>
      </c>
      <c r="B149" s="58" t="s">
        <v>172</v>
      </c>
      <c r="C149" s="58">
        <v>255</v>
      </c>
      <c r="D149" s="59">
        <v>217</v>
      </c>
      <c r="E149" s="59">
        <v>-207</v>
      </c>
      <c r="F149" s="60" t="str">
        <f t="shared" si="17"/>
        <v>AZ</v>
      </c>
    </row>
    <row r="150" spans="1:6" ht="15" x14ac:dyDescent="0.35">
      <c r="A150" s="58" t="s">
        <v>282</v>
      </c>
      <c r="B150" s="58" t="s">
        <v>176</v>
      </c>
      <c r="C150" s="58">
        <v>255</v>
      </c>
      <c r="D150" s="59">
        <v>213.5</v>
      </c>
      <c r="E150" s="59">
        <v>-196.5</v>
      </c>
      <c r="F150" s="60" t="str">
        <f t="shared" si="17"/>
        <v>AZ</v>
      </c>
    </row>
    <row r="151" spans="1:6" ht="15" x14ac:dyDescent="0.35">
      <c r="A151" s="58" t="s">
        <v>282</v>
      </c>
      <c r="B151" s="58" t="s">
        <v>180</v>
      </c>
      <c r="C151" s="58">
        <v>255</v>
      </c>
      <c r="D151" s="59">
        <v>446.40600000000001</v>
      </c>
      <c r="E151" s="59">
        <v>307.81200000000001</v>
      </c>
      <c r="F151" s="60" t="str">
        <f t="shared" si="17"/>
        <v>AZ</v>
      </c>
    </row>
    <row r="152" spans="1:6" ht="15" x14ac:dyDescent="0.35">
      <c r="A152" s="58" t="s">
        <v>282</v>
      </c>
      <c r="B152" s="58" t="s">
        <v>182</v>
      </c>
      <c r="C152" s="58">
        <v>255</v>
      </c>
      <c r="D152" s="59">
        <v>1395.6143999999999</v>
      </c>
      <c r="E152" s="59">
        <v>1395.6143999999999</v>
      </c>
      <c r="F152" s="60" t="str">
        <f t="shared" si="17"/>
        <v>AZ</v>
      </c>
    </row>
    <row r="153" spans="1:6" ht="15" x14ac:dyDescent="0.35">
      <c r="A153" s="58" t="s">
        <v>283</v>
      </c>
      <c r="B153" s="58" t="s">
        <v>172</v>
      </c>
      <c r="C153" s="58">
        <v>1994</v>
      </c>
      <c r="D153" s="59">
        <v>1680</v>
      </c>
      <c r="E153" s="59">
        <v>610</v>
      </c>
      <c r="F153" s="60" t="str">
        <f t="shared" si="17"/>
        <v>AX</v>
      </c>
    </row>
    <row r="154" spans="1:6" ht="15" x14ac:dyDescent="0.35">
      <c r="A154" s="58" t="s">
        <v>283</v>
      </c>
      <c r="B154" s="58" t="s">
        <v>176</v>
      </c>
      <c r="C154" s="58">
        <v>1994</v>
      </c>
      <c r="D154" s="59">
        <v>1844.25</v>
      </c>
      <c r="E154" s="59">
        <v>938.5</v>
      </c>
      <c r="F154" s="60" t="str">
        <f t="shared" si="17"/>
        <v>AX</v>
      </c>
    </row>
    <row r="155" spans="1:6" ht="15" x14ac:dyDescent="0.35">
      <c r="A155" s="58" t="s">
        <v>283</v>
      </c>
      <c r="B155" s="58" t="s">
        <v>180</v>
      </c>
      <c r="C155" s="58">
        <v>1994</v>
      </c>
      <c r="D155" s="59">
        <v>1696.1268</v>
      </c>
      <c r="E155" s="59">
        <v>642.25360000000001</v>
      </c>
      <c r="F155" s="60" t="str">
        <f t="shared" si="17"/>
        <v>AX</v>
      </c>
    </row>
    <row r="156" spans="1:6" ht="15" x14ac:dyDescent="0.35">
      <c r="A156" s="58" t="s">
        <v>283</v>
      </c>
      <c r="B156" s="58" t="s">
        <v>182</v>
      </c>
      <c r="C156" s="58">
        <v>1994</v>
      </c>
      <c r="D156" s="59">
        <v>1730.1496999999999</v>
      </c>
      <c r="E156" s="59">
        <v>-1399.8595</v>
      </c>
      <c r="F156" s="60" t="str">
        <f t="shared" si="17"/>
        <v>AX</v>
      </c>
    </row>
    <row r="157" spans="1:6" ht="15" x14ac:dyDescent="0.35">
      <c r="A157" s="58" t="s">
        <v>284</v>
      </c>
      <c r="B157" s="58" t="s">
        <v>172</v>
      </c>
      <c r="C157" s="58">
        <v>862</v>
      </c>
      <c r="D157" s="59">
        <v>226</v>
      </c>
      <c r="E157" s="59">
        <v>158</v>
      </c>
      <c r="F157" s="60" t="str">
        <f t="shared" si="17"/>
        <v>AX</v>
      </c>
    </row>
    <row r="158" spans="1:6" ht="15" x14ac:dyDescent="0.35">
      <c r="A158" s="58" t="s">
        <v>284</v>
      </c>
      <c r="B158" s="58" t="s">
        <v>176</v>
      </c>
      <c r="C158" s="58">
        <v>862</v>
      </c>
      <c r="D158" s="59">
        <v>1070</v>
      </c>
      <c r="E158" s="59">
        <v>1070</v>
      </c>
      <c r="F158" s="60" t="str">
        <f t="shared" si="17"/>
        <v>AX</v>
      </c>
    </row>
    <row r="159" spans="1:6" ht="15" x14ac:dyDescent="0.35">
      <c r="A159" s="58" t="s">
        <v>284</v>
      </c>
      <c r="B159" s="58" t="s">
        <v>180</v>
      </c>
      <c r="C159" s="58">
        <v>862</v>
      </c>
      <c r="D159" s="59">
        <v>976.58720000000005</v>
      </c>
      <c r="E159" s="59">
        <v>976.58720000000005</v>
      </c>
      <c r="F159" s="60" t="str">
        <f t="shared" si="17"/>
        <v>AX</v>
      </c>
    </row>
    <row r="160" spans="1:6" ht="15" x14ac:dyDescent="0.35">
      <c r="A160" s="58" t="s">
        <v>284</v>
      </c>
      <c r="B160" s="58" t="s">
        <v>182</v>
      </c>
      <c r="C160" s="58">
        <v>862</v>
      </c>
      <c r="D160" s="59">
        <v>401.27190000000002</v>
      </c>
      <c r="E160" s="59">
        <v>-238.9881</v>
      </c>
      <c r="F160" s="60" t="str">
        <f t="shared" si="17"/>
        <v>AX</v>
      </c>
    </row>
    <row r="161" spans="1:6" ht="15" x14ac:dyDescent="0.35">
      <c r="A161" s="58" t="s">
        <v>285</v>
      </c>
      <c r="B161" s="58" t="s">
        <v>172</v>
      </c>
      <c r="C161" s="58">
        <v>2319</v>
      </c>
      <c r="D161" s="59">
        <v>1803</v>
      </c>
      <c r="E161" s="59">
        <v>-1803</v>
      </c>
      <c r="F161" s="60" t="str">
        <f t="shared" si="17"/>
        <v>AZ</v>
      </c>
    </row>
    <row r="162" spans="1:6" ht="15" x14ac:dyDescent="0.35">
      <c r="A162" s="58" t="s">
        <v>285</v>
      </c>
      <c r="B162" s="58" t="s">
        <v>176</v>
      </c>
      <c r="C162" s="58">
        <v>2319</v>
      </c>
      <c r="D162" s="59">
        <v>1866</v>
      </c>
      <c r="E162" s="59">
        <v>-1866</v>
      </c>
      <c r="F162" s="60" t="str">
        <f t="shared" si="17"/>
        <v>AZ</v>
      </c>
    </row>
    <row r="163" spans="1:6" ht="15" x14ac:dyDescent="0.35">
      <c r="A163" s="58" t="s">
        <v>285</v>
      </c>
      <c r="B163" s="58" t="s">
        <v>180</v>
      </c>
      <c r="C163" s="58">
        <v>2319</v>
      </c>
      <c r="D163" s="59">
        <v>1765.0416</v>
      </c>
      <c r="E163" s="59">
        <v>-1765.0416</v>
      </c>
      <c r="F163" s="60" t="str">
        <f t="shared" si="17"/>
        <v>AZ</v>
      </c>
    </row>
    <row r="164" spans="1:6" ht="15" x14ac:dyDescent="0.35">
      <c r="A164" s="58" t="s">
        <v>285</v>
      </c>
      <c r="B164" s="58" t="s">
        <v>182</v>
      </c>
      <c r="C164" s="58">
        <v>2319</v>
      </c>
      <c r="D164" s="59">
        <v>1284.5967000000001</v>
      </c>
      <c r="E164" s="59">
        <v>-41.028700000000001</v>
      </c>
      <c r="F164" s="60" t="str">
        <f t="shared" si="17"/>
        <v>AZ</v>
      </c>
    </row>
    <row r="165" spans="1:6" ht="15" x14ac:dyDescent="0.35">
      <c r="A165" s="58" t="s">
        <v>286</v>
      </c>
      <c r="B165" s="58" t="s">
        <v>172</v>
      </c>
      <c r="C165" s="58">
        <v>4732</v>
      </c>
      <c r="D165" s="59">
        <v>4318</v>
      </c>
      <c r="E165" s="59">
        <v>-4264</v>
      </c>
      <c r="F165" s="60" t="str">
        <f t="shared" si="17"/>
        <v>AY</v>
      </c>
    </row>
    <row r="166" spans="1:6" ht="15" x14ac:dyDescent="0.35">
      <c r="A166" s="58" t="s">
        <v>286</v>
      </c>
      <c r="B166" s="58" t="s">
        <v>176</v>
      </c>
      <c r="C166" s="58">
        <v>4732</v>
      </c>
      <c r="D166" s="59">
        <v>4418</v>
      </c>
      <c r="E166" s="59">
        <v>-4384</v>
      </c>
      <c r="F166" s="60" t="str">
        <f t="shared" si="17"/>
        <v>AY</v>
      </c>
    </row>
    <row r="167" spans="1:6" ht="15" x14ac:dyDescent="0.35">
      <c r="A167" s="58" t="s">
        <v>286</v>
      </c>
      <c r="B167" s="58" t="s">
        <v>180</v>
      </c>
      <c r="C167" s="58">
        <v>4732</v>
      </c>
      <c r="D167" s="59">
        <v>4533.6139999999996</v>
      </c>
      <c r="E167" s="59">
        <v>-4522.7367999999997</v>
      </c>
      <c r="F167" s="60" t="str">
        <f t="shared" si="17"/>
        <v>AY</v>
      </c>
    </row>
    <row r="168" spans="1:6" ht="15" x14ac:dyDescent="0.35">
      <c r="A168" s="58" t="s">
        <v>286</v>
      </c>
      <c r="B168" s="58" t="s">
        <v>182</v>
      </c>
      <c r="C168" s="58">
        <v>4732</v>
      </c>
      <c r="D168" s="59">
        <v>3769.5124999999998</v>
      </c>
      <c r="E168" s="59">
        <v>-3496.6916999999999</v>
      </c>
      <c r="F168" s="60" t="str">
        <f t="shared" si="17"/>
        <v>AY</v>
      </c>
    </row>
    <row r="169" spans="1:6" ht="15" x14ac:dyDescent="0.35">
      <c r="A169" s="58" t="s">
        <v>287</v>
      </c>
      <c r="B169" s="58" t="s">
        <v>172</v>
      </c>
      <c r="C169" s="58">
        <v>1689</v>
      </c>
      <c r="D169" s="59">
        <v>1153</v>
      </c>
      <c r="E169" s="59">
        <v>-1113</v>
      </c>
      <c r="F169" s="60" t="str">
        <f t="shared" si="17"/>
        <v>AY</v>
      </c>
    </row>
    <row r="170" spans="1:6" ht="15" x14ac:dyDescent="0.35">
      <c r="A170" s="58" t="s">
        <v>287</v>
      </c>
      <c r="B170" s="58" t="s">
        <v>176</v>
      </c>
      <c r="C170" s="58">
        <v>1689</v>
      </c>
      <c r="D170" s="59">
        <v>928.5</v>
      </c>
      <c r="E170" s="59">
        <v>-768</v>
      </c>
      <c r="F170" s="60" t="str">
        <f t="shared" si="17"/>
        <v>AY</v>
      </c>
    </row>
    <row r="171" spans="1:6" ht="15" x14ac:dyDescent="0.35">
      <c r="A171" s="58" t="s">
        <v>287</v>
      </c>
      <c r="B171" s="58" t="s">
        <v>180</v>
      </c>
      <c r="C171" s="58">
        <v>1689</v>
      </c>
      <c r="D171" s="59">
        <v>869.88720000000001</v>
      </c>
      <c r="E171" s="59">
        <v>-650.77440000000001</v>
      </c>
      <c r="F171" s="60" t="str">
        <f t="shared" si="17"/>
        <v>AY</v>
      </c>
    </row>
    <row r="172" spans="1:6" ht="15" x14ac:dyDescent="0.35">
      <c r="A172" s="58" t="s">
        <v>287</v>
      </c>
      <c r="B172" s="58" t="s">
        <v>182</v>
      </c>
      <c r="C172" s="58">
        <v>1689</v>
      </c>
      <c r="D172" s="59">
        <v>843.88900000000001</v>
      </c>
      <c r="E172" s="59">
        <v>-474.20319999999998</v>
      </c>
      <c r="F172" s="60" t="str">
        <f t="shared" si="17"/>
        <v>AY</v>
      </c>
    </row>
    <row r="173" spans="1:6" ht="15" x14ac:dyDescent="0.35">
      <c r="A173" s="58" t="s">
        <v>288</v>
      </c>
      <c r="B173" s="58" t="s">
        <v>172</v>
      </c>
      <c r="C173" s="58">
        <v>1186</v>
      </c>
      <c r="D173" s="59">
        <v>3338</v>
      </c>
      <c r="E173" s="59">
        <v>3338</v>
      </c>
      <c r="F173" s="60" t="str">
        <f t="shared" si="17"/>
        <v>AZ</v>
      </c>
    </row>
    <row r="174" spans="1:6" ht="15" x14ac:dyDescent="0.35">
      <c r="A174" s="58" t="s">
        <v>288</v>
      </c>
      <c r="B174" s="58" t="s">
        <v>176</v>
      </c>
      <c r="C174" s="58">
        <v>1186</v>
      </c>
      <c r="D174" s="59">
        <v>1265.75</v>
      </c>
      <c r="E174" s="59">
        <v>513.5</v>
      </c>
      <c r="F174" s="60" t="str">
        <f t="shared" si="17"/>
        <v>AZ</v>
      </c>
    </row>
    <row r="175" spans="1:6" ht="15" x14ac:dyDescent="0.35">
      <c r="A175" s="58" t="s">
        <v>288</v>
      </c>
      <c r="B175" s="58" t="s">
        <v>180</v>
      </c>
      <c r="C175" s="58">
        <v>1186</v>
      </c>
      <c r="D175" s="59">
        <v>1281.1148000000001</v>
      </c>
      <c r="E175" s="59">
        <v>544.2296</v>
      </c>
      <c r="F175" s="60" t="str">
        <f t="shared" si="17"/>
        <v>AZ</v>
      </c>
    </row>
    <row r="176" spans="1:6" ht="15" x14ac:dyDescent="0.35">
      <c r="A176" s="58" t="s">
        <v>288</v>
      </c>
      <c r="B176" s="58" t="s">
        <v>182</v>
      </c>
      <c r="C176" s="58">
        <v>1186</v>
      </c>
      <c r="D176" s="59">
        <v>2621.3168000000001</v>
      </c>
      <c r="E176" s="59">
        <v>2224.9198000000001</v>
      </c>
      <c r="F176" s="60" t="str">
        <f t="shared" si="17"/>
        <v>AZ</v>
      </c>
    </row>
    <row r="177" spans="1:6" ht="15" x14ac:dyDescent="0.35">
      <c r="A177" s="58" t="s">
        <v>289</v>
      </c>
      <c r="B177" s="58" t="s">
        <v>172</v>
      </c>
      <c r="C177" s="58">
        <v>2356</v>
      </c>
      <c r="D177" s="59">
        <v>1864</v>
      </c>
      <c r="E177" s="59">
        <v>-1852</v>
      </c>
      <c r="F177" s="60" t="str">
        <f t="shared" si="17"/>
        <v>AY</v>
      </c>
    </row>
    <row r="178" spans="1:6" ht="15" x14ac:dyDescent="0.35">
      <c r="A178" s="58" t="s">
        <v>289</v>
      </c>
      <c r="B178" s="58" t="s">
        <v>176</v>
      </c>
      <c r="C178" s="58">
        <v>2356</v>
      </c>
      <c r="D178" s="59">
        <v>1360</v>
      </c>
      <c r="E178" s="59">
        <v>-904</v>
      </c>
      <c r="F178" s="60" t="str">
        <f t="shared" si="17"/>
        <v>AY</v>
      </c>
    </row>
    <row r="179" spans="1:6" ht="15" x14ac:dyDescent="0.35">
      <c r="A179" s="58" t="s">
        <v>289</v>
      </c>
      <c r="B179" s="58" t="s">
        <v>180</v>
      </c>
      <c r="C179" s="58">
        <v>2356</v>
      </c>
      <c r="D179" s="59">
        <v>1568.9184</v>
      </c>
      <c r="E179" s="59">
        <v>-1427.3776</v>
      </c>
      <c r="F179" s="60" t="str">
        <f t="shared" si="17"/>
        <v>AY</v>
      </c>
    </row>
    <row r="180" spans="1:6" ht="15" x14ac:dyDescent="0.35">
      <c r="A180" s="58" t="s">
        <v>289</v>
      </c>
      <c r="B180" s="58" t="s">
        <v>182</v>
      </c>
      <c r="C180" s="58">
        <v>2356</v>
      </c>
      <c r="D180" s="59">
        <v>1900.2837999999999</v>
      </c>
      <c r="E180" s="59">
        <v>823.78959999999995</v>
      </c>
      <c r="F180" s="60" t="str">
        <f t="shared" si="17"/>
        <v>AY</v>
      </c>
    </row>
    <row r="181" spans="1:6" ht="15" x14ac:dyDescent="0.35">
      <c r="A181" s="58" t="s">
        <v>290</v>
      </c>
      <c r="B181" s="58" t="s">
        <v>172</v>
      </c>
      <c r="C181" s="58">
        <v>3183</v>
      </c>
      <c r="D181" s="59">
        <v>2991</v>
      </c>
      <c r="E181" s="59">
        <v>-2991</v>
      </c>
      <c r="F181" s="60" t="str">
        <f t="shared" si="17"/>
        <v>AZ</v>
      </c>
    </row>
    <row r="182" spans="1:6" ht="15" x14ac:dyDescent="0.35">
      <c r="A182" s="58" t="s">
        <v>290</v>
      </c>
      <c r="B182" s="58" t="s">
        <v>176</v>
      </c>
      <c r="C182" s="58">
        <v>3183</v>
      </c>
      <c r="D182" s="59">
        <v>1632.75</v>
      </c>
      <c r="E182" s="59">
        <v>-1483.5</v>
      </c>
      <c r="F182" s="60" t="str">
        <f t="shared" si="17"/>
        <v>AZ</v>
      </c>
    </row>
    <row r="183" spans="1:6" ht="15" x14ac:dyDescent="0.35">
      <c r="A183" s="58" t="s">
        <v>290</v>
      </c>
      <c r="B183" s="58" t="s">
        <v>180</v>
      </c>
      <c r="C183" s="58">
        <v>3183</v>
      </c>
      <c r="D183" s="59">
        <v>1639.4390000000001</v>
      </c>
      <c r="E183" s="59">
        <v>-1491.5268000000001</v>
      </c>
      <c r="F183" s="60" t="str">
        <f t="shared" si="17"/>
        <v>AZ</v>
      </c>
    </row>
    <row r="184" spans="1:6" ht="15" x14ac:dyDescent="0.35">
      <c r="A184" s="58" t="s">
        <v>290</v>
      </c>
      <c r="B184" s="58" t="s">
        <v>182</v>
      </c>
      <c r="C184" s="58">
        <v>3183</v>
      </c>
      <c r="D184" s="59">
        <v>1432.9015999999999</v>
      </c>
      <c r="E184" s="59">
        <v>-1135.8032000000001</v>
      </c>
      <c r="F184" s="60" t="str">
        <f t="shared" si="17"/>
        <v>AZ</v>
      </c>
    </row>
    <row r="185" spans="1:6" ht="15" x14ac:dyDescent="0.35">
      <c r="A185" s="58" t="s">
        <v>291</v>
      </c>
      <c r="B185" s="58" t="s">
        <v>172</v>
      </c>
      <c r="C185" s="58">
        <v>2420</v>
      </c>
      <c r="D185" s="59">
        <v>2216</v>
      </c>
      <c r="E185" s="59">
        <v>-2216</v>
      </c>
      <c r="F185" s="60" t="str">
        <f t="shared" si="17"/>
        <v>AY</v>
      </c>
    </row>
    <row r="186" spans="1:6" ht="15" x14ac:dyDescent="0.35">
      <c r="A186" s="58" t="s">
        <v>291</v>
      </c>
      <c r="B186" s="58" t="s">
        <v>176</v>
      </c>
      <c r="C186" s="58">
        <v>2420</v>
      </c>
      <c r="D186" s="59">
        <v>1818.5</v>
      </c>
      <c r="E186" s="59">
        <v>-1818.5</v>
      </c>
      <c r="F186" s="60" t="str">
        <f t="shared" si="17"/>
        <v>AY</v>
      </c>
    </row>
    <row r="187" spans="1:6" ht="15" x14ac:dyDescent="0.35">
      <c r="A187" s="58" t="s">
        <v>291</v>
      </c>
      <c r="B187" s="58" t="s">
        <v>180</v>
      </c>
      <c r="C187" s="58">
        <v>2420</v>
      </c>
      <c r="D187" s="59">
        <v>1858.8368</v>
      </c>
      <c r="E187" s="59">
        <v>-1858.8368</v>
      </c>
      <c r="F187" s="60" t="str">
        <f t="shared" si="17"/>
        <v>AY</v>
      </c>
    </row>
    <row r="188" spans="1:6" ht="15" x14ac:dyDescent="0.35">
      <c r="A188" s="58" t="s">
        <v>291</v>
      </c>
      <c r="B188" s="58" t="s">
        <v>182</v>
      </c>
      <c r="C188" s="58">
        <v>2420</v>
      </c>
      <c r="D188" s="59">
        <v>2073.9879999999998</v>
      </c>
      <c r="E188" s="59">
        <v>-2073.9879999999998</v>
      </c>
      <c r="F188" s="60" t="str">
        <f t="shared" si="17"/>
        <v>AY</v>
      </c>
    </row>
    <row r="189" spans="1:6" ht="15" x14ac:dyDescent="0.35">
      <c r="A189" s="58" t="s">
        <v>292</v>
      </c>
      <c r="B189" s="58" t="s">
        <v>172</v>
      </c>
      <c r="C189" s="58">
        <v>2326</v>
      </c>
      <c r="D189" s="59">
        <v>950</v>
      </c>
      <c r="E189" s="59">
        <v>914</v>
      </c>
      <c r="F189" s="60" t="str">
        <f t="shared" si="17"/>
        <v>AX</v>
      </c>
    </row>
    <row r="190" spans="1:6" ht="15" x14ac:dyDescent="0.35">
      <c r="A190" s="58" t="s">
        <v>292</v>
      </c>
      <c r="B190" s="58" t="s">
        <v>176</v>
      </c>
      <c r="C190" s="58">
        <v>2326</v>
      </c>
      <c r="D190" s="59">
        <v>1770.5</v>
      </c>
      <c r="E190" s="59">
        <v>1770.5</v>
      </c>
      <c r="F190" s="60" t="str">
        <f t="shared" si="17"/>
        <v>AX</v>
      </c>
    </row>
    <row r="191" spans="1:6" ht="15" x14ac:dyDescent="0.35">
      <c r="A191" s="58" t="s">
        <v>292</v>
      </c>
      <c r="B191" s="58" t="s">
        <v>180</v>
      </c>
      <c r="C191" s="58">
        <v>2326</v>
      </c>
      <c r="D191" s="59">
        <v>1746.8</v>
      </c>
      <c r="E191" s="59">
        <v>1746.8</v>
      </c>
      <c r="F191" s="60" t="str">
        <f t="shared" si="17"/>
        <v>AX</v>
      </c>
    </row>
    <row r="192" spans="1:6" ht="15" x14ac:dyDescent="0.35">
      <c r="A192" s="58" t="s">
        <v>292</v>
      </c>
      <c r="B192" s="58" t="s">
        <v>182</v>
      </c>
      <c r="C192" s="58">
        <v>2326</v>
      </c>
      <c r="D192" s="59">
        <v>748.51710000000003</v>
      </c>
      <c r="E192" s="59">
        <v>577.49770000000001</v>
      </c>
      <c r="F192" s="60" t="str">
        <f t="shared" si="17"/>
        <v>AX</v>
      </c>
    </row>
    <row r="193" spans="1:6" ht="15" x14ac:dyDescent="0.35">
      <c r="A193" s="58" t="s">
        <v>293</v>
      </c>
      <c r="B193" s="58" t="s">
        <v>172</v>
      </c>
      <c r="C193" s="58">
        <v>987</v>
      </c>
      <c r="D193" s="59">
        <v>805</v>
      </c>
      <c r="E193" s="59">
        <v>-759</v>
      </c>
      <c r="F193" s="60" t="str">
        <f t="shared" si="17"/>
        <v>AZ</v>
      </c>
    </row>
    <row r="194" spans="1:6" ht="15" x14ac:dyDescent="0.35">
      <c r="A194" s="58" t="s">
        <v>293</v>
      </c>
      <c r="B194" s="58" t="s">
        <v>176</v>
      </c>
      <c r="C194" s="58">
        <v>987</v>
      </c>
      <c r="D194" s="59">
        <v>770</v>
      </c>
      <c r="E194" s="59">
        <v>-564</v>
      </c>
      <c r="F194" s="60" t="str">
        <f t="shared" si="17"/>
        <v>AZ</v>
      </c>
    </row>
    <row r="195" spans="1:6" ht="15" x14ac:dyDescent="0.35">
      <c r="A195" s="58" t="s">
        <v>293</v>
      </c>
      <c r="B195" s="58" t="s">
        <v>180</v>
      </c>
      <c r="C195" s="58">
        <v>987</v>
      </c>
      <c r="D195" s="59">
        <v>926.10440000000006</v>
      </c>
      <c r="E195" s="59">
        <v>-152.7912</v>
      </c>
      <c r="F195" s="60" t="str">
        <f t="shared" si="17"/>
        <v>AZ</v>
      </c>
    </row>
    <row r="196" spans="1:6" ht="15" x14ac:dyDescent="0.35">
      <c r="A196" s="58" t="s">
        <v>293</v>
      </c>
      <c r="B196" s="58" t="s">
        <v>182</v>
      </c>
      <c r="C196" s="58">
        <v>987</v>
      </c>
      <c r="D196" s="59">
        <v>800.26490000000001</v>
      </c>
      <c r="E196" s="59">
        <v>-580.74369999999999</v>
      </c>
      <c r="F196" s="60" t="str">
        <f t="shared" si="17"/>
        <v>AZ</v>
      </c>
    </row>
    <row r="197" spans="1:6" ht="15" x14ac:dyDescent="0.35">
      <c r="A197" s="58" t="s">
        <v>294</v>
      </c>
      <c r="B197" s="58" t="s">
        <v>172</v>
      </c>
      <c r="C197" s="58">
        <v>2214</v>
      </c>
      <c r="D197" s="59">
        <v>2566</v>
      </c>
      <c r="E197" s="59">
        <v>2466</v>
      </c>
      <c r="F197" s="60" t="str">
        <f t="shared" ref="F197:F260" si="18">_xlfn.XLOOKUP(A197,ClsCode,ClsClass)</f>
        <v>AX</v>
      </c>
    </row>
    <row r="198" spans="1:6" ht="15" x14ac:dyDescent="0.35">
      <c r="A198" s="58" t="s">
        <v>294</v>
      </c>
      <c r="B198" s="58" t="s">
        <v>176</v>
      </c>
      <c r="C198" s="58">
        <v>2214</v>
      </c>
      <c r="D198" s="59">
        <v>1101</v>
      </c>
      <c r="E198" s="59">
        <v>708</v>
      </c>
      <c r="F198" s="60" t="str">
        <f t="shared" si="18"/>
        <v>AX</v>
      </c>
    </row>
    <row r="199" spans="1:6" ht="15" x14ac:dyDescent="0.35">
      <c r="A199" s="58" t="s">
        <v>294</v>
      </c>
      <c r="B199" s="58" t="s">
        <v>180</v>
      </c>
      <c r="C199" s="58">
        <v>2214</v>
      </c>
      <c r="D199" s="59">
        <v>2267.4090000000001</v>
      </c>
      <c r="E199" s="59">
        <v>2107.6907999999999</v>
      </c>
      <c r="F199" s="60" t="str">
        <f t="shared" si="18"/>
        <v>AX</v>
      </c>
    </row>
    <row r="200" spans="1:6" ht="15" x14ac:dyDescent="0.35">
      <c r="A200" s="58" t="s">
        <v>294</v>
      </c>
      <c r="B200" s="58" t="s">
        <v>182</v>
      </c>
      <c r="C200" s="58">
        <v>2214</v>
      </c>
      <c r="D200" s="59">
        <v>1461.3831</v>
      </c>
      <c r="E200" s="59">
        <v>1174.3041000000001</v>
      </c>
      <c r="F200" s="60" t="str">
        <f t="shared" si="18"/>
        <v>AX</v>
      </c>
    </row>
    <row r="201" spans="1:6" ht="15" x14ac:dyDescent="0.35">
      <c r="A201" s="58" t="s">
        <v>295</v>
      </c>
      <c r="B201" s="58" t="s">
        <v>172</v>
      </c>
      <c r="C201" s="58">
        <v>3219</v>
      </c>
      <c r="D201" s="59">
        <v>1397</v>
      </c>
      <c r="E201" s="59">
        <v>-975</v>
      </c>
      <c r="F201" s="60" t="str">
        <f t="shared" si="18"/>
        <v>AX</v>
      </c>
    </row>
    <row r="202" spans="1:6" ht="15" x14ac:dyDescent="0.35">
      <c r="A202" s="58" t="s">
        <v>295</v>
      </c>
      <c r="B202" s="58" t="s">
        <v>176</v>
      </c>
      <c r="C202" s="58">
        <v>3219</v>
      </c>
      <c r="D202" s="59">
        <v>992.5</v>
      </c>
      <c r="E202" s="59">
        <v>558</v>
      </c>
      <c r="F202" s="60" t="str">
        <f t="shared" si="18"/>
        <v>AX</v>
      </c>
    </row>
    <row r="203" spans="1:6" ht="15" x14ac:dyDescent="0.35">
      <c r="A203" s="58" t="s">
        <v>295</v>
      </c>
      <c r="B203" s="58" t="s">
        <v>180</v>
      </c>
      <c r="C203" s="58">
        <v>3219</v>
      </c>
      <c r="D203" s="59">
        <v>965</v>
      </c>
      <c r="E203" s="59">
        <v>151.0224</v>
      </c>
      <c r="F203" s="60" t="str">
        <f t="shared" si="18"/>
        <v>AX</v>
      </c>
    </row>
    <row r="204" spans="1:6" ht="15" x14ac:dyDescent="0.35">
      <c r="A204" s="58" t="s">
        <v>295</v>
      </c>
      <c r="B204" s="58" t="s">
        <v>182</v>
      </c>
      <c r="C204" s="58">
        <v>3219</v>
      </c>
      <c r="D204" s="59">
        <v>1090.1503</v>
      </c>
      <c r="E204" s="59">
        <v>-317.52289999999999</v>
      </c>
      <c r="F204" s="60" t="str">
        <f t="shared" si="18"/>
        <v>AX</v>
      </c>
    </row>
    <row r="205" spans="1:6" ht="15" x14ac:dyDescent="0.35">
      <c r="A205" s="58" t="s">
        <v>296</v>
      </c>
      <c r="B205" s="58" t="s">
        <v>172</v>
      </c>
      <c r="C205" s="58">
        <v>1618</v>
      </c>
      <c r="D205" s="59">
        <v>1178</v>
      </c>
      <c r="E205" s="59">
        <v>-1162</v>
      </c>
      <c r="F205" s="60" t="str">
        <f t="shared" si="18"/>
        <v>AX</v>
      </c>
    </row>
    <row r="206" spans="1:6" ht="15" x14ac:dyDescent="0.35">
      <c r="A206" s="58" t="s">
        <v>296</v>
      </c>
      <c r="B206" s="58" t="s">
        <v>176</v>
      </c>
      <c r="C206" s="58">
        <v>1618</v>
      </c>
      <c r="D206" s="59">
        <v>739.75</v>
      </c>
      <c r="E206" s="59">
        <v>-581.5</v>
      </c>
      <c r="F206" s="60" t="str">
        <f t="shared" si="18"/>
        <v>AX</v>
      </c>
    </row>
    <row r="207" spans="1:6" ht="15" x14ac:dyDescent="0.35">
      <c r="A207" s="58" t="s">
        <v>296</v>
      </c>
      <c r="B207" s="58" t="s">
        <v>180</v>
      </c>
      <c r="C207" s="58">
        <v>1618</v>
      </c>
      <c r="D207" s="59">
        <v>937.02599999999995</v>
      </c>
      <c r="E207" s="59">
        <v>-872.83119999999997</v>
      </c>
      <c r="F207" s="60" t="str">
        <f t="shared" si="18"/>
        <v>AX</v>
      </c>
    </row>
    <row r="208" spans="1:6" ht="15" x14ac:dyDescent="0.35">
      <c r="A208" s="58" t="s">
        <v>296</v>
      </c>
      <c r="B208" s="58" t="s">
        <v>182</v>
      </c>
      <c r="C208" s="58">
        <v>1618</v>
      </c>
      <c r="D208" s="59">
        <v>869.57770000000005</v>
      </c>
      <c r="E208" s="59">
        <v>266.28829999999999</v>
      </c>
      <c r="F208" s="60" t="str">
        <f t="shared" si="18"/>
        <v>AX</v>
      </c>
    </row>
    <row r="209" spans="1:6" ht="15" x14ac:dyDescent="0.35">
      <c r="A209" s="58" t="s">
        <v>297</v>
      </c>
      <c r="B209" s="58" t="s">
        <v>172</v>
      </c>
      <c r="C209" s="58">
        <v>3378</v>
      </c>
      <c r="D209" s="59">
        <v>2142</v>
      </c>
      <c r="E209" s="59">
        <v>-1338</v>
      </c>
      <c r="F209" s="60" t="str">
        <f t="shared" si="18"/>
        <v>AY</v>
      </c>
    </row>
    <row r="210" spans="1:6" ht="15" x14ac:dyDescent="0.35">
      <c r="A210" s="58" t="s">
        <v>297</v>
      </c>
      <c r="B210" s="58" t="s">
        <v>176</v>
      </c>
      <c r="C210" s="58">
        <v>3378</v>
      </c>
      <c r="D210" s="59">
        <v>1994.5</v>
      </c>
      <c r="E210" s="59">
        <v>-87</v>
      </c>
      <c r="F210" s="60" t="str">
        <f t="shared" si="18"/>
        <v>AY</v>
      </c>
    </row>
    <row r="211" spans="1:6" ht="15" x14ac:dyDescent="0.35">
      <c r="A211" s="58" t="s">
        <v>297</v>
      </c>
      <c r="B211" s="58" t="s">
        <v>180</v>
      </c>
      <c r="C211" s="58">
        <v>3378</v>
      </c>
      <c r="D211" s="59">
        <v>2205.2431999999999</v>
      </c>
      <c r="E211" s="59">
        <v>440.4864</v>
      </c>
      <c r="F211" s="60" t="str">
        <f t="shared" si="18"/>
        <v>AY</v>
      </c>
    </row>
    <row r="212" spans="1:6" ht="15" x14ac:dyDescent="0.35">
      <c r="A212" s="58" t="s">
        <v>297</v>
      </c>
      <c r="B212" s="58" t="s">
        <v>182</v>
      </c>
      <c r="C212" s="58">
        <v>3378</v>
      </c>
      <c r="D212" s="59">
        <v>2811.9101999999998</v>
      </c>
      <c r="E212" s="59">
        <v>1909.9315999999999</v>
      </c>
      <c r="F212" s="60" t="str">
        <f t="shared" si="18"/>
        <v>AY</v>
      </c>
    </row>
    <row r="213" spans="1:6" ht="15" x14ac:dyDescent="0.35">
      <c r="A213" s="58" t="s">
        <v>298</v>
      </c>
      <c r="B213" s="58" t="s">
        <v>172</v>
      </c>
      <c r="C213" s="58">
        <v>2566</v>
      </c>
      <c r="D213" s="59">
        <v>956</v>
      </c>
      <c r="E213" s="59">
        <v>-322</v>
      </c>
      <c r="F213" s="60" t="str">
        <f t="shared" si="18"/>
        <v>AY</v>
      </c>
    </row>
    <row r="214" spans="1:6" ht="15" x14ac:dyDescent="0.35">
      <c r="A214" s="58" t="s">
        <v>298</v>
      </c>
      <c r="B214" s="58" t="s">
        <v>176</v>
      </c>
      <c r="C214" s="58">
        <v>2566</v>
      </c>
      <c r="D214" s="59">
        <v>1046</v>
      </c>
      <c r="E214" s="59">
        <v>704</v>
      </c>
      <c r="F214" s="60" t="str">
        <f t="shared" si="18"/>
        <v>AY</v>
      </c>
    </row>
    <row r="215" spans="1:6" ht="15" x14ac:dyDescent="0.35">
      <c r="A215" s="58" t="s">
        <v>298</v>
      </c>
      <c r="B215" s="58" t="s">
        <v>180</v>
      </c>
      <c r="C215" s="58">
        <v>2566</v>
      </c>
      <c r="D215" s="59">
        <v>1037.1063999999999</v>
      </c>
      <c r="E215" s="59">
        <v>677.31920000000002</v>
      </c>
      <c r="F215" s="60" t="str">
        <f t="shared" si="18"/>
        <v>AY</v>
      </c>
    </row>
    <row r="216" spans="1:6" ht="15" x14ac:dyDescent="0.35">
      <c r="A216" s="58" t="s">
        <v>298</v>
      </c>
      <c r="B216" s="58" t="s">
        <v>182</v>
      </c>
      <c r="C216" s="58">
        <v>2566</v>
      </c>
      <c r="D216" s="59">
        <v>1974.001</v>
      </c>
      <c r="E216" s="59">
        <v>1951.4233999999999</v>
      </c>
      <c r="F216" s="60" t="str">
        <f t="shared" si="18"/>
        <v>AY</v>
      </c>
    </row>
    <row r="217" spans="1:6" ht="15" x14ac:dyDescent="0.35">
      <c r="A217" s="58" t="s">
        <v>299</v>
      </c>
      <c r="B217" s="58" t="s">
        <v>172</v>
      </c>
      <c r="C217" s="58">
        <v>809</v>
      </c>
      <c r="D217" s="59">
        <v>593</v>
      </c>
      <c r="E217" s="59">
        <v>-593</v>
      </c>
      <c r="F217" s="60" t="str">
        <f t="shared" si="18"/>
        <v>AZ</v>
      </c>
    </row>
    <row r="218" spans="1:6" ht="15" x14ac:dyDescent="0.35">
      <c r="A218" s="58" t="s">
        <v>299</v>
      </c>
      <c r="B218" s="58" t="s">
        <v>176</v>
      </c>
      <c r="C218" s="58">
        <v>809</v>
      </c>
      <c r="D218" s="59">
        <v>480.5</v>
      </c>
      <c r="E218" s="59">
        <v>-381.5</v>
      </c>
      <c r="F218" s="60" t="str">
        <f t="shared" si="18"/>
        <v>AZ</v>
      </c>
    </row>
    <row r="219" spans="1:6" ht="15" x14ac:dyDescent="0.35">
      <c r="A219" s="58" t="s">
        <v>299</v>
      </c>
      <c r="B219" s="58" t="s">
        <v>180</v>
      </c>
      <c r="C219" s="58">
        <v>809</v>
      </c>
      <c r="D219" s="59">
        <v>538.71640000000002</v>
      </c>
      <c r="E219" s="59">
        <v>12.1492</v>
      </c>
      <c r="F219" s="60" t="str">
        <f t="shared" si="18"/>
        <v>AZ</v>
      </c>
    </row>
    <row r="220" spans="1:6" ht="15" x14ac:dyDescent="0.35">
      <c r="A220" s="58" t="s">
        <v>299</v>
      </c>
      <c r="B220" s="58" t="s">
        <v>182</v>
      </c>
      <c r="C220" s="58">
        <v>809</v>
      </c>
      <c r="D220" s="59">
        <v>571.69309999999996</v>
      </c>
      <c r="E220" s="59">
        <v>-403.15910000000002</v>
      </c>
      <c r="F220" s="60" t="str">
        <f t="shared" si="18"/>
        <v>AZ</v>
      </c>
    </row>
    <row r="221" spans="1:6" ht="15" x14ac:dyDescent="0.35">
      <c r="A221" s="58" t="s">
        <v>300</v>
      </c>
      <c r="B221" s="58" t="s">
        <v>172</v>
      </c>
      <c r="C221" s="58">
        <v>2852</v>
      </c>
      <c r="D221" s="59">
        <v>1940</v>
      </c>
      <c r="E221" s="59">
        <v>-1940</v>
      </c>
      <c r="F221" s="60" t="str">
        <f t="shared" si="18"/>
        <v>AX</v>
      </c>
    </row>
    <row r="222" spans="1:6" ht="15" x14ac:dyDescent="0.35">
      <c r="A222" s="58" t="s">
        <v>300</v>
      </c>
      <c r="B222" s="58" t="s">
        <v>176</v>
      </c>
      <c r="C222" s="58">
        <v>2852</v>
      </c>
      <c r="D222" s="59">
        <v>795</v>
      </c>
      <c r="E222" s="59">
        <v>-542</v>
      </c>
      <c r="F222" s="60" t="str">
        <f t="shared" si="18"/>
        <v>AX</v>
      </c>
    </row>
    <row r="223" spans="1:6" ht="15" x14ac:dyDescent="0.35">
      <c r="A223" s="58" t="s">
        <v>300</v>
      </c>
      <c r="B223" s="58" t="s">
        <v>180</v>
      </c>
      <c r="C223" s="58">
        <v>2852</v>
      </c>
      <c r="D223" s="59">
        <v>869.79520000000002</v>
      </c>
      <c r="E223" s="59">
        <v>-655.69280000000003</v>
      </c>
      <c r="F223" s="60" t="str">
        <f t="shared" si="18"/>
        <v>AX</v>
      </c>
    </row>
    <row r="224" spans="1:6" ht="15" x14ac:dyDescent="0.35">
      <c r="A224" s="58" t="s">
        <v>300</v>
      </c>
      <c r="B224" s="58" t="s">
        <v>182</v>
      </c>
      <c r="C224" s="58">
        <v>2852</v>
      </c>
      <c r="D224" s="59">
        <v>796.87270000000001</v>
      </c>
      <c r="E224" s="59">
        <v>-69.903099999999995</v>
      </c>
      <c r="F224" s="60" t="str">
        <f t="shared" si="18"/>
        <v>AX</v>
      </c>
    </row>
    <row r="225" spans="1:6" ht="15" x14ac:dyDescent="0.35">
      <c r="A225" s="58" t="s">
        <v>301</v>
      </c>
      <c r="B225" s="58" t="s">
        <v>172</v>
      </c>
      <c r="C225" s="58">
        <v>552</v>
      </c>
      <c r="D225" s="59">
        <v>384</v>
      </c>
      <c r="E225" s="59">
        <v>-384</v>
      </c>
      <c r="F225" s="60" t="str">
        <f t="shared" si="18"/>
        <v>AY</v>
      </c>
    </row>
    <row r="226" spans="1:6" ht="15" x14ac:dyDescent="0.35">
      <c r="A226" s="58" t="s">
        <v>301</v>
      </c>
      <c r="B226" s="58" t="s">
        <v>176</v>
      </c>
      <c r="C226" s="58">
        <v>552</v>
      </c>
      <c r="D226" s="59">
        <v>299.5</v>
      </c>
      <c r="E226" s="59">
        <v>-261</v>
      </c>
      <c r="F226" s="60" t="str">
        <f t="shared" si="18"/>
        <v>AY</v>
      </c>
    </row>
    <row r="227" spans="1:6" ht="15" x14ac:dyDescent="0.35">
      <c r="A227" s="58" t="s">
        <v>301</v>
      </c>
      <c r="B227" s="58" t="s">
        <v>180</v>
      </c>
      <c r="C227" s="58">
        <v>552</v>
      </c>
      <c r="D227" s="59">
        <v>296.80259999999998</v>
      </c>
      <c r="E227" s="59">
        <v>-244.81559999999999</v>
      </c>
      <c r="F227" s="60" t="str">
        <f t="shared" si="18"/>
        <v>AY</v>
      </c>
    </row>
    <row r="228" spans="1:6" ht="15" x14ac:dyDescent="0.35">
      <c r="A228" s="58" t="s">
        <v>301</v>
      </c>
      <c r="B228" s="58" t="s">
        <v>182</v>
      </c>
      <c r="C228" s="58">
        <v>552</v>
      </c>
      <c r="D228" s="59">
        <v>324.43849999999998</v>
      </c>
      <c r="E228" s="59">
        <v>-85.795699999999997</v>
      </c>
      <c r="F228" s="60" t="str">
        <f t="shared" si="18"/>
        <v>AY</v>
      </c>
    </row>
    <row r="229" spans="1:6" ht="15" x14ac:dyDescent="0.35">
      <c r="A229" s="58" t="s">
        <v>302</v>
      </c>
      <c r="B229" s="58" t="s">
        <v>172</v>
      </c>
      <c r="C229" s="58">
        <v>2473</v>
      </c>
      <c r="D229" s="59">
        <v>631</v>
      </c>
      <c r="E229" s="59">
        <v>-193</v>
      </c>
      <c r="F229" s="60" t="str">
        <f t="shared" si="18"/>
        <v>AX</v>
      </c>
    </row>
    <row r="230" spans="1:6" ht="15" x14ac:dyDescent="0.35">
      <c r="A230" s="58" t="s">
        <v>302</v>
      </c>
      <c r="B230" s="58" t="s">
        <v>176</v>
      </c>
      <c r="C230" s="58">
        <v>2473</v>
      </c>
      <c r="D230" s="59">
        <v>1493</v>
      </c>
      <c r="E230" s="59">
        <v>1367</v>
      </c>
      <c r="F230" s="60" t="str">
        <f t="shared" si="18"/>
        <v>AX</v>
      </c>
    </row>
    <row r="231" spans="1:6" ht="15" x14ac:dyDescent="0.35">
      <c r="A231" s="58" t="s">
        <v>302</v>
      </c>
      <c r="B231" s="58" t="s">
        <v>180</v>
      </c>
      <c r="C231" s="58">
        <v>2473</v>
      </c>
      <c r="D231" s="59">
        <v>1345.0419999999999</v>
      </c>
      <c r="E231" s="59">
        <v>1189.4503999999999</v>
      </c>
      <c r="F231" s="60" t="str">
        <f t="shared" si="18"/>
        <v>AX</v>
      </c>
    </row>
    <row r="232" spans="1:6" ht="15" x14ac:dyDescent="0.35">
      <c r="A232" s="58" t="s">
        <v>302</v>
      </c>
      <c r="B232" s="58" t="s">
        <v>182</v>
      </c>
      <c r="C232" s="58">
        <v>2473</v>
      </c>
      <c r="D232" s="59">
        <v>673.44240000000002</v>
      </c>
      <c r="E232" s="59">
        <v>-556.32899999999995</v>
      </c>
      <c r="F232" s="60" t="str">
        <f t="shared" si="18"/>
        <v>AX</v>
      </c>
    </row>
    <row r="233" spans="1:6" ht="15" x14ac:dyDescent="0.35">
      <c r="A233" s="58" t="s">
        <v>303</v>
      </c>
      <c r="B233" s="58" t="s">
        <v>172</v>
      </c>
      <c r="C233" s="58">
        <v>2163</v>
      </c>
      <c r="D233" s="59">
        <v>1437</v>
      </c>
      <c r="E233" s="59">
        <v>-1407</v>
      </c>
      <c r="F233" s="60" t="str">
        <f t="shared" si="18"/>
        <v>AZ</v>
      </c>
    </row>
    <row r="234" spans="1:6" ht="15" x14ac:dyDescent="0.35">
      <c r="A234" s="58" t="s">
        <v>303</v>
      </c>
      <c r="B234" s="58" t="s">
        <v>176</v>
      </c>
      <c r="C234" s="58">
        <v>2163</v>
      </c>
      <c r="D234" s="59">
        <v>2019</v>
      </c>
      <c r="E234" s="59">
        <v>-2019</v>
      </c>
      <c r="F234" s="60" t="str">
        <f t="shared" si="18"/>
        <v>AZ</v>
      </c>
    </row>
    <row r="235" spans="1:6" ht="15" x14ac:dyDescent="0.35">
      <c r="A235" s="58" t="s">
        <v>303</v>
      </c>
      <c r="B235" s="58" t="s">
        <v>180</v>
      </c>
      <c r="C235" s="58">
        <v>2163</v>
      </c>
      <c r="D235" s="59">
        <v>1754.7947999999999</v>
      </c>
      <c r="E235" s="59">
        <v>-1754.7947999999999</v>
      </c>
      <c r="F235" s="60" t="str">
        <f t="shared" si="18"/>
        <v>AZ</v>
      </c>
    </row>
    <row r="236" spans="1:6" ht="15" x14ac:dyDescent="0.35">
      <c r="A236" s="58" t="s">
        <v>303</v>
      </c>
      <c r="B236" s="58" t="s">
        <v>182</v>
      </c>
      <c r="C236" s="58">
        <v>2163</v>
      </c>
      <c r="D236" s="59">
        <v>1459.8752999999999</v>
      </c>
      <c r="E236" s="59">
        <v>425.47449999999998</v>
      </c>
      <c r="F236" s="60" t="str">
        <f t="shared" si="18"/>
        <v>AZ</v>
      </c>
    </row>
    <row r="237" spans="1:6" ht="15" x14ac:dyDescent="0.35">
      <c r="A237" s="58" t="s">
        <v>304</v>
      </c>
      <c r="B237" s="58" t="s">
        <v>172</v>
      </c>
      <c r="C237" s="58">
        <v>7182</v>
      </c>
      <c r="D237" s="59">
        <v>2478</v>
      </c>
      <c r="E237" s="59">
        <v>-1686</v>
      </c>
      <c r="F237" s="60" t="str">
        <f t="shared" si="18"/>
        <v>AX</v>
      </c>
    </row>
    <row r="238" spans="1:6" ht="15" x14ac:dyDescent="0.35">
      <c r="A238" s="58" t="s">
        <v>304</v>
      </c>
      <c r="B238" s="58" t="s">
        <v>176</v>
      </c>
      <c r="C238" s="58">
        <v>7182</v>
      </c>
      <c r="D238" s="59">
        <v>2669</v>
      </c>
      <c r="E238" s="59">
        <v>381</v>
      </c>
      <c r="F238" s="60" t="str">
        <f t="shared" si="18"/>
        <v>AX</v>
      </c>
    </row>
    <row r="239" spans="1:6" ht="15" x14ac:dyDescent="0.35">
      <c r="A239" s="58" t="s">
        <v>304</v>
      </c>
      <c r="B239" s="58" t="s">
        <v>180</v>
      </c>
      <c r="C239" s="58">
        <v>7182</v>
      </c>
      <c r="D239" s="59">
        <v>2796.8888000000002</v>
      </c>
      <c r="E239" s="59">
        <v>764.66639999999995</v>
      </c>
      <c r="F239" s="60" t="str">
        <f t="shared" si="18"/>
        <v>AX</v>
      </c>
    </row>
    <row r="240" spans="1:6" ht="15" x14ac:dyDescent="0.35">
      <c r="A240" s="58" t="s">
        <v>304</v>
      </c>
      <c r="B240" s="58" t="s">
        <v>182</v>
      </c>
      <c r="C240" s="58">
        <v>7182</v>
      </c>
      <c r="D240" s="59">
        <v>2958.7285000000002</v>
      </c>
      <c r="E240" s="59">
        <v>1968.7991</v>
      </c>
      <c r="F240" s="60" t="str">
        <f t="shared" si="18"/>
        <v>AX</v>
      </c>
    </row>
    <row r="241" spans="1:6" ht="15" x14ac:dyDescent="0.35">
      <c r="A241" s="58" t="s">
        <v>305</v>
      </c>
      <c r="B241" s="58" t="s">
        <v>172</v>
      </c>
      <c r="C241" s="58">
        <v>1920</v>
      </c>
      <c r="D241" s="59">
        <v>834</v>
      </c>
      <c r="E241" s="59">
        <v>300</v>
      </c>
      <c r="F241" s="60" t="str">
        <f t="shared" si="18"/>
        <v>AX</v>
      </c>
    </row>
    <row r="242" spans="1:6" ht="15" x14ac:dyDescent="0.35">
      <c r="A242" s="58" t="s">
        <v>305</v>
      </c>
      <c r="B242" s="58" t="s">
        <v>176</v>
      </c>
      <c r="C242" s="58">
        <v>1920</v>
      </c>
      <c r="D242" s="59">
        <v>912.75</v>
      </c>
      <c r="E242" s="59">
        <v>613.5</v>
      </c>
      <c r="F242" s="60" t="str">
        <f t="shared" si="18"/>
        <v>AX</v>
      </c>
    </row>
    <row r="243" spans="1:6" ht="15" x14ac:dyDescent="0.35">
      <c r="A243" s="58" t="s">
        <v>305</v>
      </c>
      <c r="B243" s="58" t="s">
        <v>180</v>
      </c>
      <c r="C243" s="58">
        <v>1920</v>
      </c>
      <c r="D243" s="59">
        <v>946.64080000000001</v>
      </c>
      <c r="E243" s="59">
        <v>669.96119999999996</v>
      </c>
      <c r="F243" s="60" t="str">
        <f t="shared" si="18"/>
        <v>AX</v>
      </c>
    </row>
    <row r="244" spans="1:6" ht="15" x14ac:dyDescent="0.35">
      <c r="A244" s="58" t="s">
        <v>305</v>
      </c>
      <c r="B244" s="58" t="s">
        <v>182</v>
      </c>
      <c r="C244" s="58">
        <v>1920</v>
      </c>
      <c r="D244" s="59">
        <v>950.01210000000003</v>
      </c>
      <c r="E244" s="59">
        <v>635.02449999999999</v>
      </c>
      <c r="F244" s="60" t="str">
        <f t="shared" si="18"/>
        <v>AX</v>
      </c>
    </row>
    <row r="245" spans="1:6" ht="15" x14ac:dyDescent="0.35">
      <c r="A245" s="58" t="s">
        <v>306</v>
      </c>
      <c r="B245" s="58" t="s">
        <v>172</v>
      </c>
      <c r="C245" s="58">
        <v>1992</v>
      </c>
      <c r="D245" s="59">
        <v>566</v>
      </c>
      <c r="E245" s="59">
        <v>-120</v>
      </c>
      <c r="F245" s="60" t="str">
        <f t="shared" si="18"/>
        <v>AX</v>
      </c>
    </row>
    <row r="246" spans="1:6" ht="15" x14ac:dyDescent="0.35">
      <c r="A246" s="58" t="s">
        <v>306</v>
      </c>
      <c r="B246" s="58" t="s">
        <v>176</v>
      </c>
      <c r="C246" s="58">
        <v>1992</v>
      </c>
      <c r="D246" s="59">
        <v>607</v>
      </c>
      <c r="E246" s="59">
        <v>-333</v>
      </c>
      <c r="F246" s="60" t="str">
        <f t="shared" si="18"/>
        <v>AX</v>
      </c>
    </row>
    <row r="247" spans="1:6" ht="15" x14ac:dyDescent="0.35">
      <c r="A247" s="58" t="s">
        <v>306</v>
      </c>
      <c r="B247" s="58" t="s">
        <v>180</v>
      </c>
      <c r="C247" s="58">
        <v>1992</v>
      </c>
      <c r="D247" s="59">
        <v>567.10320000000002</v>
      </c>
      <c r="E247" s="59">
        <v>-126.61920000000001</v>
      </c>
      <c r="F247" s="60" t="str">
        <f t="shared" si="18"/>
        <v>AX</v>
      </c>
    </row>
    <row r="248" spans="1:6" ht="15" x14ac:dyDescent="0.35">
      <c r="A248" s="58" t="s">
        <v>306</v>
      </c>
      <c r="B248" s="58" t="s">
        <v>182</v>
      </c>
      <c r="C248" s="58">
        <v>1992</v>
      </c>
      <c r="D248" s="59">
        <v>511.11099999999999</v>
      </c>
      <c r="E248" s="59">
        <v>134.0352</v>
      </c>
      <c r="F248" s="60" t="str">
        <f t="shared" si="18"/>
        <v>AX</v>
      </c>
    </row>
    <row r="249" spans="1:6" ht="15" x14ac:dyDescent="0.35">
      <c r="A249" s="58" t="s">
        <v>307</v>
      </c>
      <c r="B249" s="58" t="s">
        <v>172</v>
      </c>
      <c r="C249" s="58">
        <v>5075</v>
      </c>
      <c r="D249" s="59">
        <v>3647</v>
      </c>
      <c r="E249" s="59">
        <v>-3647</v>
      </c>
      <c r="F249" s="60" t="str">
        <f t="shared" si="18"/>
        <v>AX</v>
      </c>
    </row>
    <row r="250" spans="1:6" ht="15" x14ac:dyDescent="0.35">
      <c r="A250" s="58" t="s">
        <v>307</v>
      </c>
      <c r="B250" s="58" t="s">
        <v>176</v>
      </c>
      <c r="C250" s="58">
        <v>5075</v>
      </c>
      <c r="D250" s="59">
        <v>1643</v>
      </c>
      <c r="E250" s="59">
        <v>-1023.5</v>
      </c>
      <c r="F250" s="60" t="str">
        <f t="shared" si="18"/>
        <v>AX</v>
      </c>
    </row>
    <row r="251" spans="1:6" ht="15" x14ac:dyDescent="0.35">
      <c r="A251" s="58" t="s">
        <v>307</v>
      </c>
      <c r="B251" s="58" t="s">
        <v>180</v>
      </c>
      <c r="C251" s="58">
        <v>5075</v>
      </c>
      <c r="D251" s="59">
        <v>1666.5324000000001</v>
      </c>
      <c r="E251" s="59">
        <v>-1341.5971999999999</v>
      </c>
      <c r="F251" s="60" t="str">
        <f t="shared" si="18"/>
        <v>AX</v>
      </c>
    </row>
    <row r="252" spans="1:6" ht="15" x14ac:dyDescent="0.35">
      <c r="A252" s="58" t="s">
        <v>307</v>
      </c>
      <c r="B252" s="58" t="s">
        <v>182</v>
      </c>
      <c r="C252" s="58">
        <v>5075</v>
      </c>
      <c r="D252" s="59">
        <v>1744.1111000000001</v>
      </c>
      <c r="E252" s="59">
        <v>-1034.7125000000001</v>
      </c>
      <c r="F252" s="60" t="str">
        <f t="shared" si="18"/>
        <v>AX</v>
      </c>
    </row>
    <row r="253" spans="1:6" ht="15" x14ac:dyDescent="0.35">
      <c r="A253" s="58" t="s">
        <v>308</v>
      </c>
      <c r="B253" s="58" t="s">
        <v>172</v>
      </c>
      <c r="C253" s="58">
        <v>2135</v>
      </c>
      <c r="D253" s="59">
        <v>2111</v>
      </c>
      <c r="E253" s="59">
        <v>1489</v>
      </c>
      <c r="F253" s="60" t="str">
        <f t="shared" si="18"/>
        <v>AY</v>
      </c>
    </row>
    <row r="254" spans="1:6" ht="15" x14ac:dyDescent="0.35">
      <c r="A254" s="58" t="s">
        <v>308</v>
      </c>
      <c r="B254" s="58" t="s">
        <v>176</v>
      </c>
      <c r="C254" s="58">
        <v>2135</v>
      </c>
      <c r="D254" s="59">
        <v>1754.75</v>
      </c>
      <c r="E254" s="59">
        <v>776.5</v>
      </c>
      <c r="F254" s="60" t="str">
        <f t="shared" si="18"/>
        <v>AY</v>
      </c>
    </row>
    <row r="255" spans="1:6" ht="15" x14ac:dyDescent="0.35">
      <c r="A255" s="58" t="s">
        <v>308</v>
      </c>
      <c r="B255" s="58" t="s">
        <v>180</v>
      </c>
      <c r="C255" s="58">
        <v>2135</v>
      </c>
      <c r="D255" s="59">
        <v>1518.4322</v>
      </c>
      <c r="E255" s="59">
        <v>303.86439999999999</v>
      </c>
      <c r="F255" s="60" t="str">
        <f t="shared" si="18"/>
        <v>AY</v>
      </c>
    </row>
    <row r="256" spans="1:6" ht="15" x14ac:dyDescent="0.35">
      <c r="A256" s="58" t="s">
        <v>308</v>
      </c>
      <c r="B256" s="58" t="s">
        <v>182</v>
      </c>
      <c r="C256" s="58">
        <v>2135</v>
      </c>
      <c r="D256" s="59">
        <v>2522.038</v>
      </c>
      <c r="E256" s="59">
        <v>1914.5014000000001</v>
      </c>
      <c r="F256" s="60" t="str">
        <f t="shared" si="18"/>
        <v>AY</v>
      </c>
    </row>
    <row r="257" spans="1:6" ht="15" x14ac:dyDescent="0.35">
      <c r="A257" s="58" t="s">
        <v>309</v>
      </c>
      <c r="B257" s="58" t="s">
        <v>172</v>
      </c>
      <c r="C257" s="58">
        <v>802</v>
      </c>
      <c r="D257" s="59">
        <v>686</v>
      </c>
      <c r="E257" s="59">
        <v>-682</v>
      </c>
      <c r="F257" s="60" t="str">
        <f t="shared" si="18"/>
        <v>AZ</v>
      </c>
    </row>
    <row r="258" spans="1:6" ht="15" x14ac:dyDescent="0.35">
      <c r="A258" s="58" t="s">
        <v>309</v>
      </c>
      <c r="B258" s="58" t="s">
        <v>176</v>
      </c>
      <c r="C258" s="58">
        <v>802</v>
      </c>
      <c r="D258" s="59">
        <v>642.75</v>
      </c>
      <c r="E258" s="59">
        <v>-611.5</v>
      </c>
      <c r="F258" s="60" t="str">
        <f t="shared" si="18"/>
        <v>AZ</v>
      </c>
    </row>
    <row r="259" spans="1:6" ht="15" x14ac:dyDescent="0.35">
      <c r="A259" s="58" t="s">
        <v>309</v>
      </c>
      <c r="B259" s="58" t="s">
        <v>180</v>
      </c>
      <c r="C259" s="58">
        <v>802</v>
      </c>
      <c r="D259" s="59">
        <v>762.21280000000002</v>
      </c>
      <c r="E259" s="59">
        <v>-245.5744</v>
      </c>
      <c r="F259" s="60" t="str">
        <f t="shared" si="18"/>
        <v>AZ</v>
      </c>
    </row>
    <row r="260" spans="1:6" ht="15" x14ac:dyDescent="0.35">
      <c r="A260" s="58" t="s">
        <v>309</v>
      </c>
      <c r="B260" s="58" t="s">
        <v>182</v>
      </c>
      <c r="C260" s="58">
        <v>802</v>
      </c>
      <c r="D260" s="59">
        <v>669.75300000000004</v>
      </c>
      <c r="E260" s="59">
        <v>-512.03700000000003</v>
      </c>
      <c r="F260" s="60" t="str">
        <f t="shared" si="18"/>
        <v>AZ</v>
      </c>
    </row>
    <row r="261" spans="1:6" ht="15" x14ac:dyDescent="0.35">
      <c r="A261" s="58" t="s">
        <v>310</v>
      </c>
      <c r="B261" s="58" t="s">
        <v>172</v>
      </c>
      <c r="C261" s="58">
        <v>1122</v>
      </c>
      <c r="D261" s="59">
        <v>766</v>
      </c>
      <c r="E261" s="59">
        <v>-546</v>
      </c>
      <c r="F261" s="60" t="str">
        <f t="shared" ref="F261:F324" si="19">_xlfn.XLOOKUP(A261,ClsCode,ClsClass)</f>
        <v>AY</v>
      </c>
    </row>
    <row r="262" spans="1:6" ht="15" x14ac:dyDescent="0.35">
      <c r="A262" s="58" t="s">
        <v>310</v>
      </c>
      <c r="B262" s="58" t="s">
        <v>176</v>
      </c>
      <c r="C262" s="58">
        <v>1122</v>
      </c>
      <c r="D262" s="59">
        <v>757.5</v>
      </c>
      <c r="E262" s="59">
        <v>-495</v>
      </c>
      <c r="F262" s="60" t="str">
        <f t="shared" si="19"/>
        <v>AY</v>
      </c>
    </row>
    <row r="263" spans="1:6" ht="15" x14ac:dyDescent="0.35">
      <c r="A263" s="58" t="s">
        <v>310</v>
      </c>
      <c r="B263" s="58" t="s">
        <v>180</v>
      </c>
      <c r="C263" s="58">
        <v>1122</v>
      </c>
      <c r="D263" s="59">
        <v>718.1318</v>
      </c>
      <c r="E263" s="59">
        <v>-258.79079999999999</v>
      </c>
      <c r="F263" s="60" t="str">
        <f t="shared" si="19"/>
        <v>AY</v>
      </c>
    </row>
    <row r="264" spans="1:6" ht="15" x14ac:dyDescent="0.35">
      <c r="A264" s="58" t="s">
        <v>310</v>
      </c>
      <c r="B264" s="58" t="s">
        <v>182</v>
      </c>
      <c r="C264" s="58">
        <v>1122</v>
      </c>
      <c r="D264" s="59">
        <v>736.79960000000005</v>
      </c>
      <c r="E264" s="59">
        <v>-186.24199999999999</v>
      </c>
      <c r="F264" s="60" t="str">
        <f t="shared" si="19"/>
        <v>AY</v>
      </c>
    </row>
    <row r="265" spans="1:6" ht="15" x14ac:dyDescent="0.35">
      <c r="A265" s="58" t="s">
        <v>311</v>
      </c>
      <c r="B265" s="58" t="s">
        <v>172</v>
      </c>
      <c r="C265" s="58">
        <v>67</v>
      </c>
      <c r="D265" s="59">
        <v>69</v>
      </c>
      <c r="E265" s="59">
        <v>-19</v>
      </c>
      <c r="F265" s="60" t="str">
        <f t="shared" si="19"/>
        <v>AZ</v>
      </c>
    </row>
    <row r="266" spans="1:6" ht="15" x14ac:dyDescent="0.35">
      <c r="A266" s="58" t="s">
        <v>311</v>
      </c>
      <c r="B266" s="58" t="s">
        <v>176</v>
      </c>
      <c r="C266" s="58">
        <v>67</v>
      </c>
      <c r="D266" s="59">
        <v>109</v>
      </c>
      <c r="E266" s="59">
        <v>59</v>
      </c>
      <c r="F266" s="60" t="str">
        <f t="shared" si="19"/>
        <v>AZ</v>
      </c>
    </row>
    <row r="267" spans="1:6" ht="15" x14ac:dyDescent="0.35">
      <c r="A267" s="58" t="s">
        <v>311</v>
      </c>
      <c r="B267" s="58" t="s">
        <v>180</v>
      </c>
      <c r="C267" s="58">
        <v>67</v>
      </c>
      <c r="D267" s="59">
        <v>83.872799999999998</v>
      </c>
      <c r="E267" s="59">
        <v>10.7456</v>
      </c>
      <c r="F267" s="60" t="str">
        <f t="shared" si="19"/>
        <v>AZ</v>
      </c>
    </row>
    <row r="268" spans="1:6" ht="15" x14ac:dyDescent="0.35">
      <c r="A268" s="58" t="s">
        <v>311</v>
      </c>
      <c r="B268" s="58" t="s">
        <v>182</v>
      </c>
      <c r="C268" s="58">
        <v>67</v>
      </c>
      <c r="D268" s="59">
        <v>93.174099999999996</v>
      </c>
      <c r="E268" s="59">
        <v>42.6755</v>
      </c>
      <c r="F268" s="60" t="str">
        <f t="shared" si="19"/>
        <v>AZ</v>
      </c>
    </row>
    <row r="269" spans="1:6" ht="15" x14ac:dyDescent="0.35">
      <c r="A269" s="58" t="s">
        <v>312</v>
      </c>
      <c r="B269" s="58" t="s">
        <v>172</v>
      </c>
      <c r="C269" s="58">
        <v>1461</v>
      </c>
      <c r="D269" s="59">
        <v>979</v>
      </c>
      <c r="E269" s="59">
        <v>-933</v>
      </c>
      <c r="F269" s="60" t="str">
        <f t="shared" si="19"/>
        <v>AY</v>
      </c>
    </row>
    <row r="270" spans="1:6" ht="15" x14ac:dyDescent="0.35">
      <c r="A270" s="58" t="s">
        <v>312</v>
      </c>
      <c r="B270" s="58" t="s">
        <v>176</v>
      </c>
      <c r="C270" s="58">
        <v>1461</v>
      </c>
      <c r="D270" s="59">
        <v>612</v>
      </c>
      <c r="E270" s="59">
        <v>525</v>
      </c>
      <c r="F270" s="60" t="str">
        <f t="shared" si="19"/>
        <v>AY</v>
      </c>
    </row>
    <row r="271" spans="1:6" ht="15" x14ac:dyDescent="0.35">
      <c r="A271" s="58" t="s">
        <v>312</v>
      </c>
      <c r="B271" s="58" t="s">
        <v>180</v>
      </c>
      <c r="C271" s="58">
        <v>1461</v>
      </c>
      <c r="D271" s="59">
        <v>527</v>
      </c>
      <c r="E271" s="59">
        <v>119.29559999999999</v>
      </c>
      <c r="F271" s="60" t="str">
        <f t="shared" si="19"/>
        <v>AY</v>
      </c>
    </row>
    <row r="272" spans="1:6" ht="15" x14ac:dyDescent="0.35">
      <c r="A272" s="58" t="s">
        <v>312</v>
      </c>
      <c r="B272" s="58" t="s">
        <v>182</v>
      </c>
      <c r="C272" s="58">
        <v>1461</v>
      </c>
      <c r="D272" s="59">
        <v>554.46249999999998</v>
      </c>
      <c r="E272" s="59">
        <v>-94.218699999999998</v>
      </c>
      <c r="F272" s="60" t="str">
        <f t="shared" si="19"/>
        <v>AY</v>
      </c>
    </row>
    <row r="273" spans="1:6" ht="15" x14ac:dyDescent="0.35">
      <c r="A273" s="58" t="s">
        <v>313</v>
      </c>
      <c r="B273" s="58" t="s">
        <v>172</v>
      </c>
      <c r="C273" s="58">
        <v>2173</v>
      </c>
      <c r="D273" s="59">
        <v>1371</v>
      </c>
      <c r="E273" s="59">
        <v>-1</v>
      </c>
      <c r="F273" s="60" t="str">
        <f t="shared" si="19"/>
        <v>AY</v>
      </c>
    </row>
    <row r="274" spans="1:6" ht="15" x14ac:dyDescent="0.35">
      <c r="A274" s="58" t="s">
        <v>313</v>
      </c>
      <c r="B274" s="58" t="s">
        <v>176</v>
      </c>
      <c r="C274" s="58">
        <v>2173</v>
      </c>
      <c r="D274" s="59">
        <v>2914</v>
      </c>
      <c r="E274" s="59">
        <v>2201</v>
      </c>
      <c r="F274" s="60" t="str">
        <f t="shared" si="19"/>
        <v>AY</v>
      </c>
    </row>
    <row r="275" spans="1:6" ht="15" x14ac:dyDescent="0.35">
      <c r="A275" s="58" t="s">
        <v>313</v>
      </c>
      <c r="B275" s="58" t="s">
        <v>180</v>
      </c>
      <c r="C275" s="58">
        <v>2173</v>
      </c>
      <c r="D275" s="59">
        <v>3221.35</v>
      </c>
      <c r="E275" s="59">
        <v>2569.8200000000002</v>
      </c>
      <c r="F275" s="60" t="str">
        <f t="shared" si="19"/>
        <v>AY</v>
      </c>
    </row>
    <row r="276" spans="1:6" ht="15" x14ac:dyDescent="0.35">
      <c r="A276" s="58" t="s">
        <v>313</v>
      </c>
      <c r="B276" s="58" t="s">
        <v>182</v>
      </c>
      <c r="C276" s="58">
        <v>2173</v>
      </c>
      <c r="D276" s="59">
        <v>3937.2649000000001</v>
      </c>
      <c r="E276" s="59">
        <v>3230.4529000000002</v>
      </c>
      <c r="F276" s="60" t="str">
        <f t="shared" si="19"/>
        <v>AY</v>
      </c>
    </row>
    <row r="277" spans="1:6" ht="15" x14ac:dyDescent="0.35">
      <c r="A277" s="58" t="s">
        <v>314</v>
      </c>
      <c r="B277" s="58" t="s">
        <v>172</v>
      </c>
      <c r="C277" s="58">
        <v>1935</v>
      </c>
      <c r="D277" s="59">
        <v>1013</v>
      </c>
      <c r="E277" s="59">
        <v>777</v>
      </c>
      <c r="F277" s="60" t="str">
        <f t="shared" si="19"/>
        <v>AX</v>
      </c>
    </row>
    <row r="278" spans="1:6" ht="15" x14ac:dyDescent="0.35">
      <c r="A278" s="58" t="s">
        <v>314</v>
      </c>
      <c r="B278" s="58" t="s">
        <v>176</v>
      </c>
      <c r="C278" s="58">
        <v>1935</v>
      </c>
      <c r="D278" s="59">
        <v>1373</v>
      </c>
      <c r="E278" s="59">
        <v>1209</v>
      </c>
      <c r="F278" s="60" t="str">
        <f t="shared" si="19"/>
        <v>AX</v>
      </c>
    </row>
    <row r="279" spans="1:6" ht="15" x14ac:dyDescent="0.35">
      <c r="A279" s="58" t="s">
        <v>314</v>
      </c>
      <c r="B279" s="58" t="s">
        <v>180</v>
      </c>
      <c r="C279" s="58">
        <v>1935</v>
      </c>
      <c r="D279" s="59">
        <v>922.13800000000003</v>
      </c>
      <c r="E279" s="59">
        <v>667.96559999999999</v>
      </c>
      <c r="F279" s="60" t="str">
        <f t="shared" si="19"/>
        <v>AX</v>
      </c>
    </row>
    <row r="280" spans="1:6" ht="15" x14ac:dyDescent="0.35">
      <c r="A280" s="58" t="s">
        <v>314</v>
      </c>
      <c r="B280" s="58" t="s">
        <v>182</v>
      </c>
      <c r="C280" s="58">
        <v>1935</v>
      </c>
      <c r="D280" s="59">
        <v>569.77790000000005</v>
      </c>
      <c r="E280" s="59">
        <v>-330.62349999999998</v>
      </c>
      <c r="F280" s="60" t="str">
        <f t="shared" si="19"/>
        <v>AX</v>
      </c>
    </row>
    <row r="281" spans="1:6" ht="15" x14ac:dyDescent="0.35">
      <c r="A281" s="58" t="s">
        <v>315</v>
      </c>
      <c r="B281" s="58" t="s">
        <v>172</v>
      </c>
      <c r="C281" s="58">
        <v>2404</v>
      </c>
      <c r="D281" s="59">
        <v>1252</v>
      </c>
      <c r="E281" s="59">
        <v>-1252</v>
      </c>
      <c r="F281" s="60" t="str">
        <f t="shared" si="19"/>
        <v>AX</v>
      </c>
    </row>
    <row r="282" spans="1:6" ht="15" x14ac:dyDescent="0.35">
      <c r="A282" s="58" t="s">
        <v>315</v>
      </c>
      <c r="B282" s="58" t="s">
        <v>176</v>
      </c>
      <c r="C282" s="58">
        <v>2404</v>
      </c>
      <c r="D282" s="59">
        <v>1133.75</v>
      </c>
      <c r="E282" s="59">
        <v>-1055.5</v>
      </c>
      <c r="F282" s="60" t="str">
        <f t="shared" si="19"/>
        <v>AX</v>
      </c>
    </row>
    <row r="283" spans="1:6" ht="15" x14ac:dyDescent="0.35">
      <c r="A283" s="58" t="s">
        <v>315</v>
      </c>
      <c r="B283" s="58" t="s">
        <v>180</v>
      </c>
      <c r="C283" s="58">
        <v>2404</v>
      </c>
      <c r="D283" s="59">
        <v>1283.4292</v>
      </c>
      <c r="E283" s="59">
        <v>-1283.4292</v>
      </c>
      <c r="F283" s="60" t="str">
        <f t="shared" si="19"/>
        <v>AX</v>
      </c>
    </row>
    <row r="284" spans="1:6" ht="15" x14ac:dyDescent="0.35">
      <c r="A284" s="58" t="s">
        <v>315</v>
      </c>
      <c r="B284" s="58" t="s">
        <v>182</v>
      </c>
      <c r="C284" s="58">
        <v>2404</v>
      </c>
      <c r="D284" s="59">
        <v>1061.2829999999999</v>
      </c>
      <c r="E284" s="59">
        <v>398.69779999999997</v>
      </c>
      <c r="F284" s="60" t="str">
        <f t="shared" si="19"/>
        <v>AX</v>
      </c>
    </row>
    <row r="285" spans="1:6" ht="15" x14ac:dyDescent="0.35">
      <c r="A285" s="58" t="s">
        <v>316</v>
      </c>
      <c r="B285" s="58" t="s">
        <v>172</v>
      </c>
      <c r="C285" s="58">
        <v>2926</v>
      </c>
      <c r="D285" s="59">
        <v>1352</v>
      </c>
      <c r="E285" s="59">
        <v>-1258</v>
      </c>
      <c r="F285" s="60" t="str">
        <f t="shared" si="19"/>
        <v>AX</v>
      </c>
    </row>
    <row r="286" spans="1:6" ht="15" x14ac:dyDescent="0.35">
      <c r="A286" s="58" t="s">
        <v>316</v>
      </c>
      <c r="B286" s="58" t="s">
        <v>176</v>
      </c>
      <c r="C286" s="58">
        <v>2926</v>
      </c>
      <c r="D286" s="59">
        <v>924.5</v>
      </c>
      <c r="E286" s="59">
        <v>213.5</v>
      </c>
      <c r="F286" s="60" t="str">
        <f t="shared" si="19"/>
        <v>AX</v>
      </c>
    </row>
    <row r="287" spans="1:6" ht="15" x14ac:dyDescent="0.35">
      <c r="A287" s="58" t="s">
        <v>316</v>
      </c>
      <c r="B287" s="58" t="s">
        <v>180</v>
      </c>
      <c r="C287" s="58">
        <v>2926</v>
      </c>
      <c r="D287" s="59">
        <v>898.88059999999996</v>
      </c>
      <c r="E287" s="59">
        <v>-27.2836</v>
      </c>
      <c r="F287" s="60" t="str">
        <f t="shared" si="19"/>
        <v>AX</v>
      </c>
    </row>
    <row r="288" spans="1:6" ht="15" x14ac:dyDescent="0.35">
      <c r="A288" s="58" t="s">
        <v>316</v>
      </c>
      <c r="B288" s="58" t="s">
        <v>182</v>
      </c>
      <c r="C288" s="58">
        <v>2926</v>
      </c>
      <c r="D288" s="59">
        <v>1249.5999999999999</v>
      </c>
      <c r="E288" s="59">
        <v>-1028.4222</v>
      </c>
      <c r="F288" s="60" t="str">
        <f t="shared" si="19"/>
        <v>AX</v>
      </c>
    </row>
    <row r="289" spans="1:6" ht="15" x14ac:dyDescent="0.35">
      <c r="A289" s="58" t="s">
        <v>317</v>
      </c>
      <c r="B289" s="58" t="s">
        <v>172</v>
      </c>
      <c r="C289" s="58">
        <v>3576</v>
      </c>
      <c r="D289" s="59">
        <v>3302</v>
      </c>
      <c r="E289" s="59">
        <v>-3276</v>
      </c>
      <c r="F289" s="60" t="str">
        <f t="shared" si="19"/>
        <v>AY</v>
      </c>
    </row>
    <row r="290" spans="1:6" ht="15" x14ac:dyDescent="0.35">
      <c r="A290" s="58" t="s">
        <v>317</v>
      </c>
      <c r="B290" s="58" t="s">
        <v>176</v>
      </c>
      <c r="C290" s="58">
        <v>3576</v>
      </c>
      <c r="D290" s="59">
        <v>3275.75</v>
      </c>
      <c r="E290" s="59">
        <v>-3244.5</v>
      </c>
      <c r="F290" s="60" t="str">
        <f t="shared" si="19"/>
        <v>AY</v>
      </c>
    </row>
    <row r="291" spans="1:6" ht="15" x14ac:dyDescent="0.35">
      <c r="A291" s="58" t="s">
        <v>317</v>
      </c>
      <c r="B291" s="58" t="s">
        <v>180</v>
      </c>
      <c r="C291" s="58">
        <v>3576</v>
      </c>
      <c r="D291" s="59">
        <v>3127.4090000000001</v>
      </c>
      <c r="E291" s="59">
        <v>-3066.4908</v>
      </c>
      <c r="F291" s="60" t="str">
        <f t="shared" si="19"/>
        <v>AY</v>
      </c>
    </row>
    <row r="292" spans="1:6" ht="15" x14ac:dyDescent="0.35">
      <c r="A292" s="58" t="s">
        <v>317</v>
      </c>
      <c r="B292" s="58" t="s">
        <v>182</v>
      </c>
      <c r="C292" s="58">
        <v>3576</v>
      </c>
      <c r="D292" s="59">
        <v>2938.2905000000001</v>
      </c>
      <c r="E292" s="59">
        <v>-2818.0468999999998</v>
      </c>
      <c r="F292" s="60" t="str">
        <f t="shared" si="19"/>
        <v>AY</v>
      </c>
    </row>
    <row r="293" spans="1:6" ht="15" x14ac:dyDescent="0.35">
      <c r="A293" s="58" t="s">
        <v>318</v>
      </c>
      <c r="B293" s="58" t="s">
        <v>172</v>
      </c>
      <c r="C293" s="58">
        <v>378</v>
      </c>
      <c r="D293" s="59">
        <v>250</v>
      </c>
      <c r="E293" s="59">
        <v>-174</v>
      </c>
      <c r="F293" s="60" t="str">
        <f t="shared" si="19"/>
        <v>AY</v>
      </c>
    </row>
    <row r="294" spans="1:6" ht="15" x14ac:dyDescent="0.35">
      <c r="A294" s="58" t="s">
        <v>318</v>
      </c>
      <c r="B294" s="58" t="s">
        <v>176</v>
      </c>
      <c r="C294" s="58">
        <v>378</v>
      </c>
      <c r="D294" s="59">
        <v>337</v>
      </c>
      <c r="E294" s="59">
        <v>217.5</v>
      </c>
      <c r="F294" s="60" t="str">
        <f t="shared" si="19"/>
        <v>AY</v>
      </c>
    </row>
    <row r="295" spans="1:6" ht="15" x14ac:dyDescent="0.35">
      <c r="A295" s="58" t="s">
        <v>318</v>
      </c>
      <c r="B295" s="58" t="s">
        <v>180</v>
      </c>
      <c r="C295" s="58">
        <v>378</v>
      </c>
      <c r="D295" s="59">
        <v>251.47720000000001</v>
      </c>
      <c r="E295" s="59">
        <v>56.9544</v>
      </c>
      <c r="F295" s="60" t="str">
        <f t="shared" si="19"/>
        <v>AY</v>
      </c>
    </row>
    <row r="296" spans="1:6" ht="15" x14ac:dyDescent="0.35">
      <c r="A296" s="58" t="s">
        <v>318</v>
      </c>
      <c r="B296" s="58" t="s">
        <v>182</v>
      </c>
      <c r="C296" s="58">
        <v>378</v>
      </c>
      <c r="D296" s="59">
        <v>243.8126</v>
      </c>
      <c r="E296" s="59">
        <v>-154.65260000000001</v>
      </c>
      <c r="F296" s="60" t="str">
        <f t="shared" si="19"/>
        <v>AY</v>
      </c>
    </row>
    <row r="297" spans="1:6" ht="15" x14ac:dyDescent="0.35">
      <c r="A297" s="58" t="s">
        <v>319</v>
      </c>
      <c r="B297" s="58" t="s">
        <v>172</v>
      </c>
      <c r="C297" s="58">
        <v>1205</v>
      </c>
      <c r="D297" s="59">
        <v>529</v>
      </c>
      <c r="E297" s="59">
        <v>-41</v>
      </c>
      <c r="F297" s="60" t="str">
        <f t="shared" si="19"/>
        <v>AZ</v>
      </c>
    </row>
    <row r="298" spans="1:6" ht="15" x14ac:dyDescent="0.35">
      <c r="A298" s="58" t="s">
        <v>319</v>
      </c>
      <c r="B298" s="58" t="s">
        <v>176</v>
      </c>
      <c r="C298" s="58">
        <v>1205</v>
      </c>
      <c r="D298" s="59">
        <v>545.5</v>
      </c>
      <c r="E298" s="59">
        <v>-212</v>
      </c>
      <c r="F298" s="60" t="str">
        <f t="shared" si="19"/>
        <v>AZ</v>
      </c>
    </row>
    <row r="299" spans="1:6" ht="15" x14ac:dyDescent="0.35">
      <c r="A299" s="58" t="s">
        <v>319</v>
      </c>
      <c r="B299" s="58" t="s">
        <v>180</v>
      </c>
      <c r="C299" s="58">
        <v>1205</v>
      </c>
      <c r="D299" s="59">
        <v>533.82780000000002</v>
      </c>
      <c r="E299" s="59">
        <v>-12.033200000000001</v>
      </c>
      <c r="F299" s="60" t="str">
        <f t="shared" si="19"/>
        <v>AZ</v>
      </c>
    </row>
    <row r="300" spans="1:6" ht="15" x14ac:dyDescent="0.35">
      <c r="A300" s="58" t="s">
        <v>319</v>
      </c>
      <c r="B300" s="58" t="s">
        <v>182</v>
      </c>
      <c r="C300" s="58">
        <v>1205</v>
      </c>
      <c r="D300" s="59">
        <v>907.87509999999997</v>
      </c>
      <c r="E300" s="59">
        <v>467.18110000000001</v>
      </c>
      <c r="F300" s="60" t="str">
        <f t="shared" si="19"/>
        <v>AZ</v>
      </c>
    </row>
    <row r="301" spans="1:6" ht="15" x14ac:dyDescent="0.35">
      <c r="A301" s="58" t="s">
        <v>320</v>
      </c>
      <c r="B301" s="58" t="s">
        <v>172</v>
      </c>
      <c r="C301" s="58">
        <v>1882</v>
      </c>
      <c r="D301" s="59">
        <v>1426</v>
      </c>
      <c r="E301" s="59">
        <v>-1426</v>
      </c>
      <c r="F301" s="60" t="str">
        <f t="shared" si="19"/>
        <v>AZ</v>
      </c>
    </row>
    <row r="302" spans="1:6" ht="15" x14ac:dyDescent="0.35">
      <c r="A302" s="58" t="s">
        <v>320</v>
      </c>
      <c r="B302" s="58" t="s">
        <v>176</v>
      </c>
      <c r="C302" s="58">
        <v>1882</v>
      </c>
      <c r="D302" s="59">
        <v>1496.5</v>
      </c>
      <c r="E302" s="59">
        <v>-1496.5</v>
      </c>
      <c r="F302" s="60" t="str">
        <f t="shared" si="19"/>
        <v>AZ</v>
      </c>
    </row>
    <row r="303" spans="1:6" ht="15" x14ac:dyDescent="0.35">
      <c r="A303" s="58" t="s">
        <v>320</v>
      </c>
      <c r="B303" s="58" t="s">
        <v>180</v>
      </c>
      <c r="C303" s="58">
        <v>1882</v>
      </c>
      <c r="D303" s="59">
        <v>1434.4480000000001</v>
      </c>
      <c r="E303" s="59">
        <v>-1434.4480000000001</v>
      </c>
      <c r="F303" s="60" t="str">
        <f t="shared" si="19"/>
        <v>AZ</v>
      </c>
    </row>
    <row r="304" spans="1:6" ht="15" x14ac:dyDescent="0.35">
      <c r="A304" s="58" t="s">
        <v>320</v>
      </c>
      <c r="B304" s="58" t="s">
        <v>182</v>
      </c>
      <c r="C304" s="58">
        <v>1882</v>
      </c>
      <c r="D304" s="59">
        <v>1082.8342</v>
      </c>
      <c r="E304" s="59">
        <v>-158.60839999999999</v>
      </c>
      <c r="F304" s="60" t="str">
        <f t="shared" si="19"/>
        <v>AZ</v>
      </c>
    </row>
    <row r="305" spans="1:6" ht="15" x14ac:dyDescent="0.35">
      <c r="A305" s="58" t="s">
        <v>321</v>
      </c>
      <c r="B305" s="58" t="s">
        <v>172</v>
      </c>
      <c r="C305" s="58">
        <v>525</v>
      </c>
      <c r="D305" s="59">
        <v>143</v>
      </c>
      <c r="E305" s="59">
        <v>27</v>
      </c>
      <c r="F305" s="60" t="str">
        <f t="shared" si="19"/>
        <v>AX</v>
      </c>
    </row>
    <row r="306" spans="1:6" ht="15" x14ac:dyDescent="0.35">
      <c r="A306" s="58" t="s">
        <v>321</v>
      </c>
      <c r="B306" s="58" t="s">
        <v>176</v>
      </c>
      <c r="C306" s="58">
        <v>525</v>
      </c>
      <c r="D306" s="59">
        <v>132</v>
      </c>
      <c r="E306" s="59">
        <v>-6</v>
      </c>
      <c r="F306" s="60" t="str">
        <f t="shared" si="19"/>
        <v>AX</v>
      </c>
    </row>
    <row r="307" spans="1:6" ht="15" x14ac:dyDescent="0.35">
      <c r="A307" s="58" t="s">
        <v>321</v>
      </c>
      <c r="B307" s="58" t="s">
        <v>180</v>
      </c>
      <c r="C307" s="58">
        <v>525</v>
      </c>
      <c r="D307" s="59">
        <v>132.53399999999999</v>
      </c>
      <c r="E307" s="59">
        <v>-30.204000000000001</v>
      </c>
      <c r="F307" s="60" t="str">
        <f t="shared" si="19"/>
        <v>AX</v>
      </c>
    </row>
    <row r="308" spans="1:6" ht="15" x14ac:dyDescent="0.35">
      <c r="A308" s="58" t="s">
        <v>321</v>
      </c>
      <c r="B308" s="58" t="s">
        <v>182</v>
      </c>
      <c r="C308" s="58">
        <v>525</v>
      </c>
      <c r="D308" s="59">
        <v>243.63579999999999</v>
      </c>
      <c r="E308" s="59">
        <v>234.9408</v>
      </c>
      <c r="F308" s="60" t="str">
        <f t="shared" si="19"/>
        <v>AX</v>
      </c>
    </row>
    <row r="309" spans="1:6" ht="15" x14ac:dyDescent="0.35">
      <c r="A309" s="58" t="s">
        <v>322</v>
      </c>
      <c r="B309" s="58" t="s">
        <v>172</v>
      </c>
      <c r="C309" s="58">
        <v>1838</v>
      </c>
      <c r="D309" s="59">
        <v>706</v>
      </c>
      <c r="E309" s="59">
        <v>-398</v>
      </c>
      <c r="F309" s="60" t="str">
        <f t="shared" si="19"/>
        <v>AX</v>
      </c>
    </row>
    <row r="310" spans="1:6" ht="15" x14ac:dyDescent="0.35">
      <c r="A310" s="58" t="s">
        <v>322</v>
      </c>
      <c r="B310" s="58" t="s">
        <v>176</v>
      </c>
      <c r="C310" s="58">
        <v>1838</v>
      </c>
      <c r="D310" s="59">
        <v>2071</v>
      </c>
      <c r="E310" s="59">
        <v>2071</v>
      </c>
      <c r="F310" s="60" t="str">
        <f t="shared" si="19"/>
        <v>AX</v>
      </c>
    </row>
    <row r="311" spans="1:6" ht="15" x14ac:dyDescent="0.35">
      <c r="A311" s="58" t="s">
        <v>322</v>
      </c>
      <c r="B311" s="58" t="s">
        <v>180</v>
      </c>
      <c r="C311" s="58">
        <v>1838</v>
      </c>
      <c r="D311" s="59">
        <v>1523.9331999999999</v>
      </c>
      <c r="E311" s="59">
        <v>1523.9331999999999</v>
      </c>
      <c r="F311" s="60" t="str">
        <f t="shared" si="19"/>
        <v>AX</v>
      </c>
    </row>
    <row r="312" spans="1:6" ht="15" x14ac:dyDescent="0.35">
      <c r="A312" s="58" t="s">
        <v>322</v>
      </c>
      <c r="B312" s="58" t="s">
        <v>182</v>
      </c>
      <c r="C312" s="58">
        <v>1838</v>
      </c>
      <c r="D312" s="59">
        <v>807.90459999999996</v>
      </c>
      <c r="E312" s="59">
        <v>160.8252</v>
      </c>
      <c r="F312" s="60" t="str">
        <f t="shared" si="19"/>
        <v>AX</v>
      </c>
    </row>
    <row r="313" spans="1:6" ht="15" x14ac:dyDescent="0.35">
      <c r="A313" s="58" t="s">
        <v>323</v>
      </c>
      <c r="B313" s="58" t="s">
        <v>172</v>
      </c>
      <c r="C313" s="58">
        <v>1196</v>
      </c>
      <c r="D313" s="59">
        <v>994</v>
      </c>
      <c r="E313" s="59">
        <v>-992</v>
      </c>
      <c r="F313" s="60" t="str">
        <f t="shared" si="19"/>
        <v>AY</v>
      </c>
    </row>
    <row r="314" spans="1:6" ht="15" x14ac:dyDescent="0.35">
      <c r="A314" s="58" t="s">
        <v>323</v>
      </c>
      <c r="B314" s="58" t="s">
        <v>176</v>
      </c>
      <c r="C314" s="58">
        <v>1196</v>
      </c>
      <c r="D314" s="59">
        <v>736.75</v>
      </c>
      <c r="E314" s="59">
        <v>-516.5</v>
      </c>
      <c r="F314" s="60" t="str">
        <f t="shared" si="19"/>
        <v>AY</v>
      </c>
    </row>
    <row r="315" spans="1:6" ht="15" x14ac:dyDescent="0.35">
      <c r="A315" s="58" t="s">
        <v>323</v>
      </c>
      <c r="B315" s="58" t="s">
        <v>180</v>
      </c>
      <c r="C315" s="58">
        <v>1196</v>
      </c>
      <c r="D315" s="59">
        <v>709.06979999999999</v>
      </c>
      <c r="E315" s="59">
        <v>-350.41879999999998</v>
      </c>
      <c r="F315" s="60" t="str">
        <f t="shared" si="19"/>
        <v>AY</v>
      </c>
    </row>
    <row r="316" spans="1:6" ht="15" x14ac:dyDescent="0.35">
      <c r="A316" s="58" t="s">
        <v>323</v>
      </c>
      <c r="B316" s="58" t="s">
        <v>182</v>
      </c>
      <c r="C316" s="58">
        <v>1196</v>
      </c>
      <c r="D316" s="59">
        <v>801.99329999999998</v>
      </c>
      <c r="E316" s="59">
        <v>-154.15170000000001</v>
      </c>
      <c r="F316" s="60" t="str">
        <f t="shared" si="19"/>
        <v>AY</v>
      </c>
    </row>
    <row r="317" spans="1:6" ht="15" x14ac:dyDescent="0.35">
      <c r="A317" s="58" t="s">
        <v>324</v>
      </c>
      <c r="B317" s="58" t="s">
        <v>172</v>
      </c>
      <c r="C317" s="58">
        <v>8091</v>
      </c>
      <c r="D317" s="59">
        <v>8693</v>
      </c>
      <c r="E317" s="59">
        <v>7941</v>
      </c>
      <c r="F317" s="60" t="str">
        <f t="shared" si="19"/>
        <v>AY</v>
      </c>
    </row>
    <row r="318" spans="1:6" ht="15" x14ac:dyDescent="0.35">
      <c r="A318" s="58" t="s">
        <v>324</v>
      </c>
      <c r="B318" s="58" t="s">
        <v>176</v>
      </c>
      <c r="C318" s="58">
        <v>8091</v>
      </c>
      <c r="D318" s="59">
        <v>4337</v>
      </c>
      <c r="E318" s="59">
        <v>-1597.5</v>
      </c>
      <c r="F318" s="60" t="str">
        <f t="shared" si="19"/>
        <v>AY</v>
      </c>
    </row>
    <row r="319" spans="1:6" ht="15" x14ac:dyDescent="0.35">
      <c r="A319" s="58" t="s">
        <v>324</v>
      </c>
      <c r="B319" s="58" t="s">
        <v>180</v>
      </c>
      <c r="C319" s="58">
        <v>8091</v>
      </c>
      <c r="D319" s="59">
        <v>4337</v>
      </c>
      <c r="E319" s="59">
        <v>-1602.7919999999999</v>
      </c>
      <c r="F319" s="60" t="str">
        <f t="shared" si="19"/>
        <v>AY</v>
      </c>
    </row>
    <row r="320" spans="1:6" ht="15" x14ac:dyDescent="0.35">
      <c r="A320" s="58" t="s">
        <v>324</v>
      </c>
      <c r="B320" s="58" t="s">
        <v>182</v>
      </c>
      <c r="C320" s="58">
        <v>8091</v>
      </c>
      <c r="D320" s="59">
        <v>4221.5123000000003</v>
      </c>
      <c r="E320" s="59">
        <v>714.75909999999999</v>
      </c>
      <c r="F320" s="60" t="str">
        <f t="shared" si="19"/>
        <v>AY</v>
      </c>
    </row>
    <row r="321" spans="1:6" ht="15" x14ac:dyDescent="0.35">
      <c r="A321" s="58" t="s">
        <v>325</v>
      </c>
      <c r="B321" s="58" t="s">
        <v>172</v>
      </c>
      <c r="C321" s="58">
        <v>546</v>
      </c>
      <c r="D321" s="59">
        <v>342</v>
      </c>
      <c r="E321" s="59">
        <v>-342</v>
      </c>
      <c r="F321" s="60" t="str">
        <f t="shared" si="19"/>
        <v>AX</v>
      </c>
    </row>
    <row r="322" spans="1:6" ht="15" x14ac:dyDescent="0.35">
      <c r="A322" s="58" t="s">
        <v>325</v>
      </c>
      <c r="B322" s="58" t="s">
        <v>176</v>
      </c>
      <c r="C322" s="58">
        <v>546</v>
      </c>
      <c r="D322" s="59">
        <v>181.25</v>
      </c>
      <c r="E322" s="59">
        <v>-109.5</v>
      </c>
      <c r="F322" s="60" t="str">
        <f t="shared" si="19"/>
        <v>AX</v>
      </c>
    </row>
    <row r="323" spans="1:6" ht="15" x14ac:dyDescent="0.35">
      <c r="A323" s="58" t="s">
        <v>325</v>
      </c>
      <c r="B323" s="58" t="s">
        <v>180</v>
      </c>
      <c r="C323" s="58">
        <v>546</v>
      </c>
      <c r="D323" s="59">
        <v>192.87979999999999</v>
      </c>
      <c r="E323" s="59">
        <v>-147.75960000000001</v>
      </c>
      <c r="F323" s="60" t="str">
        <f t="shared" si="19"/>
        <v>AX</v>
      </c>
    </row>
    <row r="324" spans="1:6" ht="15" x14ac:dyDescent="0.35">
      <c r="A324" s="58" t="s">
        <v>325</v>
      </c>
      <c r="B324" s="58" t="s">
        <v>182</v>
      </c>
      <c r="C324" s="58">
        <v>546</v>
      </c>
      <c r="D324" s="59">
        <v>166.72489999999999</v>
      </c>
      <c r="E324" s="59">
        <v>-11.320499999999999</v>
      </c>
      <c r="F324" s="60" t="str">
        <f t="shared" si="19"/>
        <v>AX</v>
      </c>
    </row>
    <row r="325" spans="1:6" ht="15" x14ac:dyDescent="0.35">
      <c r="A325" s="58" t="s">
        <v>326</v>
      </c>
      <c r="B325" s="58" t="s">
        <v>172</v>
      </c>
      <c r="C325" s="58">
        <v>3331</v>
      </c>
      <c r="D325" s="59">
        <v>1229</v>
      </c>
      <c r="E325" s="59">
        <v>-1207</v>
      </c>
      <c r="F325" s="60" t="str">
        <f t="shared" ref="F325:F388" si="20">_xlfn.XLOOKUP(A325,ClsCode,ClsClass)</f>
        <v>AX</v>
      </c>
    </row>
    <row r="326" spans="1:6" ht="15" x14ac:dyDescent="0.35">
      <c r="A326" s="58" t="s">
        <v>326</v>
      </c>
      <c r="B326" s="58" t="s">
        <v>176</v>
      </c>
      <c r="C326" s="58">
        <v>3331</v>
      </c>
      <c r="D326" s="59">
        <v>1320.25</v>
      </c>
      <c r="E326" s="59">
        <v>-1316.5</v>
      </c>
      <c r="F326" s="60" t="str">
        <f t="shared" si="20"/>
        <v>AX</v>
      </c>
    </row>
    <row r="327" spans="1:6" ht="15" x14ac:dyDescent="0.35">
      <c r="A327" s="58" t="s">
        <v>326</v>
      </c>
      <c r="B327" s="58" t="s">
        <v>180</v>
      </c>
      <c r="C327" s="58">
        <v>3331</v>
      </c>
      <c r="D327" s="59">
        <v>1231.8979999999999</v>
      </c>
      <c r="E327" s="59">
        <v>-1210.4775999999999</v>
      </c>
      <c r="F327" s="60" t="str">
        <f t="shared" si="20"/>
        <v>AX</v>
      </c>
    </row>
    <row r="328" spans="1:6" ht="15" x14ac:dyDescent="0.35">
      <c r="A328" s="58" t="s">
        <v>326</v>
      </c>
      <c r="B328" s="58" t="s">
        <v>182</v>
      </c>
      <c r="C328" s="58">
        <v>3331</v>
      </c>
      <c r="D328" s="59">
        <v>875.8288</v>
      </c>
      <c r="E328" s="59">
        <v>246.3758</v>
      </c>
      <c r="F328" s="60" t="str">
        <f t="shared" si="20"/>
        <v>AX</v>
      </c>
    </row>
    <row r="329" spans="1:6" ht="15" x14ac:dyDescent="0.35">
      <c r="A329" s="58" t="s">
        <v>327</v>
      </c>
      <c r="B329" s="58" t="s">
        <v>172</v>
      </c>
      <c r="C329" s="58">
        <v>2026</v>
      </c>
      <c r="D329" s="59">
        <v>2954</v>
      </c>
      <c r="E329" s="59">
        <v>2606</v>
      </c>
      <c r="F329" s="60" t="str">
        <f t="shared" si="20"/>
        <v>AY</v>
      </c>
    </row>
    <row r="330" spans="1:6" ht="15" x14ac:dyDescent="0.35">
      <c r="A330" s="58" t="s">
        <v>327</v>
      </c>
      <c r="B330" s="58" t="s">
        <v>176</v>
      </c>
      <c r="C330" s="58">
        <v>2026</v>
      </c>
      <c r="D330" s="59">
        <v>910.75</v>
      </c>
      <c r="E330" s="59">
        <v>-65.5</v>
      </c>
      <c r="F330" s="60" t="str">
        <f t="shared" si="20"/>
        <v>AY</v>
      </c>
    </row>
    <row r="331" spans="1:6" ht="15" x14ac:dyDescent="0.35">
      <c r="A331" s="58" t="s">
        <v>327</v>
      </c>
      <c r="B331" s="58" t="s">
        <v>180</v>
      </c>
      <c r="C331" s="58">
        <v>2026</v>
      </c>
      <c r="D331" s="59">
        <v>1213.3520000000001</v>
      </c>
      <c r="E331" s="59">
        <v>517.22239999999999</v>
      </c>
      <c r="F331" s="60" t="str">
        <f t="shared" si="20"/>
        <v>AY</v>
      </c>
    </row>
    <row r="332" spans="1:6" ht="15" x14ac:dyDescent="0.35">
      <c r="A332" s="58" t="s">
        <v>327</v>
      </c>
      <c r="B332" s="58" t="s">
        <v>182</v>
      </c>
      <c r="C332" s="58">
        <v>2026</v>
      </c>
      <c r="D332" s="59">
        <v>1145.7597000000001</v>
      </c>
      <c r="E332" s="59">
        <v>562.74149999999997</v>
      </c>
      <c r="F332" s="60" t="str">
        <f t="shared" si="20"/>
        <v>AY</v>
      </c>
    </row>
    <row r="333" spans="1:6" ht="15" x14ac:dyDescent="0.35">
      <c r="A333" s="58" t="s">
        <v>328</v>
      </c>
      <c r="B333" s="58" t="s">
        <v>172</v>
      </c>
      <c r="C333" s="58">
        <v>3370</v>
      </c>
      <c r="D333" s="59">
        <v>3166</v>
      </c>
      <c r="E333" s="59">
        <v>-3166</v>
      </c>
      <c r="F333" s="60" t="str">
        <f t="shared" si="20"/>
        <v>AY</v>
      </c>
    </row>
    <row r="334" spans="1:6" ht="15" x14ac:dyDescent="0.35">
      <c r="A334" s="58" t="s">
        <v>328</v>
      </c>
      <c r="B334" s="58" t="s">
        <v>176</v>
      </c>
      <c r="C334" s="58">
        <v>3370</v>
      </c>
      <c r="D334" s="59">
        <v>2986</v>
      </c>
      <c r="E334" s="59">
        <v>-2986</v>
      </c>
      <c r="F334" s="60" t="str">
        <f t="shared" si="20"/>
        <v>AY</v>
      </c>
    </row>
    <row r="335" spans="1:6" ht="15" x14ac:dyDescent="0.35">
      <c r="A335" s="58" t="s">
        <v>328</v>
      </c>
      <c r="B335" s="58" t="s">
        <v>180</v>
      </c>
      <c r="C335" s="58">
        <v>3370</v>
      </c>
      <c r="D335" s="59">
        <v>2416.81</v>
      </c>
      <c r="E335" s="59">
        <v>-2416.81</v>
      </c>
      <c r="F335" s="60" t="str">
        <f t="shared" si="20"/>
        <v>AY</v>
      </c>
    </row>
    <row r="336" spans="1:6" ht="15" x14ac:dyDescent="0.35">
      <c r="A336" s="58" t="s">
        <v>328</v>
      </c>
      <c r="B336" s="58" t="s">
        <v>182</v>
      </c>
      <c r="C336" s="58">
        <v>3370</v>
      </c>
      <c r="D336" s="59">
        <v>2284.2532000000001</v>
      </c>
      <c r="E336" s="59">
        <v>-2226.3798000000002</v>
      </c>
      <c r="F336" s="60" t="str">
        <f t="shared" si="20"/>
        <v>AY</v>
      </c>
    </row>
    <row r="337" spans="1:6" ht="15" x14ac:dyDescent="0.35">
      <c r="A337" s="58" t="s">
        <v>329</v>
      </c>
      <c r="B337" s="58" t="s">
        <v>172</v>
      </c>
      <c r="C337" s="58">
        <v>974</v>
      </c>
      <c r="D337" s="59">
        <v>770</v>
      </c>
      <c r="E337" s="59">
        <v>-770</v>
      </c>
      <c r="F337" s="60" t="str">
        <f t="shared" si="20"/>
        <v>AY</v>
      </c>
    </row>
    <row r="338" spans="1:6" ht="15" x14ac:dyDescent="0.35">
      <c r="A338" s="58" t="s">
        <v>329</v>
      </c>
      <c r="B338" s="58" t="s">
        <v>176</v>
      </c>
      <c r="C338" s="58">
        <v>974</v>
      </c>
      <c r="D338" s="59">
        <v>512</v>
      </c>
      <c r="E338" s="59">
        <v>-104</v>
      </c>
      <c r="F338" s="60" t="str">
        <f t="shared" si="20"/>
        <v>AY</v>
      </c>
    </row>
    <row r="339" spans="1:6" ht="15" x14ac:dyDescent="0.35">
      <c r="A339" s="58" t="s">
        <v>329</v>
      </c>
      <c r="B339" s="58" t="s">
        <v>180</v>
      </c>
      <c r="C339" s="58">
        <v>974</v>
      </c>
      <c r="D339" s="59">
        <v>558.97140000000002</v>
      </c>
      <c r="E339" s="59">
        <v>-519.94280000000003</v>
      </c>
      <c r="F339" s="60" t="str">
        <f t="shared" si="20"/>
        <v>AY</v>
      </c>
    </row>
    <row r="340" spans="1:6" ht="15" x14ac:dyDescent="0.35">
      <c r="A340" s="58" t="s">
        <v>329</v>
      </c>
      <c r="B340" s="58" t="s">
        <v>182</v>
      </c>
      <c r="C340" s="58">
        <v>974</v>
      </c>
      <c r="D340" s="59">
        <v>508.2996</v>
      </c>
      <c r="E340" s="59">
        <v>-30.424199999999999</v>
      </c>
      <c r="F340" s="60" t="str">
        <f t="shared" si="20"/>
        <v>AY</v>
      </c>
    </row>
    <row r="341" spans="1:6" ht="15" x14ac:dyDescent="0.35">
      <c r="A341" s="58" t="s">
        <v>330</v>
      </c>
      <c r="B341" s="58" t="s">
        <v>172</v>
      </c>
      <c r="C341" s="58">
        <v>2770</v>
      </c>
      <c r="D341" s="59">
        <v>1300</v>
      </c>
      <c r="E341" s="59">
        <v>-1222</v>
      </c>
      <c r="F341" s="60" t="str">
        <f t="shared" si="20"/>
        <v>AX</v>
      </c>
    </row>
    <row r="342" spans="1:6" ht="15" x14ac:dyDescent="0.35">
      <c r="A342" s="58" t="s">
        <v>330</v>
      </c>
      <c r="B342" s="58" t="s">
        <v>176</v>
      </c>
      <c r="C342" s="58">
        <v>2770</v>
      </c>
      <c r="D342" s="59">
        <v>844</v>
      </c>
      <c r="E342" s="59">
        <v>152</v>
      </c>
      <c r="F342" s="60" t="str">
        <f t="shared" si="20"/>
        <v>AX</v>
      </c>
    </row>
    <row r="343" spans="1:6" ht="15" x14ac:dyDescent="0.35">
      <c r="A343" s="58" t="s">
        <v>330</v>
      </c>
      <c r="B343" s="58" t="s">
        <v>180</v>
      </c>
      <c r="C343" s="58">
        <v>2770</v>
      </c>
      <c r="D343" s="59">
        <v>881.94060000000002</v>
      </c>
      <c r="E343" s="59">
        <v>229.88120000000001</v>
      </c>
      <c r="F343" s="60" t="str">
        <f t="shared" si="20"/>
        <v>AX</v>
      </c>
    </row>
    <row r="344" spans="1:6" ht="15" x14ac:dyDescent="0.35">
      <c r="A344" s="58" t="s">
        <v>330</v>
      </c>
      <c r="B344" s="58" t="s">
        <v>182</v>
      </c>
      <c r="C344" s="58">
        <v>2770</v>
      </c>
      <c r="D344" s="59">
        <v>1269.0388</v>
      </c>
      <c r="E344" s="59">
        <v>810.3</v>
      </c>
      <c r="F344" s="60" t="str">
        <f t="shared" si="20"/>
        <v>AX</v>
      </c>
    </row>
    <row r="345" spans="1:6" ht="15" x14ac:dyDescent="0.35">
      <c r="A345" s="58" t="s">
        <v>331</v>
      </c>
      <c r="B345" s="58" t="s">
        <v>172</v>
      </c>
      <c r="C345" s="58">
        <v>2152</v>
      </c>
      <c r="D345" s="59">
        <v>972</v>
      </c>
      <c r="E345" s="59">
        <v>-400</v>
      </c>
      <c r="F345" s="60" t="str">
        <f t="shared" si="20"/>
        <v>AX</v>
      </c>
    </row>
    <row r="346" spans="1:6" ht="15" x14ac:dyDescent="0.35">
      <c r="A346" s="58" t="s">
        <v>331</v>
      </c>
      <c r="B346" s="58" t="s">
        <v>176</v>
      </c>
      <c r="C346" s="58">
        <v>2152</v>
      </c>
      <c r="D346" s="59">
        <v>1132.5</v>
      </c>
      <c r="E346" s="59">
        <v>93.5</v>
      </c>
      <c r="F346" s="60" t="str">
        <f t="shared" si="20"/>
        <v>AX</v>
      </c>
    </row>
    <row r="347" spans="1:6" ht="15" x14ac:dyDescent="0.35">
      <c r="A347" s="58" t="s">
        <v>331</v>
      </c>
      <c r="B347" s="58" t="s">
        <v>180</v>
      </c>
      <c r="C347" s="58">
        <v>2152</v>
      </c>
      <c r="D347" s="59">
        <v>1155.5360000000001</v>
      </c>
      <c r="E347" s="59">
        <v>162.608</v>
      </c>
      <c r="F347" s="60" t="str">
        <f t="shared" si="20"/>
        <v>AX</v>
      </c>
    </row>
    <row r="348" spans="1:6" ht="15" x14ac:dyDescent="0.35">
      <c r="A348" s="58" t="s">
        <v>331</v>
      </c>
      <c r="B348" s="58" t="s">
        <v>182</v>
      </c>
      <c r="C348" s="58">
        <v>2152</v>
      </c>
      <c r="D348" s="59">
        <v>1126.4380000000001</v>
      </c>
      <c r="E348" s="59">
        <v>51.536200000000001</v>
      </c>
      <c r="F348" s="60" t="str">
        <f t="shared" si="20"/>
        <v>AX</v>
      </c>
    </row>
    <row r="349" spans="1:6" ht="15" x14ac:dyDescent="0.35">
      <c r="A349" s="58" t="s">
        <v>332</v>
      </c>
      <c r="B349" s="58" t="s">
        <v>172</v>
      </c>
      <c r="C349" s="58">
        <v>2037</v>
      </c>
      <c r="D349" s="59">
        <v>3601</v>
      </c>
      <c r="E349" s="59">
        <v>2679</v>
      </c>
      <c r="F349" s="60" t="str">
        <f t="shared" si="20"/>
        <v>AZ</v>
      </c>
    </row>
    <row r="350" spans="1:6" ht="15" x14ac:dyDescent="0.35">
      <c r="A350" s="58" t="s">
        <v>332</v>
      </c>
      <c r="B350" s="58" t="s">
        <v>176</v>
      </c>
      <c r="C350" s="58">
        <v>2037</v>
      </c>
      <c r="D350" s="59">
        <v>1520.5</v>
      </c>
      <c r="E350" s="59">
        <v>-780</v>
      </c>
      <c r="F350" s="60" t="str">
        <f t="shared" si="20"/>
        <v>AZ</v>
      </c>
    </row>
    <row r="351" spans="1:6" ht="15" x14ac:dyDescent="0.35">
      <c r="A351" s="58" t="s">
        <v>332</v>
      </c>
      <c r="B351" s="58" t="s">
        <v>180</v>
      </c>
      <c r="C351" s="58">
        <v>2037</v>
      </c>
      <c r="D351" s="59">
        <v>2199.6824000000001</v>
      </c>
      <c r="E351" s="59">
        <v>577.02359999999999</v>
      </c>
      <c r="F351" s="60" t="str">
        <f t="shared" si="20"/>
        <v>AZ</v>
      </c>
    </row>
    <row r="352" spans="1:6" ht="15" x14ac:dyDescent="0.35">
      <c r="A352" s="58" t="s">
        <v>332</v>
      </c>
      <c r="B352" s="58" t="s">
        <v>182</v>
      </c>
      <c r="C352" s="58">
        <v>2037</v>
      </c>
      <c r="D352" s="59">
        <v>2510.1895</v>
      </c>
      <c r="E352" s="59">
        <v>1207.2284999999999</v>
      </c>
      <c r="F352" s="60" t="str">
        <f t="shared" si="20"/>
        <v>AZ</v>
      </c>
    </row>
    <row r="353" spans="1:6" ht="15" x14ac:dyDescent="0.35">
      <c r="A353" s="58" t="s">
        <v>333</v>
      </c>
      <c r="B353" s="58" t="s">
        <v>172</v>
      </c>
      <c r="C353" s="58">
        <v>556</v>
      </c>
      <c r="D353" s="59">
        <v>254</v>
      </c>
      <c r="E353" s="59">
        <v>-160</v>
      </c>
      <c r="F353" s="60" t="str">
        <f t="shared" si="20"/>
        <v>AX</v>
      </c>
    </row>
    <row r="354" spans="1:6" ht="15" x14ac:dyDescent="0.35">
      <c r="A354" s="58" t="s">
        <v>333</v>
      </c>
      <c r="B354" s="58" t="s">
        <v>176</v>
      </c>
      <c r="C354" s="58">
        <v>556</v>
      </c>
      <c r="D354" s="59">
        <v>237</v>
      </c>
      <c r="E354" s="59">
        <v>-94</v>
      </c>
      <c r="F354" s="60" t="str">
        <f t="shared" si="20"/>
        <v>AX</v>
      </c>
    </row>
    <row r="355" spans="1:6" ht="15" x14ac:dyDescent="0.35">
      <c r="A355" s="58" t="s">
        <v>333</v>
      </c>
      <c r="B355" s="58" t="s">
        <v>180</v>
      </c>
      <c r="C355" s="58">
        <v>556</v>
      </c>
      <c r="D355" s="59">
        <v>238.64</v>
      </c>
      <c r="E355" s="59">
        <v>-103.84</v>
      </c>
      <c r="F355" s="60" t="str">
        <f t="shared" si="20"/>
        <v>AX</v>
      </c>
    </row>
    <row r="356" spans="1:6" ht="15" x14ac:dyDescent="0.35">
      <c r="A356" s="58" t="s">
        <v>333</v>
      </c>
      <c r="B356" s="58" t="s">
        <v>182</v>
      </c>
      <c r="C356" s="58">
        <v>556</v>
      </c>
      <c r="D356" s="59">
        <v>299.30889999999999</v>
      </c>
      <c r="E356" s="59">
        <v>138.17310000000001</v>
      </c>
      <c r="F356" s="60" t="str">
        <f t="shared" si="20"/>
        <v>AX</v>
      </c>
    </row>
    <row r="357" spans="1:6" ht="15" x14ac:dyDescent="0.35">
      <c r="A357" s="58" t="s">
        <v>334</v>
      </c>
      <c r="B357" s="58" t="s">
        <v>172</v>
      </c>
      <c r="C357" s="58">
        <v>1943</v>
      </c>
      <c r="D357" s="59">
        <v>1445</v>
      </c>
      <c r="E357" s="59">
        <v>-1439</v>
      </c>
      <c r="F357" s="60" t="str">
        <f t="shared" si="20"/>
        <v>AY</v>
      </c>
    </row>
    <row r="358" spans="1:6" ht="15" x14ac:dyDescent="0.35">
      <c r="A358" s="58" t="s">
        <v>334</v>
      </c>
      <c r="B358" s="58" t="s">
        <v>176</v>
      </c>
      <c r="C358" s="58">
        <v>1943</v>
      </c>
      <c r="D358" s="59">
        <v>1041.5</v>
      </c>
      <c r="E358" s="59">
        <v>-896</v>
      </c>
      <c r="F358" s="60" t="str">
        <f t="shared" si="20"/>
        <v>AY</v>
      </c>
    </row>
    <row r="359" spans="1:6" ht="15" x14ac:dyDescent="0.35">
      <c r="A359" s="58" t="s">
        <v>334</v>
      </c>
      <c r="B359" s="58" t="s">
        <v>180</v>
      </c>
      <c r="C359" s="58">
        <v>1943</v>
      </c>
      <c r="D359" s="59">
        <v>1032.3427999999999</v>
      </c>
      <c r="E359" s="59">
        <v>-770.94320000000005</v>
      </c>
      <c r="F359" s="60" t="str">
        <f t="shared" si="20"/>
        <v>AY</v>
      </c>
    </row>
    <row r="360" spans="1:6" ht="15" x14ac:dyDescent="0.35">
      <c r="A360" s="58" t="s">
        <v>334</v>
      </c>
      <c r="B360" s="58" t="s">
        <v>182</v>
      </c>
      <c r="C360" s="58">
        <v>1943</v>
      </c>
      <c r="D360" s="59">
        <v>1427.6213</v>
      </c>
      <c r="E360" s="59">
        <v>-318.69130000000001</v>
      </c>
      <c r="F360" s="60" t="str">
        <f t="shared" si="20"/>
        <v>AY</v>
      </c>
    </row>
    <row r="361" spans="1:6" ht="15" x14ac:dyDescent="0.35">
      <c r="A361" s="58" t="s">
        <v>335</v>
      </c>
      <c r="B361" s="58" t="s">
        <v>172</v>
      </c>
      <c r="C361" s="58">
        <v>1182</v>
      </c>
      <c r="D361" s="59">
        <v>942</v>
      </c>
      <c r="E361" s="59">
        <v>-942</v>
      </c>
      <c r="F361" s="60" t="str">
        <f t="shared" si="20"/>
        <v>AZ</v>
      </c>
    </row>
    <row r="362" spans="1:6" ht="15" x14ac:dyDescent="0.35">
      <c r="A362" s="58" t="s">
        <v>335</v>
      </c>
      <c r="B362" s="58" t="s">
        <v>176</v>
      </c>
      <c r="C362" s="58">
        <v>1182</v>
      </c>
      <c r="D362" s="59">
        <v>988.5</v>
      </c>
      <c r="E362" s="59">
        <v>-988.5</v>
      </c>
      <c r="F362" s="60" t="str">
        <f t="shared" si="20"/>
        <v>AZ</v>
      </c>
    </row>
    <row r="363" spans="1:6" ht="15" x14ac:dyDescent="0.35">
      <c r="A363" s="58" t="s">
        <v>335</v>
      </c>
      <c r="B363" s="58" t="s">
        <v>180</v>
      </c>
      <c r="C363" s="58">
        <v>1182</v>
      </c>
      <c r="D363" s="59">
        <v>873.78959999999995</v>
      </c>
      <c r="E363" s="59">
        <v>-873.78959999999995</v>
      </c>
      <c r="F363" s="60" t="str">
        <f t="shared" si="20"/>
        <v>AZ</v>
      </c>
    </row>
    <row r="364" spans="1:6" ht="15" x14ac:dyDescent="0.35">
      <c r="A364" s="58" t="s">
        <v>335</v>
      </c>
      <c r="B364" s="58" t="s">
        <v>182</v>
      </c>
      <c r="C364" s="58">
        <v>1182</v>
      </c>
      <c r="D364" s="59">
        <v>747.27430000000004</v>
      </c>
      <c r="E364" s="59">
        <v>463.37830000000002</v>
      </c>
      <c r="F364" s="60" t="str">
        <f t="shared" si="20"/>
        <v>AZ</v>
      </c>
    </row>
    <row r="365" spans="1:6" ht="15" x14ac:dyDescent="0.35">
      <c r="A365" s="58" t="s">
        <v>336</v>
      </c>
      <c r="B365" s="58" t="s">
        <v>172</v>
      </c>
      <c r="C365" s="58">
        <v>3267</v>
      </c>
      <c r="D365" s="59">
        <v>2391</v>
      </c>
      <c r="E365" s="59">
        <v>-2391</v>
      </c>
      <c r="F365" s="60" t="str">
        <f t="shared" si="20"/>
        <v>AY</v>
      </c>
    </row>
    <row r="366" spans="1:6" ht="15" x14ac:dyDescent="0.35">
      <c r="A366" s="58" t="s">
        <v>336</v>
      </c>
      <c r="B366" s="58" t="s">
        <v>176</v>
      </c>
      <c r="C366" s="58">
        <v>3267</v>
      </c>
      <c r="D366" s="59">
        <v>1801.5</v>
      </c>
      <c r="E366" s="59">
        <v>-1801.5</v>
      </c>
      <c r="F366" s="60" t="str">
        <f t="shared" si="20"/>
        <v>AY</v>
      </c>
    </row>
    <row r="367" spans="1:6" ht="15" x14ac:dyDescent="0.35">
      <c r="A367" s="58" t="s">
        <v>336</v>
      </c>
      <c r="B367" s="58" t="s">
        <v>180</v>
      </c>
      <c r="C367" s="58">
        <v>3267</v>
      </c>
      <c r="D367" s="59">
        <v>1967.9459999999999</v>
      </c>
      <c r="E367" s="59">
        <v>-1967.9459999999999</v>
      </c>
      <c r="F367" s="60" t="str">
        <f t="shared" si="20"/>
        <v>AY</v>
      </c>
    </row>
    <row r="368" spans="1:6" ht="15" x14ac:dyDescent="0.35">
      <c r="A368" s="58" t="s">
        <v>336</v>
      </c>
      <c r="B368" s="58" t="s">
        <v>182</v>
      </c>
      <c r="C368" s="58">
        <v>3267</v>
      </c>
      <c r="D368" s="59">
        <v>1480.6667</v>
      </c>
      <c r="E368" s="59">
        <v>-172.55430000000001</v>
      </c>
      <c r="F368" s="60" t="str">
        <f t="shared" si="20"/>
        <v>AY</v>
      </c>
    </row>
    <row r="369" spans="1:6" ht="15" x14ac:dyDescent="0.35">
      <c r="A369" s="58" t="s">
        <v>337</v>
      </c>
      <c r="B369" s="58" t="s">
        <v>172</v>
      </c>
      <c r="C369" s="58">
        <v>11</v>
      </c>
      <c r="D369" s="59">
        <v>11</v>
      </c>
      <c r="E369" s="59">
        <v>-11</v>
      </c>
      <c r="F369" s="60" t="str">
        <f t="shared" si="20"/>
        <v>AZ</v>
      </c>
    </row>
    <row r="370" spans="1:6" ht="15" x14ac:dyDescent="0.35">
      <c r="A370" s="58" t="s">
        <v>337</v>
      </c>
      <c r="B370" s="58" t="s">
        <v>176</v>
      </c>
      <c r="C370" s="58">
        <v>11</v>
      </c>
      <c r="D370" s="59">
        <v>28.75</v>
      </c>
      <c r="E370" s="59">
        <v>17.5</v>
      </c>
      <c r="F370" s="60" t="str">
        <f t="shared" si="20"/>
        <v>AZ</v>
      </c>
    </row>
    <row r="371" spans="1:6" ht="15" x14ac:dyDescent="0.35">
      <c r="A371" s="58" t="s">
        <v>337</v>
      </c>
      <c r="B371" s="58" t="s">
        <v>180</v>
      </c>
      <c r="C371" s="58">
        <v>11</v>
      </c>
      <c r="D371" s="59">
        <v>14.0258</v>
      </c>
      <c r="E371" s="59">
        <v>-4.9484000000000004</v>
      </c>
      <c r="F371" s="60" t="str">
        <f t="shared" si="20"/>
        <v>AZ</v>
      </c>
    </row>
    <row r="372" spans="1:6" ht="15" x14ac:dyDescent="0.35">
      <c r="A372" s="58" t="s">
        <v>337</v>
      </c>
      <c r="B372" s="58" t="s">
        <v>182</v>
      </c>
      <c r="C372" s="58">
        <v>11</v>
      </c>
      <c r="D372" s="59">
        <v>190.41640000000001</v>
      </c>
      <c r="E372" s="59">
        <v>185.7706</v>
      </c>
      <c r="F372" s="60" t="str">
        <f t="shared" si="20"/>
        <v>AZ</v>
      </c>
    </row>
    <row r="373" spans="1:6" ht="15" x14ac:dyDescent="0.35">
      <c r="A373" s="58" t="s">
        <v>338</v>
      </c>
      <c r="B373" s="58" t="s">
        <v>172</v>
      </c>
      <c r="C373" s="58">
        <v>52</v>
      </c>
      <c r="D373" s="59">
        <v>38</v>
      </c>
      <c r="E373" s="59">
        <v>-28</v>
      </c>
      <c r="F373" s="60" t="str">
        <f t="shared" si="20"/>
        <v>AY</v>
      </c>
    </row>
    <row r="374" spans="1:6" ht="15" x14ac:dyDescent="0.35">
      <c r="A374" s="58" t="s">
        <v>338</v>
      </c>
      <c r="B374" s="58" t="s">
        <v>176</v>
      </c>
      <c r="C374" s="58">
        <v>52</v>
      </c>
      <c r="D374" s="59">
        <v>38.75</v>
      </c>
      <c r="E374" s="59">
        <v>9.5</v>
      </c>
      <c r="F374" s="60" t="str">
        <f t="shared" si="20"/>
        <v>AY</v>
      </c>
    </row>
    <row r="375" spans="1:6" ht="15" x14ac:dyDescent="0.35">
      <c r="A375" s="58" t="s">
        <v>338</v>
      </c>
      <c r="B375" s="58" t="s">
        <v>180</v>
      </c>
      <c r="C375" s="58">
        <v>52</v>
      </c>
      <c r="D375" s="59">
        <v>68.08</v>
      </c>
      <c r="E375" s="59">
        <v>56.12</v>
      </c>
      <c r="F375" s="60" t="str">
        <f t="shared" si="20"/>
        <v>AY</v>
      </c>
    </row>
    <row r="376" spans="1:6" ht="15" x14ac:dyDescent="0.35">
      <c r="A376" s="58" t="s">
        <v>338</v>
      </c>
      <c r="B376" s="58" t="s">
        <v>182</v>
      </c>
      <c r="C376" s="58">
        <v>52</v>
      </c>
      <c r="D376" s="59">
        <v>80.932299999999998</v>
      </c>
      <c r="E376" s="59">
        <v>60.558500000000002</v>
      </c>
      <c r="F376" s="60" t="str">
        <f t="shared" si="20"/>
        <v>AY</v>
      </c>
    </row>
    <row r="377" spans="1:6" ht="15" x14ac:dyDescent="0.35">
      <c r="A377" s="58" t="s">
        <v>339</v>
      </c>
      <c r="B377" s="58" t="s">
        <v>172</v>
      </c>
      <c r="C377" s="58">
        <v>793</v>
      </c>
      <c r="D377" s="59">
        <v>533</v>
      </c>
      <c r="E377" s="59">
        <v>-361</v>
      </c>
      <c r="F377" s="60" t="str">
        <f t="shared" si="20"/>
        <v>AZ</v>
      </c>
    </row>
    <row r="378" spans="1:6" ht="15" x14ac:dyDescent="0.35">
      <c r="A378" s="58" t="s">
        <v>339</v>
      </c>
      <c r="B378" s="58" t="s">
        <v>176</v>
      </c>
      <c r="C378" s="58">
        <v>793</v>
      </c>
      <c r="D378" s="59">
        <v>534</v>
      </c>
      <c r="E378" s="59">
        <v>-355</v>
      </c>
      <c r="F378" s="60" t="str">
        <f t="shared" si="20"/>
        <v>AZ</v>
      </c>
    </row>
    <row r="379" spans="1:6" ht="15" x14ac:dyDescent="0.35">
      <c r="A379" s="58" t="s">
        <v>339</v>
      </c>
      <c r="B379" s="58" t="s">
        <v>180</v>
      </c>
      <c r="C379" s="58">
        <v>793</v>
      </c>
      <c r="D379" s="59">
        <v>563.49639999999999</v>
      </c>
      <c r="E379" s="59">
        <v>-292.00720000000001</v>
      </c>
      <c r="F379" s="60" t="str">
        <f t="shared" si="20"/>
        <v>AZ</v>
      </c>
    </row>
    <row r="380" spans="1:6" ht="15" x14ac:dyDescent="0.35">
      <c r="A380" s="58" t="s">
        <v>339</v>
      </c>
      <c r="B380" s="58" t="s">
        <v>182</v>
      </c>
      <c r="C380" s="58">
        <v>793</v>
      </c>
      <c r="D380" s="59">
        <v>1383.5907999999999</v>
      </c>
      <c r="E380" s="59">
        <v>657.30899999999997</v>
      </c>
      <c r="F380" s="60" t="str">
        <f t="shared" si="20"/>
        <v>AZ</v>
      </c>
    </row>
    <row r="381" spans="1:6" ht="15" x14ac:dyDescent="0.35">
      <c r="A381" s="58" t="s">
        <v>340</v>
      </c>
      <c r="B381" s="58" t="s">
        <v>172</v>
      </c>
      <c r="C381" s="58">
        <v>769</v>
      </c>
      <c r="D381" s="59">
        <v>607</v>
      </c>
      <c r="E381" s="59">
        <v>-529</v>
      </c>
      <c r="F381" s="60" t="str">
        <f t="shared" si="20"/>
        <v>AZ</v>
      </c>
    </row>
    <row r="382" spans="1:6" ht="15" x14ac:dyDescent="0.35">
      <c r="A382" s="58" t="s">
        <v>340</v>
      </c>
      <c r="B382" s="58" t="s">
        <v>176</v>
      </c>
      <c r="C382" s="58">
        <v>769</v>
      </c>
      <c r="D382" s="59">
        <v>632.5</v>
      </c>
      <c r="E382" s="59">
        <v>-364</v>
      </c>
      <c r="F382" s="60" t="str">
        <f t="shared" si="20"/>
        <v>AZ</v>
      </c>
    </row>
    <row r="383" spans="1:6" ht="15" x14ac:dyDescent="0.35">
      <c r="A383" s="58" t="s">
        <v>340</v>
      </c>
      <c r="B383" s="58" t="s">
        <v>180</v>
      </c>
      <c r="C383" s="58">
        <v>769</v>
      </c>
      <c r="D383" s="59">
        <v>631.18420000000003</v>
      </c>
      <c r="E383" s="59">
        <v>-371.89479999999998</v>
      </c>
      <c r="F383" s="60" t="str">
        <f t="shared" si="20"/>
        <v>AZ</v>
      </c>
    </row>
    <row r="384" spans="1:6" ht="15" x14ac:dyDescent="0.35">
      <c r="A384" s="58" t="s">
        <v>340</v>
      </c>
      <c r="B384" s="58" t="s">
        <v>182</v>
      </c>
      <c r="C384" s="58">
        <v>769</v>
      </c>
      <c r="D384" s="59">
        <v>724.15430000000003</v>
      </c>
      <c r="E384" s="59">
        <v>-463.71589999999998</v>
      </c>
      <c r="F384" s="60" t="str">
        <f t="shared" si="20"/>
        <v>AZ</v>
      </c>
    </row>
    <row r="385" spans="1:6" ht="15" x14ac:dyDescent="0.35">
      <c r="A385" s="58" t="s">
        <v>341</v>
      </c>
      <c r="B385" s="58" t="s">
        <v>172</v>
      </c>
      <c r="C385" s="58">
        <v>441</v>
      </c>
      <c r="D385" s="59">
        <v>307</v>
      </c>
      <c r="E385" s="59">
        <v>-261</v>
      </c>
      <c r="F385" s="60" t="str">
        <f t="shared" si="20"/>
        <v>BZ</v>
      </c>
    </row>
    <row r="386" spans="1:6" ht="15" x14ac:dyDescent="0.35">
      <c r="A386" s="58" t="s">
        <v>341</v>
      </c>
      <c r="B386" s="58" t="s">
        <v>176</v>
      </c>
      <c r="C386" s="58">
        <v>441</v>
      </c>
      <c r="D386" s="59">
        <v>310.5</v>
      </c>
      <c r="E386" s="59">
        <v>-271.5</v>
      </c>
      <c r="F386" s="60" t="str">
        <f t="shared" si="20"/>
        <v>BZ</v>
      </c>
    </row>
    <row r="387" spans="1:6" ht="15" x14ac:dyDescent="0.35">
      <c r="A387" s="58" t="s">
        <v>341</v>
      </c>
      <c r="B387" s="58" t="s">
        <v>180</v>
      </c>
      <c r="C387" s="58">
        <v>441</v>
      </c>
      <c r="D387" s="59">
        <v>309.46800000000002</v>
      </c>
      <c r="E387" s="59">
        <v>-268.404</v>
      </c>
      <c r="F387" s="60" t="str">
        <f t="shared" si="20"/>
        <v>BZ</v>
      </c>
    </row>
    <row r="388" spans="1:6" ht="15" x14ac:dyDescent="0.35">
      <c r="A388" s="58" t="s">
        <v>341</v>
      </c>
      <c r="B388" s="58" t="s">
        <v>182</v>
      </c>
      <c r="C388" s="58">
        <v>441</v>
      </c>
      <c r="D388" s="59">
        <v>414.46870000000001</v>
      </c>
      <c r="E388" s="59">
        <v>287.62849999999997</v>
      </c>
      <c r="F388" s="60" t="str">
        <f t="shared" si="20"/>
        <v>BZ</v>
      </c>
    </row>
    <row r="389" spans="1:6" ht="15" x14ac:dyDescent="0.35">
      <c r="A389" s="58" t="s">
        <v>342</v>
      </c>
      <c r="B389" s="58" t="s">
        <v>172</v>
      </c>
      <c r="C389" s="58">
        <v>2394</v>
      </c>
      <c r="D389" s="59">
        <v>2394</v>
      </c>
      <c r="E389" s="59">
        <v>-2394</v>
      </c>
      <c r="F389" s="60" t="str">
        <f t="shared" ref="F389:F452" si="21">_xlfn.XLOOKUP(A389,ClsCode,ClsClass)</f>
        <v>BY</v>
      </c>
    </row>
    <row r="390" spans="1:6" ht="15" x14ac:dyDescent="0.35">
      <c r="A390" s="58" t="s">
        <v>342</v>
      </c>
      <c r="B390" s="58" t="s">
        <v>176</v>
      </c>
      <c r="C390" s="58">
        <v>2394</v>
      </c>
      <c r="D390" s="59">
        <v>1734.75</v>
      </c>
      <c r="E390" s="59">
        <v>-1459.5</v>
      </c>
      <c r="F390" s="60" t="str">
        <f t="shared" si="21"/>
        <v>BY</v>
      </c>
    </row>
    <row r="391" spans="1:6" ht="15" x14ac:dyDescent="0.35">
      <c r="A391" s="58" t="s">
        <v>342</v>
      </c>
      <c r="B391" s="58" t="s">
        <v>180</v>
      </c>
      <c r="C391" s="58">
        <v>2394</v>
      </c>
      <c r="D391" s="59">
        <v>1610.3376000000001</v>
      </c>
      <c r="E391" s="59">
        <v>-1210.6751999999999</v>
      </c>
      <c r="F391" s="60" t="str">
        <f t="shared" si="21"/>
        <v>BY</v>
      </c>
    </row>
    <row r="392" spans="1:6" ht="15" x14ac:dyDescent="0.35">
      <c r="A392" s="58" t="s">
        <v>342</v>
      </c>
      <c r="B392" s="58" t="s">
        <v>182</v>
      </c>
      <c r="C392" s="58">
        <v>2394</v>
      </c>
      <c r="D392" s="59">
        <v>1612.5863999999999</v>
      </c>
      <c r="E392" s="59">
        <v>-990.79480000000001</v>
      </c>
      <c r="F392" s="60" t="str">
        <f t="shared" si="21"/>
        <v>BY</v>
      </c>
    </row>
    <row r="393" spans="1:6" ht="15" x14ac:dyDescent="0.35">
      <c r="A393" s="58" t="s">
        <v>343</v>
      </c>
      <c r="B393" s="58" t="s">
        <v>172</v>
      </c>
      <c r="C393" s="58">
        <v>436</v>
      </c>
      <c r="D393" s="59">
        <v>264</v>
      </c>
      <c r="E393" s="59">
        <v>32</v>
      </c>
      <c r="F393" s="60" t="str">
        <f t="shared" si="21"/>
        <v>BY</v>
      </c>
    </row>
    <row r="394" spans="1:6" ht="15" x14ac:dyDescent="0.35">
      <c r="A394" s="58" t="s">
        <v>343</v>
      </c>
      <c r="B394" s="58" t="s">
        <v>176</v>
      </c>
      <c r="C394" s="58">
        <v>436</v>
      </c>
      <c r="D394" s="59">
        <v>229.5</v>
      </c>
      <c r="E394" s="59">
        <v>-79</v>
      </c>
      <c r="F394" s="60" t="str">
        <f t="shared" si="21"/>
        <v>BY</v>
      </c>
    </row>
    <row r="395" spans="1:6" ht="15" x14ac:dyDescent="0.35">
      <c r="A395" s="58" t="s">
        <v>343</v>
      </c>
      <c r="B395" s="58" t="s">
        <v>180</v>
      </c>
      <c r="C395" s="58">
        <v>436</v>
      </c>
      <c r="D395" s="59">
        <v>233.13560000000001</v>
      </c>
      <c r="E395" s="59">
        <v>-60.593200000000003</v>
      </c>
      <c r="F395" s="60" t="str">
        <f t="shared" si="21"/>
        <v>BY</v>
      </c>
    </row>
    <row r="396" spans="1:6" ht="15" x14ac:dyDescent="0.35">
      <c r="A396" s="58" t="s">
        <v>343</v>
      </c>
      <c r="B396" s="58" t="s">
        <v>182</v>
      </c>
      <c r="C396" s="58">
        <v>436</v>
      </c>
      <c r="D396" s="59">
        <v>298.11160000000001</v>
      </c>
      <c r="E396" s="59">
        <v>108.7794</v>
      </c>
      <c r="F396" s="60" t="str">
        <f t="shared" si="21"/>
        <v>BY</v>
      </c>
    </row>
    <row r="397" spans="1:6" ht="15" x14ac:dyDescent="0.35">
      <c r="A397" s="58" t="s">
        <v>344</v>
      </c>
      <c r="B397" s="58" t="s">
        <v>172</v>
      </c>
      <c r="C397" s="58">
        <v>1927</v>
      </c>
      <c r="D397" s="59">
        <v>1065</v>
      </c>
      <c r="E397" s="59">
        <v>377</v>
      </c>
      <c r="F397" s="60" t="str">
        <f t="shared" si="21"/>
        <v>BX</v>
      </c>
    </row>
    <row r="398" spans="1:6" ht="15" x14ac:dyDescent="0.35">
      <c r="A398" s="58" t="s">
        <v>344</v>
      </c>
      <c r="B398" s="58" t="s">
        <v>176</v>
      </c>
      <c r="C398" s="58">
        <v>1927</v>
      </c>
      <c r="D398" s="59">
        <v>1021</v>
      </c>
      <c r="E398" s="59">
        <v>-673</v>
      </c>
      <c r="F398" s="60" t="str">
        <f t="shared" si="21"/>
        <v>BX</v>
      </c>
    </row>
    <row r="399" spans="1:6" ht="15" x14ac:dyDescent="0.35">
      <c r="A399" s="58" t="s">
        <v>344</v>
      </c>
      <c r="B399" s="58" t="s">
        <v>180</v>
      </c>
      <c r="C399" s="58">
        <v>1927</v>
      </c>
      <c r="D399" s="59">
        <v>1021</v>
      </c>
      <c r="E399" s="59">
        <v>-519.60879999999997</v>
      </c>
      <c r="F399" s="60" t="str">
        <f t="shared" si="21"/>
        <v>BX</v>
      </c>
    </row>
    <row r="400" spans="1:6" ht="15" x14ac:dyDescent="0.35">
      <c r="A400" s="58" t="s">
        <v>344</v>
      </c>
      <c r="B400" s="58" t="s">
        <v>182</v>
      </c>
      <c r="C400" s="58">
        <v>1927</v>
      </c>
      <c r="D400" s="59">
        <v>911.79309999999998</v>
      </c>
      <c r="E400" s="59">
        <v>-677.45050000000003</v>
      </c>
      <c r="F400" s="60" t="str">
        <f t="shared" si="21"/>
        <v>BX</v>
      </c>
    </row>
    <row r="401" spans="1:6" ht="15" x14ac:dyDescent="0.35">
      <c r="A401" s="58" t="s">
        <v>345</v>
      </c>
      <c r="B401" s="58" t="s">
        <v>172</v>
      </c>
      <c r="C401" s="58">
        <v>1258</v>
      </c>
      <c r="D401" s="59">
        <v>422</v>
      </c>
      <c r="E401" s="59">
        <v>-226</v>
      </c>
      <c r="F401" s="60" t="str">
        <f t="shared" si="21"/>
        <v>BX</v>
      </c>
    </row>
    <row r="402" spans="1:6" ht="15" x14ac:dyDescent="0.35">
      <c r="A402" s="58" t="s">
        <v>345</v>
      </c>
      <c r="B402" s="58" t="s">
        <v>176</v>
      </c>
      <c r="C402" s="58">
        <v>1258</v>
      </c>
      <c r="D402" s="59">
        <v>449.5</v>
      </c>
      <c r="E402" s="59">
        <v>-385</v>
      </c>
      <c r="F402" s="60" t="str">
        <f t="shared" si="21"/>
        <v>BX</v>
      </c>
    </row>
    <row r="403" spans="1:6" ht="15" x14ac:dyDescent="0.35">
      <c r="A403" s="58" t="s">
        <v>345</v>
      </c>
      <c r="B403" s="58" t="s">
        <v>180</v>
      </c>
      <c r="C403" s="58">
        <v>1258</v>
      </c>
      <c r="D403" s="59">
        <v>430.6232</v>
      </c>
      <c r="E403" s="59">
        <v>-325.73919999999998</v>
      </c>
      <c r="F403" s="60" t="str">
        <f t="shared" si="21"/>
        <v>BX</v>
      </c>
    </row>
    <row r="404" spans="1:6" ht="15" x14ac:dyDescent="0.35">
      <c r="A404" s="58" t="s">
        <v>345</v>
      </c>
      <c r="B404" s="58" t="s">
        <v>182</v>
      </c>
      <c r="C404" s="58">
        <v>1258</v>
      </c>
      <c r="D404" s="59">
        <v>458.98930000000001</v>
      </c>
      <c r="E404" s="59">
        <v>172.7457</v>
      </c>
      <c r="F404" s="60" t="str">
        <f t="shared" si="21"/>
        <v>BX</v>
      </c>
    </row>
    <row r="405" spans="1:6" ht="15" x14ac:dyDescent="0.35">
      <c r="A405" s="58" t="s">
        <v>346</v>
      </c>
      <c r="B405" s="58" t="s">
        <v>172</v>
      </c>
      <c r="C405" s="58">
        <v>567</v>
      </c>
      <c r="D405" s="59">
        <v>437</v>
      </c>
      <c r="E405" s="59">
        <v>417</v>
      </c>
      <c r="F405" s="60" t="str">
        <f t="shared" si="21"/>
        <v>BY</v>
      </c>
    </row>
    <row r="406" spans="1:6" ht="15" x14ac:dyDescent="0.35">
      <c r="A406" s="58" t="s">
        <v>346</v>
      </c>
      <c r="B406" s="58" t="s">
        <v>176</v>
      </c>
      <c r="C406" s="58">
        <v>567</v>
      </c>
      <c r="D406" s="59">
        <v>265</v>
      </c>
      <c r="E406" s="59">
        <v>-3</v>
      </c>
      <c r="F406" s="60" t="str">
        <f t="shared" si="21"/>
        <v>BY</v>
      </c>
    </row>
    <row r="407" spans="1:6" ht="15" x14ac:dyDescent="0.35">
      <c r="A407" s="58" t="s">
        <v>346</v>
      </c>
      <c r="B407" s="58" t="s">
        <v>180</v>
      </c>
      <c r="C407" s="58">
        <v>567</v>
      </c>
      <c r="D407" s="59">
        <v>275.94779999999997</v>
      </c>
      <c r="E407" s="59">
        <v>62.686799999999998</v>
      </c>
      <c r="F407" s="60" t="str">
        <f t="shared" si="21"/>
        <v>BY</v>
      </c>
    </row>
    <row r="408" spans="1:6" ht="15" x14ac:dyDescent="0.35">
      <c r="A408" s="58" t="s">
        <v>346</v>
      </c>
      <c r="B408" s="58" t="s">
        <v>182</v>
      </c>
      <c r="C408" s="58">
        <v>567</v>
      </c>
      <c r="D408" s="59">
        <v>293.55630000000002</v>
      </c>
      <c r="E408" s="59">
        <v>205.7799</v>
      </c>
      <c r="F408" s="60" t="str">
        <f t="shared" si="21"/>
        <v>BY</v>
      </c>
    </row>
    <row r="409" spans="1:6" ht="15" x14ac:dyDescent="0.35">
      <c r="A409" s="58" t="s">
        <v>347</v>
      </c>
      <c r="B409" s="58" t="s">
        <v>172</v>
      </c>
      <c r="C409" s="58">
        <v>2426</v>
      </c>
      <c r="D409" s="59">
        <v>930</v>
      </c>
      <c r="E409" s="59">
        <v>-818</v>
      </c>
      <c r="F409" s="60" t="str">
        <f t="shared" si="21"/>
        <v>BY</v>
      </c>
    </row>
    <row r="410" spans="1:6" ht="15" x14ac:dyDescent="0.35">
      <c r="A410" s="58" t="s">
        <v>347</v>
      </c>
      <c r="B410" s="58" t="s">
        <v>176</v>
      </c>
      <c r="C410" s="58">
        <v>2426</v>
      </c>
      <c r="D410" s="59">
        <v>1026.25</v>
      </c>
      <c r="E410" s="59">
        <v>-933.5</v>
      </c>
      <c r="F410" s="60" t="str">
        <f t="shared" si="21"/>
        <v>BY</v>
      </c>
    </row>
    <row r="411" spans="1:6" ht="15" x14ac:dyDescent="0.35">
      <c r="A411" s="58" t="s">
        <v>347</v>
      </c>
      <c r="B411" s="58" t="s">
        <v>180</v>
      </c>
      <c r="C411" s="58">
        <v>2426</v>
      </c>
      <c r="D411" s="59">
        <v>991.654</v>
      </c>
      <c r="E411" s="59">
        <v>-891.98479999999995</v>
      </c>
      <c r="F411" s="60" t="str">
        <f t="shared" si="21"/>
        <v>BY</v>
      </c>
    </row>
    <row r="412" spans="1:6" ht="15" x14ac:dyDescent="0.35">
      <c r="A412" s="58" t="s">
        <v>347</v>
      </c>
      <c r="B412" s="58" t="s">
        <v>182</v>
      </c>
      <c r="C412" s="58">
        <v>2426</v>
      </c>
      <c r="D412" s="59">
        <v>856.65139999999997</v>
      </c>
      <c r="E412" s="59">
        <v>76.398799999999994</v>
      </c>
      <c r="F412" s="60" t="str">
        <f t="shared" si="21"/>
        <v>BY</v>
      </c>
    </row>
    <row r="413" spans="1:6" ht="15" x14ac:dyDescent="0.35">
      <c r="A413" s="58" t="s">
        <v>348</v>
      </c>
      <c r="B413" s="58" t="s">
        <v>172</v>
      </c>
      <c r="C413" s="58">
        <v>15475</v>
      </c>
      <c r="D413" s="59">
        <v>11995</v>
      </c>
      <c r="E413" s="59">
        <v>-11995</v>
      </c>
      <c r="F413" s="60" t="str">
        <f t="shared" si="21"/>
        <v>BY</v>
      </c>
    </row>
    <row r="414" spans="1:6" ht="15" x14ac:dyDescent="0.35">
      <c r="A414" s="58" t="s">
        <v>348</v>
      </c>
      <c r="B414" s="58" t="s">
        <v>176</v>
      </c>
      <c r="C414" s="58">
        <v>15475</v>
      </c>
      <c r="D414" s="59">
        <v>8283</v>
      </c>
      <c r="E414" s="59">
        <v>-7744</v>
      </c>
      <c r="F414" s="60" t="str">
        <f t="shared" si="21"/>
        <v>BY</v>
      </c>
    </row>
    <row r="415" spans="1:6" ht="15" x14ac:dyDescent="0.35">
      <c r="A415" s="58" t="s">
        <v>348</v>
      </c>
      <c r="B415" s="58" t="s">
        <v>180</v>
      </c>
      <c r="C415" s="58">
        <v>15475</v>
      </c>
      <c r="D415" s="59">
        <v>6661.0569999999998</v>
      </c>
      <c r="E415" s="59">
        <v>-4843.1139999999996</v>
      </c>
      <c r="F415" s="60" t="str">
        <f t="shared" si="21"/>
        <v>BY</v>
      </c>
    </row>
    <row r="416" spans="1:6" ht="15" x14ac:dyDescent="0.35">
      <c r="A416" s="58" t="s">
        <v>348</v>
      </c>
      <c r="B416" s="58" t="s">
        <v>182</v>
      </c>
      <c r="C416" s="58">
        <v>15475</v>
      </c>
      <c r="D416" s="59">
        <v>8785.3331999999991</v>
      </c>
      <c r="E416" s="59">
        <v>66.777799999999999</v>
      </c>
      <c r="F416" s="60" t="str">
        <f t="shared" si="21"/>
        <v>BY</v>
      </c>
    </row>
    <row r="417" spans="1:6" ht="15" x14ac:dyDescent="0.35">
      <c r="A417" s="58" t="s">
        <v>349</v>
      </c>
      <c r="B417" s="58" t="s">
        <v>172</v>
      </c>
      <c r="C417" s="58">
        <v>577</v>
      </c>
      <c r="D417" s="59">
        <v>373</v>
      </c>
      <c r="E417" s="59">
        <v>-301</v>
      </c>
      <c r="F417" s="60" t="str">
        <f t="shared" si="21"/>
        <v>BY</v>
      </c>
    </row>
    <row r="418" spans="1:6" ht="15" x14ac:dyDescent="0.35">
      <c r="A418" s="58" t="s">
        <v>349</v>
      </c>
      <c r="B418" s="58" t="s">
        <v>176</v>
      </c>
      <c r="C418" s="58">
        <v>577</v>
      </c>
      <c r="D418" s="59">
        <v>373</v>
      </c>
      <c r="E418" s="59">
        <v>-274</v>
      </c>
      <c r="F418" s="60" t="str">
        <f t="shared" si="21"/>
        <v>BY</v>
      </c>
    </row>
    <row r="419" spans="1:6" ht="15" x14ac:dyDescent="0.35">
      <c r="A419" s="58" t="s">
        <v>349</v>
      </c>
      <c r="B419" s="58" t="s">
        <v>180</v>
      </c>
      <c r="C419" s="58">
        <v>577</v>
      </c>
      <c r="D419" s="59">
        <v>373</v>
      </c>
      <c r="E419" s="59">
        <v>-252.2236</v>
      </c>
      <c r="F419" s="60" t="str">
        <f t="shared" si="21"/>
        <v>BY</v>
      </c>
    </row>
    <row r="420" spans="1:6" ht="15" x14ac:dyDescent="0.35">
      <c r="A420" s="58" t="s">
        <v>349</v>
      </c>
      <c r="B420" s="58" t="s">
        <v>182</v>
      </c>
      <c r="C420" s="58">
        <v>577</v>
      </c>
      <c r="D420" s="59">
        <v>379.44439999999997</v>
      </c>
      <c r="E420" s="59">
        <v>-233.54859999999999</v>
      </c>
      <c r="F420" s="60" t="str">
        <f t="shared" si="21"/>
        <v>BY</v>
      </c>
    </row>
    <row r="421" spans="1:6" ht="15" x14ac:dyDescent="0.35">
      <c r="A421" s="58" t="s">
        <v>350</v>
      </c>
      <c r="B421" s="58" t="s">
        <v>172</v>
      </c>
      <c r="C421" s="58">
        <v>2650</v>
      </c>
      <c r="D421" s="59">
        <v>884</v>
      </c>
      <c r="E421" s="59">
        <v>-166</v>
      </c>
      <c r="F421" s="60" t="str">
        <f t="shared" si="21"/>
        <v>BX</v>
      </c>
    </row>
    <row r="422" spans="1:6" ht="15" x14ac:dyDescent="0.35">
      <c r="A422" s="58" t="s">
        <v>350</v>
      </c>
      <c r="B422" s="58" t="s">
        <v>176</v>
      </c>
      <c r="C422" s="58">
        <v>2650</v>
      </c>
      <c r="D422" s="59">
        <v>1352</v>
      </c>
      <c r="E422" s="59">
        <v>-1342</v>
      </c>
      <c r="F422" s="60" t="str">
        <f t="shared" si="21"/>
        <v>BX</v>
      </c>
    </row>
    <row r="423" spans="1:6" ht="15" x14ac:dyDescent="0.35">
      <c r="A423" s="58" t="s">
        <v>350</v>
      </c>
      <c r="B423" s="58" t="s">
        <v>180</v>
      </c>
      <c r="C423" s="58">
        <v>2650</v>
      </c>
      <c r="D423" s="59">
        <v>1220.7650000000001</v>
      </c>
      <c r="E423" s="59">
        <v>-1184.518</v>
      </c>
      <c r="F423" s="60" t="str">
        <f t="shared" si="21"/>
        <v>BX</v>
      </c>
    </row>
    <row r="424" spans="1:6" ht="15" x14ac:dyDescent="0.35">
      <c r="A424" s="58" t="s">
        <v>350</v>
      </c>
      <c r="B424" s="58" t="s">
        <v>182</v>
      </c>
      <c r="C424" s="58">
        <v>2650</v>
      </c>
      <c r="D424" s="59">
        <v>1095.5228</v>
      </c>
      <c r="E424" s="59">
        <v>-989.73839999999996</v>
      </c>
      <c r="F424" s="60" t="str">
        <f t="shared" si="21"/>
        <v>BX</v>
      </c>
    </row>
    <row r="425" spans="1:6" ht="15" x14ac:dyDescent="0.35">
      <c r="A425" s="58" t="s">
        <v>351</v>
      </c>
      <c r="B425" s="58" t="s">
        <v>172</v>
      </c>
      <c r="C425" s="58">
        <v>1943</v>
      </c>
      <c r="D425" s="59">
        <v>1173</v>
      </c>
      <c r="E425" s="59">
        <v>-959</v>
      </c>
      <c r="F425" s="60" t="str">
        <f t="shared" si="21"/>
        <v>BX</v>
      </c>
    </row>
    <row r="426" spans="1:6" ht="15" x14ac:dyDescent="0.35">
      <c r="A426" s="58" t="s">
        <v>351</v>
      </c>
      <c r="B426" s="58" t="s">
        <v>176</v>
      </c>
      <c r="C426" s="58">
        <v>1943</v>
      </c>
      <c r="D426" s="59">
        <v>921.75</v>
      </c>
      <c r="E426" s="59">
        <v>-456.5</v>
      </c>
      <c r="F426" s="60" t="str">
        <f t="shared" si="21"/>
        <v>BX</v>
      </c>
    </row>
    <row r="427" spans="1:6" ht="15" x14ac:dyDescent="0.35">
      <c r="A427" s="58" t="s">
        <v>351</v>
      </c>
      <c r="B427" s="58" t="s">
        <v>180</v>
      </c>
      <c r="C427" s="58">
        <v>1943</v>
      </c>
      <c r="D427" s="59">
        <v>1100.4983999999999</v>
      </c>
      <c r="E427" s="59">
        <v>-813.99680000000001</v>
      </c>
      <c r="F427" s="60" t="str">
        <f t="shared" si="21"/>
        <v>BX</v>
      </c>
    </row>
    <row r="428" spans="1:6" ht="15" x14ac:dyDescent="0.35">
      <c r="A428" s="58" t="s">
        <v>351</v>
      </c>
      <c r="B428" s="58" t="s">
        <v>182</v>
      </c>
      <c r="C428" s="58">
        <v>1943</v>
      </c>
      <c r="D428" s="59">
        <v>1375.9867999999999</v>
      </c>
      <c r="E428" s="59">
        <v>-705.07159999999999</v>
      </c>
      <c r="F428" s="60" t="str">
        <f t="shared" si="21"/>
        <v>BX</v>
      </c>
    </row>
    <row r="429" spans="1:6" ht="15" x14ac:dyDescent="0.35">
      <c r="A429" s="58" t="s">
        <v>352</v>
      </c>
      <c r="B429" s="58" t="s">
        <v>172</v>
      </c>
      <c r="C429" s="58">
        <v>130</v>
      </c>
      <c r="D429" s="59">
        <v>122</v>
      </c>
      <c r="E429" s="59">
        <v>-118</v>
      </c>
      <c r="F429" s="60" t="str">
        <f t="shared" si="21"/>
        <v>BZ</v>
      </c>
    </row>
    <row r="430" spans="1:6" ht="15" x14ac:dyDescent="0.35">
      <c r="A430" s="58" t="s">
        <v>352</v>
      </c>
      <c r="B430" s="58" t="s">
        <v>176</v>
      </c>
      <c r="C430" s="58">
        <v>130</v>
      </c>
      <c r="D430" s="59">
        <v>579.5</v>
      </c>
      <c r="E430" s="59">
        <v>579.5</v>
      </c>
      <c r="F430" s="60" t="str">
        <f t="shared" si="21"/>
        <v>BZ</v>
      </c>
    </row>
    <row r="431" spans="1:6" ht="15" x14ac:dyDescent="0.35">
      <c r="A431" s="58" t="s">
        <v>352</v>
      </c>
      <c r="B431" s="58" t="s">
        <v>180</v>
      </c>
      <c r="C431" s="58">
        <v>130</v>
      </c>
      <c r="D431" s="59">
        <v>399.09679999999997</v>
      </c>
      <c r="E431" s="59">
        <v>399.09679999999997</v>
      </c>
      <c r="F431" s="60" t="str">
        <f t="shared" si="21"/>
        <v>BZ</v>
      </c>
    </row>
    <row r="432" spans="1:6" ht="15" x14ac:dyDescent="0.35">
      <c r="A432" s="58" t="s">
        <v>352</v>
      </c>
      <c r="B432" s="58" t="s">
        <v>182</v>
      </c>
      <c r="C432" s="58">
        <v>130</v>
      </c>
      <c r="D432" s="59">
        <v>403.62360000000001</v>
      </c>
      <c r="E432" s="59">
        <v>403.62360000000001</v>
      </c>
      <c r="F432" s="60" t="str">
        <f t="shared" si="21"/>
        <v>BZ</v>
      </c>
    </row>
    <row r="433" spans="1:6" ht="15" x14ac:dyDescent="0.35">
      <c r="A433" s="58" t="s">
        <v>353</v>
      </c>
      <c r="B433" s="58" t="s">
        <v>172</v>
      </c>
      <c r="C433" s="58">
        <v>85</v>
      </c>
      <c r="D433" s="59">
        <v>73</v>
      </c>
      <c r="E433" s="59">
        <v>-73</v>
      </c>
      <c r="F433" s="60" t="str">
        <f t="shared" si="21"/>
        <v>BZ</v>
      </c>
    </row>
    <row r="434" spans="1:6" ht="15" x14ac:dyDescent="0.35">
      <c r="A434" s="58" t="s">
        <v>353</v>
      </c>
      <c r="B434" s="58" t="s">
        <v>176</v>
      </c>
      <c r="C434" s="58">
        <v>85</v>
      </c>
      <c r="D434" s="59">
        <v>156.5</v>
      </c>
      <c r="E434" s="59">
        <v>156.5</v>
      </c>
      <c r="F434" s="60" t="str">
        <f t="shared" si="21"/>
        <v>BZ</v>
      </c>
    </row>
    <row r="435" spans="1:6" ht="15" x14ac:dyDescent="0.35">
      <c r="A435" s="58" t="s">
        <v>353</v>
      </c>
      <c r="B435" s="58" t="s">
        <v>180</v>
      </c>
      <c r="C435" s="58">
        <v>85</v>
      </c>
      <c r="D435" s="59">
        <v>58.46</v>
      </c>
      <c r="E435" s="59">
        <v>-51.19</v>
      </c>
      <c r="F435" s="60" t="str">
        <f t="shared" si="21"/>
        <v>BZ</v>
      </c>
    </row>
    <row r="436" spans="1:6" ht="15" x14ac:dyDescent="0.35">
      <c r="A436" s="58" t="s">
        <v>353</v>
      </c>
      <c r="B436" s="58" t="s">
        <v>182</v>
      </c>
      <c r="C436" s="58">
        <v>85</v>
      </c>
      <c r="D436" s="59">
        <v>47.7515</v>
      </c>
      <c r="E436" s="59">
        <v>28.619499999999999</v>
      </c>
      <c r="F436" s="60" t="str">
        <f t="shared" si="21"/>
        <v>BZ</v>
      </c>
    </row>
    <row r="437" spans="1:6" ht="15" x14ac:dyDescent="0.35">
      <c r="A437" s="58" t="s">
        <v>354</v>
      </c>
      <c r="B437" s="58" t="s">
        <v>172</v>
      </c>
      <c r="C437" s="58">
        <v>317</v>
      </c>
      <c r="D437" s="59">
        <v>289</v>
      </c>
      <c r="E437" s="59">
        <v>-149</v>
      </c>
      <c r="F437" s="60" t="str">
        <f t="shared" si="21"/>
        <v>BY</v>
      </c>
    </row>
    <row r="438" spans="1:6" ht="15" x14ac:dyDescent="0.35">
      <c r="A438" s="58" t="s">
        <v>354</v>
      </c>
      <c r="B438" s="58" t="s">
        <v>176</v>
      </c>
      <c r="C438" s="58">
        <v>317</v>
      </c>
      <c r="D438" s="59">
        <v>385.75</v>
      </c>
      <c r="E438" s="59">
        <v>248.5</v>
      </c>
      <c r="F438" s="60" t="str">
        <f t="shared" si="21"/>
        <v>BY</v>
      </c>
    </row>
    <row r="439" spans="1:6" ht="15" x14ac:dyDescent="0.35">
      <c r="A439" s="58" t="s">
        <v>354</v>
      </c>
      <c r="B439" s="58" t="s">
        <v>180</v>
      </c>
      <c r="C439" s="58">
        <v>317</v>
      </c>
      <c r="D439" s="59">
        <v>397.78899999999999</v>
      </c>
      <c r="E439" s="59">
        <v>272.57799999999997</v>
      </c>
      <c r="F439" s="60" t="str">
        <f t="shared" si="21"/>
        <v>BY</v>
      </c>
    </row>
    <row r="440" spans="1:6" ht="15" x14ac:dyDescent="0.35">
      <c r="A440" s="58" t="s">
        <v>354</v>
      </c>
      <c r="B440" s="58" t="s">
        <v>182</v>
      </c>
      <c r="C440" s="58">
        <v>317</v>
      </c>
      <c r="D440" s="59">
        <v>375.05849999999998</v>
      </c>
      <c r="E440" s="59">
        <v>159.1755</v>
      </c>
      <c r="F440" s="60" t="str">
        <f t="shared" si="21"/>
        <v>BY</v>
      </c>
    </row>
    <row r="441" spans="1:6" ht="15" x14ac:dyDescent="0.35">
      <c r="A441" s="58" t="s">
        <v>355</v>
      </c>
      <c r="B441" s="58" t="s">
        <v>172</v>
      </c>
      <c r="C441" s="58">
        <v>466</v>
      </c>
      <c r="D441" s="59">
        <v>198</v>
      </c>
      <c r="E441" s="59">
        <v>-46</v>
      </c>
      <c r="F441" s="60" t="str">
        <f t="shared" si="21"/>
        <v>BX</v>
      </c>
    </row>
    <row r="442" spans="1:6" ht="15" x14ac:dyDescent="0.35">
      <c r="A442" s="58" t="s">
        <v>355</v>
      </c>
      <c r="B442" s="58" t="s">
        <v>176</v>
      </c>
      <c r="C442" s="58">
        <v>466</v>
      </c>
      <c r="D442" s="59">
        <v>222</v>
      </c>
      <c r="E442" s="59">
        <v>-148</v>
      </c>
      <c r="F442" s="60" t="str">
        <f t="shared" si="21"/>
        <v>BX</v>
      </c>
    </row>
    <row r="443" spans="1:6" ht="15" x14ac:dyDescent="0.35">
      <c r="A443" s="58" t="s">
        <v>355</v>
      </c>
      <c r="B443" s="58" t="s">
        <v>180</v>
      </c>
      <c r="C443" s="58">
        <v>466</v>
      </c>
      <c r="D443" s="59">
        <v>209.29480000000001</v>
      </c>
      <c r="E443" s="59">
        <v>-109.8844</v>
      </c>
      <c r="F443" s="60" t="str">
        <f t="shared" si="21"/>
        <v>BX</v>
      </c>
    </row>
    <row r="444" spans="1:6" ht="15" x14ac:dyDescent="0.35">
      <c r="A444" s="58" t="s">
        <v>355</v>
      </c>
      <c r="B444" s="58" t="s">
        <v>182</v>
      </c>
      <c r="C444" s="58">
        <v>466</v>
      </c>
      <c r="D444" s="59">
        <v>205.33349999999999</v>
      </c>
      <c r="E444" s="59">
        <v>-47.216500000000003</v>
      </c>
      <c r="F444" s="60" t="str">
        <f t="shared" si="21"/>
        <v>BX</v>
      </c>
    </row>
    <row r="445" spans="1:6" ht="15" x14ac:dyDescent="0.35">
      <c r="A445" s="58" t="s">
        <v>356</v>
      </c>
      <c r="B445" s="58" t="s">
        <v>172</v>
      </c>
      <c r="C445" s="58">
        <v>405</v>
      </c>
      <c r="D445" s="59">
        <v>321</v>
      </c>
      <c r="E445" s="59">
        <v>243</v>
      </c>
      <c r="F445" s="60" t="str">
        <f t="shared" si="21"/>
        <v>BX</v>
      </c>
    </row>
    <row r="446" spans="1:6" ht="15" x14ac:dyDescent="0.35">
      <c r="A446" s="58" t="s">
        <v>356</v>
      </c>
      <c r="B446" s="58" t="s">
        <v>176</v>
      </c>
      <c r="C446" s="58">
        <v>405</v>
      </c>
      <c r="D446" s="59">
        <v>182</v>
      </c>
      <c r="E446" s="59">
        <v>-66</v>
      </c>
      <c r="F446" s="60" t="str">
        <f t="shared" si="21"/>
        <v>BX</v>
      </c>
    </row>
    <row r="447" spans="1:6" ht="15" x14ac:dyDescent="0.35">
      <c r="A447" s="58" t="s">
        <v>356</v>
      </c>
      <c r="B447" s="58" t="s">
        <v>180</v>
      </c>
      <c r="C447" s="58">
        <v>405</v>
      </c>
      <c r="D447" s="59">
        <v>212.19880000000001</v>
      </c>
      <c r="E447" s="59">
        <v>89.397599999999997</v>
      </c>
      <c r="F447" s="60" t="str">
        <f t="shared" si="21"/>
        <v>BX</v>
      </c>
    </row>
    <row r="448" spans="1:6" ht="15" x14ac:dyDescent="0.35">
      <c r="A448" s="58" t="s">
        <v>356</v>
      </c>
      <c r="B448" s="58" t="s">
        <v>182</v>
      </c>
      <c r="C448" s="58">
        <v>405</v>
      </c>
      <c r="D448" s="59">
        <v>207.81960000000001</v>
      </c>
      <c r="E448" s="59">
        <v>97.680800000000005</v>
      </c>
      <c r="F448" s="60" t="str">
        <f t="shared" si="21"/>
        <v>BX</v>
      </c>
    </row>
    <row r="449" spans="1:6" ht="15" x14ac:dyDescent="0.35">
      <c r="A449" s="58" t="s">
        <v>357</v>
      </c>
      <c r="B449" s="58" t="s">
        <v>172</v>
      </c>
      <c r="C449" s="58">
        <v>5490</v>
      </c>
      <c r="D449" s="59">
        <v>4998</v>
      </c>
      <c r="E449" s="59">
        <v>-4998</v>
      </c>
      <c r="F449" s="60" t="str">
        <f t="shared" si="21"/>
        <v>BZ</v>
      </c>
    </row>
    <row r="450" spans="1:6" ht="15" x14ac:dyDescent="0.35">
      <c r="A450" s="58" t="s">
        <v>357</v>
      </c>
      <c r="B450" s="58" t="s">
        <v>176</v>
      </c>
      <c r="C450" s="58">
        <v>5490</v>
      </c>
      <c r="D450" s="59">
        <v>4258</v>
      </c>
      <c r="E450" s="59">
        <v>-3475.5</v>
      </c>
      <c r="F450" s="60" t="str">
        <f t="shared" si="21"/>
        <v>BZ</v>
      </c>
    </row>
    <row r="451" spans="1:6" ht="15" x14ac:dyDescent="0.35">
      <c r="A451" s="58" t="s">
        <v>357</v>
      </c>
      <c r="B451" s="58" t="s">
        <v>180</v>
      </c>
      <c r="C451" s="58">
        <v>5490</v>
      </c>
      <c r="D451" s="59">
        <v>4258</v>
      </c>
      <c r="E451" s="59">
        <v>-3479.2487999999998</v>
      </c>
      <c r="F451" s="60" t="str">
        <f t="shared" si="21"/>
        <v>BZ</v>
      </c>
    </row>
    <row r="452" spans="1:6" ht="15" x14ac:dyDescent="0.35">
      <c r="A452" s="58" t="s">
        <v>357</v>
      </c>
      <c r="B452" s="58" t="s">
        <v>182</v>
      </c>
      <c r="C452" s="58">
        <v>5490</v>
      </c>
      <c r="D452" s="59">
        <v>4763.3940000000002</v>
      </c>
      <c r="E452" s="59">
        <v>-1581.1514</v>
      </c>
      <c r="F452" s="60" t="str">
        <f t="shared" si="21"/>
        <v>BZ</v>
      </c>
    </row>
    <row r="453" spans="1:6" ht="15" x14ac:dyDescent="0.35">
      <c r="A453" s="58" t="s">
        <v>358</v>
      </c>
      <c r="B453" s="58" t="s">
        <v>172</v>
      </c>
      <c r="C453" s="58">
        <v>2182</v>
      </c>
      <c r="D453" s="59">
        <v>1762</v>
      </c>
      <c r="E453" s="59">
        <v>-1762</v>
      </c>
      <c r="F453" s="60" t="str">
        <f t="shared" ref="F453:F516" si="22">_xlfn.XLOOKUP(A453,ClsCode,ClsClass)</f>
        <v>BZ</v>
      </c>
    </row>
    <row r="454" spans="1:6" ht="15" x14ac:dyDescent="0.35">
      <c r="A454" s="58" t="s">
        <v>358</v>
      </c>
      <c r="B454" s="58" t="s">
        <v>176</v>
      </c>
      <c r="C454" s="58">
        <v>2182</v>
      </c>
      <c r="D454" s="59">
        <v>1516.75</v>
      </c>
      <c r="E454" s="59">
        <v>-1508.5</v>
      </c>
      <c r="F454" s="60" t="str">
        <f t="shared" si="22"/>
        <v>BZ</v>
      </c>
    </row>
    <row r="455" spans="1:6" ht="15" x14ac:dyDescent="0.35">
      <c r="A455" s="58" t="s">
        <v>358</v>
      </c>
      <c r="B455" s="58" t="s">
        <v>180</v>
      </c>
      <c r="C455" s="58">
        <v>2182</v>
      </c>
      <c r="D455" s="59">
        <v>1736.3104000000001</v>
      </c>
      <c r="E455" s="59">
        <v>-1736.3104000000001</v>
      </c>
      <c r="F455" s="60" t="str">
        <f t="shared" si="22"/>
        <v>BZ</v>
      </c>
    </row>
    <row r="456" spans="1:6" ht="15" x14ac:dyDescent="0.35">
      <c r="A456" s="58" t="s">
        <v>358</v>
      </c>
      <c r="B456" s="58" t="s">
        <v>182</v>
      </c>
      <c r="C456" s="58">
        <v>2182</v>
      </c>
      <c r="D456" s="59">
        <v>1862.6406999999999</v>
      </c>
      <c r="E456" s="59">
        <v>1466.3244999999999</v>
      </c>
      <c r="F456" s="60" t="str">
        <f t="shared" si="22"/>
        <v>BZ</v>
      </c>
    </row>
    <row r="457" spans="1:6" ht="15" x14ac:dyDescent="0.35">
      <c r="A457" s="58" t="s">
        <v>359</v>
      </c>
      <c r="B457" s="58" t="s">
        <v>172</v>
      </c>
      <c r="C457" s="58">
        <v>90</v>
      </c>
      <c r="D457" s="59">
        <v>64</v>
      </c>
      <c r="E457" s="59">
        <v>-30</v>
      </c>
      <c r="F457" s="60" t="str">
        <f t="shared" si="22"/>
        <v>BZ</v>
      </c>
    </row>
    <row r="458" spans="1:6" ht="15" x14ac:dyDescent="0.35">
      <c r="A458" s="58" t="s">
        <v>359</v>
      </c>
      <c r="B458" s="58" t="s">
        <v>176</v>
      </c>
      <c r="C458" s="58">
        <v>90</v>
      </c>
      <c r="D458" s="59">
        <v>187.5</v>
      </c>
      <c r="E458" s="59">
        <v>187.5</v>
      </c>
      <c r="F458" s="60" t="str">
        <f t="shared" si="22"/>
        <v>BZ</v>
      </c>
    </row>
    <row r="459" spans="1:6" ht="15" x14ac:dyDescent="0.35">
      <c r="A459" s="58" t="s">
        <v>359</v>
      </c>
      <c r="B459" s="58" t="s">
        <v>180</v>
      </c>
      <c r="C459" s="58">
        <v>90</v>
      </c>
      <c r="D459" s="59">
        <v>94.771000000000001</v>
      </c>
      <c r="E459" s="59">
        <v>90.925200000000004</v>
      </c>
      <c r="F459" s="60" t="str">
        <f t="shared" si="22"/>
        <v>BZ</v>
      </c>
    </row>
    <row r="460" spans="1:6" ht="15" x14ac:dyDescent="0.35">
      <c r="A460" s="58" t="s">
        <v>359</v>
      </c>
      <c r="B460" s="58" t="s">
        <v>182</v>
      </c>
      <c r="C460" s="58">
        <v>90</v>
      </c>
      <c r="D460" s="59">
        <v>54.511400000000002</v>
      </c>
      <c r="E460" s="59">
        <v>-54.511400000000002</v>
      </c>
      <c r="F460" s="60" t="str">
        <f t="shared" si="22"/>
        <v>BZ</v>
      </c>
    </row>
    <row r="461" spans="1:6" ht="15" x14ac:dyDescent="0.35">
      <c r="A461" s="58" t="s">
        <v>360</v>
      </c>
      <c r="B461" s="58" t="s">
        <v>172</v>
      </c>
      <c r="C461" s="58">
        <v>338</v>
      </c>
      <c r="D461" s="59">
        <v>276</v>
      </c>
      <c r="E461" s="59">
        <v>-254</v>
      </c>
      <c r="F461" s="60" t="str">
        <f t="shared" si="22"/>
        <v>BZ</v>
      </c>
    </row>
    <row r="462" spans="1:6" ht="15" x14ac:dyDescent="0.35">
      <c r="A462" s="58" t="s">
        <v>360</v>
      </c>
      <c r="B462" s="58" t="s">
        <v>176</v>
      </c>
      <c r="C462" s="58">
        <v>338</v>
      </c>
      <c r="D462" s="59">
        <v>277</v>
      </c>
      <c r="E462" s="59">
        <v>-125</v>
      </c>
      <c r="F462" s="60" t="str">
        <f t="shared" si="22"/>
        <v>BZ</v>
      </c>
    </row>
    <row r="463" spans="1:6" ht="15" x14ac:dyDescent="0.35">
      <c r="A463" s="58" t="s">
        <v>360</v>
      </c>
      <c r="B463" s="58" t="s">
        <v>180</v>
      </c>
      <c r="C463" s="58">
        <v>338</v>
      </c>
      <c r="D463" s="59">
        <v>534.65700000000004</v>
      </c>
      <c r="E463" s="59">
        <v>293.98840000000001</v>
      </c>
      <c r="F463" s="60" t="str">
        <f t="shared" si="22"/>
        <v>BZ</v>
      </c>
    </row>
    <row r="464" spans="1:6" ht="15" x14ac:dyDescent="0.35">
      <c r="A464" s="58" t="s">
        <v>360</v>
      </c>
      <c r="B464" s="58" t="s">
        <v>182</v>
      </c>
      <c r="C464" s="58">
        <v>338</v>
      </c>
      <c r="D464" s="59">
        <v>270.5557</v>
      </c>
      <c r="E464" s="59">
        <v>-195.1747</v>
      </c>
      <c r="F464" s="60" t="str">
        <f t="shared" si="22"/>
        <v>BZ</v>
      </c>
    </row>
    <row r="465" spans="1:6" ht="15" x14ac:dyDescent="0.35">
      <c r="A465" s="58" t="s">
        <v>361</v>
      </c>
      <c r="B465" s="58" t="s">
        <v>172</v>
      </c>
      <c r="C465" s="58">
        <v>405</v>
      </c>
      <c r="D465" s="59">
        <v>843</v>
      </c>
      <c r="E465" s="59">
        <v>843</v>
      </c>
      <c r="F465" s="60" t="str">
        <f t="shared" si="22"/>
        <v>BY</v>
      </c>
    </row>
    <row r="466" spans="1:6" ht="15" x14ac:dyDescent="0.35">
      <c r="A466" s="58" t="s">
        <v>361</v>
      </c>
      <c r="B466" s="58" t="s">
        <v>176</v>
      </c>
      <c r="C466" s="58">
        <v>405</v>
      </c>
      <c r="D466" s="59">
        <v>306</v>
      </c>
      <c r="E466" s="59">
        <v>292.5</v>
      </c>
      <c r="F466" s="60" t="str">
        <f t="shared" si="22"/>
        <v>BY</v>
      </c>
    </row>
    <row r="467" spans="1:6" ht="15" x14ac:dyDescent="0.35">
      <c r="A467" s="58" t="s">
        <v>361</v>
      </c>
      <c r="B467" s="58" t="s">
        <v>180</v>
      </c>
      <c r="C467" s="58">
        <v>405</v>
      </c>
      <c r="D467" s="59">
        <v>340.005</v>
      </c>
      <c r="E467" s="59">
        <v>335.40600000000001</v>
      </c>
      <c r="F467" s="60" t="str">
        <f t="shared" si="22"/>
        <v>BY</v>
      </c>
    </row>
    <row r="468" spans="1:6" ht="15" x14ac:dyDescent="0.35">
      <c r="A468" s="58" t="s">
        <v>361</v>
      </c>
      <c r="B468" s="58" t="s">
        <v>182</v>
      </c>
      <c r="C468" s="58">
        <v>405</v>
      </c>
      <c r="D468" s="59">
        <v>310.37360000000001</v>
      </c>
      <c r="E468" s="59">
        <v>277.72699999999998</v>
      </c>
      <c r="F468" s="60" t="str">
        <f t="shared" si="22"/>
        <v>BY</v>
      </c>
    </row>
    <row r="469" spans="1:6" ht="15" x14ac:dyDescent="0.35">
      <c r="A469" s="58" t="s">
        <v>362</v>
      </c>
      <c r="B469" s="58" t="s">
        <v>172</v>
      </c>
      <c r="C469" s="58">
        <v>4665</v>
      </c>
      <c r="D469" s="59">
        <v>2739</v>
      </c>
      <c r="E469" s="59">
        <v>-2205</v>
      </c>
      <c r="F469" s="60" t="str">
        <f t="shared" si="22"/>
        <v>BY</v>
      </c>
    </row>
    <row r="470" spans="1:6" ht="15" x14ac:dyDescent="0.35">
      <c r="A470" s="58" t="s">
        <v>362</v>
      </c>
      <c r="B470" s="58" t="s">
        <v>176</v>
      </c>
      <c r="C470" s="58">
        <v>4665</v>
      </c>
      <c r="D470" s="59">
        <v>3509.5</v>
      </c>
      <c r="E470" s="59">
        <v>2376</v>
      </c>
      <c r="F470" s="60" t="str">
        <f t="shared" si="22"/>
        <v>BY</v>
      </c>
    </row>
    <row r="471" spans="1:6" ht="15" x14ac:dyDescent="0.35">
      <c r="A471" s="58" t="s">
        <v>362</v>
      </c>
      <c r="B471" s="58" t="s">
        <v>180</v>
      </c>
      <c r="C471" s="58">
        <v>4665</v>
      </c>
      <c r="D471" s="59">
        <v>3271.4746</v>
      </c>
      <c r="E471" s="59">
        <v>1899.9492</v>
      </c>
      <c r="F471" s="60" t="str">
        <f t="shared" si="22"/>
        <v>BY</v>
      </c>
    </row>
    <row r="472" spans="1:6" ht="15" x14ac:dyDescent="0.35">
      <c r="A472" s="58" t="s">
        <v>362</v>
      </c>
      <c r="B472" s="58" t="s">
        <v>182</v>
      </c>
      <c r="C472" s="58">
        <v>4665</v>
      </c>
      <c r="D472" s="59">
        <v>3506.5612000000001</v>
      </c>
      <c r="E472" s="59">
        <v>2975.953</v>
      </c>
      <c r="F472" s="60" t="str">
        <f t="shared" si="22"/>
        <v>BY</v>
      </c>
    </row>
    <row r="473" spans="1:6" ht="15" x14ac:dyDescent="0.35">
      <c r="A473" s="58" t="s">
        <v>363</v>
      </c>
      <c r="B473" s="58" t="s">
        <v>172</v>
      </c>
      <c r="C473" s="58">
        <v>1396</v>
      </c>
      <c r="D473" s="59">
        <v>902</v>
      </c>
      <c r="E473" s="59">
        <v>-868</v>
      </c>
      <c r="F473" s="60" t="str">
        <f t="shared" si="22"/>
        <v>BY</v>
      </c>
    </row>
    <row r="474" spans="1:6" ht="15" x14ac:dyDescent="0.35">
      <c r="A474" s="58" t="s">
        <v>363</v>
      </c>
      <c r="B474" s="58" t="s">
        <v>176</v>
      </c>
      <c r="C474" s="58">
        <v>1396</v>
      </c>
      <c r="D474" s="59">
        <v>751</v>
      </c>
      <c r="E474" s="59">
        <v>-541</v>
      </c>
      <c r="F474" s="60" t="str">
        <f t="shared" si="22"/>
        <v>BY</v>
      </c>
    </row>
    <row r="475" spans="1:6" ht="15" x14ac:dyDescent="0.35">
      <c r="A475" s="58" t="s">
        <v>363</v>
      </c>
      <c r="B475" s="58" t="s">
        <v>180</v>
      </c>
      <c r="C475" s="58">
        <v>1396</v>
      </c>
      <c r="D475" s="59">
        <v>753.54399999999998</v>
      </c>
      <c r="E475" s="59">
        <v>-548.63199999999995</v>
      </c>
      <c r="F475" s="60" t="str">
        <f t="shared" si="22"/>
        <v>BY</v>
      </c>
    </row>
    <row r="476" spans="1:6" ht="15" x14ac:dyDescent="0.35">
      <c r="A476" s="58" t="s">
        <v>363</v>
      </c>
      <c r="B476" s="58" t="s">
        <v>182</v>
      </c>
      <c r="C476" s="58">
        <v>1396</v>
      </c>
      <c r="D476" s="59">
        <v>657.82579999999996</v>
      </c>
      <c r="E476" s="59">
        <v>-176.904</v>
      </c>
      <c r="F476" s="60" t="str">
        <f t="shared" si="22"/>
        <v>BY</v>
      </c>
    </row>
    <row r="477" spans="1:6" ht="15" x14ac:dyDescent="0.35">
      <c r="A477" s="58" t="s">
        <v>364</v>
      </c>
      <c r="B477" s="58" t="s">
        <v>172</v>
      </c>
      <c r="C477" s="58">
        <v>580</v>
      </c>
      <c r="D477" s="59">
        <v>580</v>
      </c>
      <c r="E477" s="59">
        <v>-580</v>
      </c>
      <c r="F477" s="60" t="str">
        <f t="shared" si="22"/>
        <v>BZ</v>
      </c>
    </row>
    <row r="478" spans="1:6" ht="15" x14ac:dyDescent="0.35">
      <c r="A478" s="58" t="s">
        <v>364</v>
      </c>
      <c r="B478" s="58" t="s">
        <v>176</v>
      </c>
      <c r="C478" s="58">
        <v>580</v>
      </c>
      <c r="D478" s="59">
        <v>580</v>
      </c>
      <c r="E478" s="59">
        <v>-580</v>
      </c>
      <c r="F478" s="60" t="str">
        <f t="shared" si="22"/>
        <v>BZ</v>
      </c>
    </row>
    <row r="479" spans="1:6" ht="15" x14ac:dyDescent="0.35">
      <c r="A479" s="58" t="s">
        <v>364</v>
      </c>
      <c r="B479" s="58" t="s">
        <v>180</v>
      </c>
      <c r="C479" s="58">
        <v>580</v>
      </c>
      <c r="D479" s="59">
        <v>580.00360000000001</v>
      </c>
      <c r="E479" s="59">
        <v>-579.99279999999999</v>
      </c>
      <c r="F479" s="60" t="str">
        <f t="shared" si="22"/>
        <v>BZ</v>
      </c>
    </row>
    <row r="480" spans="1:6" ht="15" x14ac:dyDescent="0.35">
      <c r="A480" s="58" t="s">
        <v>364</v>
      </c>
      <c r="B480" s="58" t="s">
        <v>182</v>
      </c>
      <c r="C480" s="58">
        <v>580</v>
      </c>
      <c r="D480" s="59">
        <v>580</v>
      </c>
      <c r="E480" s="59">
        <v>-580</v>
      </c>
      <c r="F480" s="60" t="str">
        <f t="shared" si="22"/>
        <v>BZ</v>
      </c>
    </row>
    <row r="481" spans="1:6" ht="15" x14ac:dyDescent="0.35">
      <c r="A481" s="58" t="s">
        <v>365</v>
      </c>
      <c r="B481" s="58" t="s">
        <v>172</v>
      </c>
      <c r="C481" s="58">
        <v>6136</v>
      </c>
      <c r="D481" s="59">
        <v>2624</v>
      </c>
      <c r="E481" s="59">
        <v>-2404</v>
      </c>
      <c r="F481" s="60" t="str">
        <f t="shared" si="22"/>
        <v>BY</v>
      </c>
    </row>
    <row r="482" spans="1:6" ht="15" x14ac:dyDescent="0.35">
      <c r="A482" s="58" t="s">
        <v>365</v>
      </c>
      <c r="B482" s="58" t="s">
        <v>176</v>
      </c>
      <c r="C482" s="58">
        <v>6136</v>
      </c>
      <c r="D482" s="59">
        <v>3135.75</v>
      </c>
      <c r="E482" s="59">
        <v>-3068.5</v>
      </c>
      <c r="F482" s="60" t="str">
        <f t="shared" si="22"/>
        <v>BY</v>
      </c>
    </row>
    <row r="483" spans="1:6" ht="15" x14ac:dyDescent="0.35">
      <c r="A483" s="58" t="s">
        <v>365</v>
      </c>
      <c r="B483" s="58" t="s">
        <v>180</v>
      </c>
      <c r="C483" s="58">
        <v>6136</v>
      </c>
      <c r="D483" s="59">
        <v>3271.3510000000001</v>
      </c>
      <c r="E483" s="59">
        <v>-3231.2212</v>
      </c>
      <c r="F483" s="60" t="str">
        <f t="shared" si="22"/>
        <v>BY</v>
      </c>
    </row>
    <row r="484" spans="1:6" ht="15" x14ac:dyDescent="0.35">
      <c r="A484" s="58" t="s">
        <v>365</v>
      </c>
      <c r="B484" s="58" t="s">
        <v>182</v>
      </c>
      <c r="C484" s="58">
        <v>6136</v>
      </c>
      <c r="D484" s="59">
        <v>2279.7287999999999</v>
      </c>
      <c r="E484" s="59">
        <v>-528.26279999999997</v>
      </c>
      <c r="F484" s="60" t="str">
        <f t="shared" si="22"/>
        <v>BY</v>
      </c>
    </row>
    <row r="485" spans="1:6" ht="15" x14ac:dyDescent="0.35">
      <c r="A485" s="58" t="s">
        <v>366</v>
      </c>
      <c r="B485" s="58" t="s">
        <v>172</v>
      </c>
      <c r="C485" s="58">
        <v>1756</v>
      </c>
      <c r="D485" s="59">
        <v>1726</v>
      </c>
      <c r="E485" s="59">
        <v>-1648</v>
      </c>
      <c r="F485" s="60" t="str">
        <f t="shared" si="22"/>
        <v>BZ</v>
      </c>
    </row>
    <row r="486" spans="1:6" ht="15" x14ac:dyDescent="0.35">
      <c r="A486" s="58" t="s">
        <v>366</v>
      </c>
      <c r="B486" s="58" t="s">
        <v>176</v>
      </c>
      <c r="C486" s="58">
        <v>1756</v>
      </c>
      <c r="D486" s="59">
        <v>2030</v>
      </c>
      <c r="E486" s="59">
        <v>-244</v>
      </c>
      <c r="F486" s="60" t="str">
        <f t="shared" si="22"/>
        <v>BZ</v>
      </c>
    </row>
    <row r="487" spans="1:6" ht="15" x14ac:dyDescent="0.35">
      <c r="A487" s="58" t="s">
        <v>366</v>
      </c>
      <c r="B487" s="58" t="s">
        <v>180</v>
      </c>
      <c r="C487" s="58">
        <v>1756</v>
      </c>
      <c r="D487" s="59">
        <v>2007.2144000000001</v>
      </c>
      <c r="E487" s="59">
        <v>-278.17840000000001</v>
      </c>
      <c r="F487" s="60" t="str">
        <f t="shared" si="22"/>
        <v>BZ</v>
      </c>
    </row>
    <row r="488" spans="1:6" ht="15" x14ac:dyDescent="0.35">
      <c r="A488" s="58" t="s">
        <v>366</v>
      </c>
      <c r="B488" s="58" t="s">
        <v>182</v>
      </c>
      <c r="C488" s="58">
        <v>1756</v>
      </c>
      <c r="D488" s="59">
        <v>2794.1640000000002</v>
      </c>
      <c r="E488" s="59">
        <v>710.80160000000001</v>
      </c>
      <c r="F488" s="60" t="str">
        <f t="shared" si="22"/>
        <v>BZ</v>
      </c>
    </row>
    <row r="489" spans="1:6" ht="15" x14ac:dyDescent="0.35">
      <c r="A489" s="58" t="s">
        <v>367</v>
      </c>
      <c r="B489" s="58" t="s">
        <v>172</v>
      </c>
      <c r="C489" s="58">
        <v>225</v>
      </c>
      <c r="D489" s="59">
        <v>107</v>
      </c>
      <c r="E489" s="59">
        <v>-93</v>
      </c>
      <c r="F489" s="60" t="str">
        <f t="shared" si="22"/>
        <v>BX</v>
      </c>
    </row>
    <row r="490" spans="1:6" ht="15" x14ac:dyDescent="0.35">
      <c r="A490" s="58" t="s">
        <v>367</v>
      </c>
      <c r="B490" s="58" t="s">
        <v>176</v>
      </c>
      <c r="C490" s="58">
        <v>225</v>
      </c>
      <c r="D490" s="59">
        <v>99</v>
      </c>
      <c r="E490" s="59">
        <v>-66</v>
      </c>
      <c r="F490" s="60" t="str">
        <f t="shared" si="22"/>
        <v>BX</v>
      </c>
    </row>
    <row r="491" spans="1:6" ht="15" x14ac:dyDescent="0.35">
      <c r="A491" s="58" t="s">
        <v>367</v>
      </c>
      <c r="B491" s="58" t="s">
        <v>180</v>
      </c>
      <c r="C491" s="58">
        <v>225</v>
      </c>
      <c r="D491" s="59">
        <v>99</v>
      </c>
      <c r="E491" s="59">
        <v>-62.272799999999997</v>
      </c>
      <c r="F491" s="60" t="str">
        <f t="shared" si="22"/>
        <v>BX</v>
      </c>
    </row>
    <row r="492" spans="1:6" ht="15" x14ac:dyDescent="0.35">
      <c r="A492" s="58" t="s">
        <v>367</v>
      </c>
      <c r="B492" s="58" t="s">
        <v>182</v>
      </c>
      <c r="C492" s="58">
        <v>225</v>
      </c>
      <c r="D492" s="59">
        <v>141.0883</v>
      </c>
      <c r="E492" s="59">
        <v>-138.5949</v>
      </c>
      <c r="F492" s="60" t="str">
        <f t="shared" si="22"/>
        <v>BX</v>
      </c>
    </row>
    <row r="493" spans="1:6" ht="15" x14ac:dyDescent="0.35">
      <c r="A493" s="58" t="s">
        <v>368</v>
      </c>
      <c r="B493" s="58" t="s">
        <v>172</v>
      </c>
      <c r="C493" s="58">
        <v>417</v>
      </c>
      <c r="D493" s="59">
        <v>3615</v>
      </c>
      <c r="E493" s="59">
        <v>3615</v>
      </c>
      <c r="F493" s="60" t="str">
        <f t="shared" si="22"/>
        <v>BZ</v>
      </c>
    </row>
    <row r="494" spans="1:6" ht="15" x14ac:dyDescent="0.35">
      <c r="A494" s="58" t="s">
        <v>368</v>
      </c>
      <c r="B494" s="58" t="s">
        <v>176</v>
      </c>
      <c r="C494" s="58">
        <v>417</v>
      </c>
      <c r="D494" s="59">
        <v>1070</v>
      </c>
      <c r="E494" s="59">
        <v>859.5</v>
      </c>
      <c r="F494" s="60" t="str">
        <f t="shared" si="22"/>
        <v>BZ</v>
      </c>
    </row>
    <row r="495" spans="1:6" ht="15" x14ac:dyDescent="0.35">
      <c r="A495" s="58" t="s">
        <v>368</v>
      </c>
      <c r="B495" s="58" t="s">
        <v>180</v>
      </c>
      <c r="C495" s="58">
        <v>417</v>
      </c>
      <c r="D495" s="59">
        <v>960.096</v>
      </c>
      <c r="E495" s="59">
        <v>694.64400000000001</v>
      </c>
      <c r="F495" s="60" t="str">
        <f t="shared" si="22"/>
        <v>BZ</v>
      </c>
    </row>
    <row r="496" spans="1:6" ht="15" x14ac:dyDescent="0.35">
      <c r="A496" s="58" t="s">
        <v>368</v>
      </c>
      <c r="B496" s="58" t="s">
        <v>182</v>
      </c>
      <c r="C496" s="58">
        <v>417</v>
      </c>
      <c r="D496" s="59">
        <v>1913.4667999999999</v>
      </c>
      <c r="E496" s="59">
        <v>1849.1602</v>
      </c>
      <c r="F496" s="60" t="str">
        <f t="shared" si="22"/>
        <v>BZ</v>
      </c>
    </row>
    <row r="497" spans="1:6" ht="15" x14ac:dyDescent="0.35">
      <c r="A497" s="58" t="s">
        <v>369</v>
      </c>
      <c r="B497" s="58" t="s">
        <v>172</v>
      </c>
      <c r="C497" s="58">
        <v>2406</v>
      </c>
      <c r="D497" s="59">
        <v>752</v>
      </c>
      <c r="E497" s="59">
        <v>-342</v>
      </c>
      <c r="F497" s="60" t="str">
        <f t="shared" si="22"/>
        <v>BX</v>
      </c>
    </row>
    <row r="498" spans="1:6" ht="15" x14ac:dyDescent="0.35">
      <c r="A498" s="58" t="s">
        <v>369</v>
      </c>
      <c r="B498" s="58" t="s">
        <v>176</v>
      </c>
      <c r="C498" s="58">
        <v>2406</v>
      </c>
      <c r="D498" s="59">
        <v>950.75</v>
      </c>
      <c r="E498" s="59">
        <v>259.5</v>
      </c>
      <c r="F498" s="60" t="str">
        <f t="shared" si="22"/>
        <v>BX</v>
      </c>
    </row>
    <row r="499" spans="1:6" ht="15" x14ac:dyDescent="0.35">
      <c r="A499" s="58" t="s">
        <v>369</v>
      </c>
      <c r="B499" s="58" t="s">
        <v>180</v>
      </c>
      <c r="C499" s="58">
        <v>2406</v>
      </c>
      <c r="D499" s="59">
        <v>918.39319999999998</v>
      </c>
      <c r="E499" s="59">
        <v>194.78639999999999</v>
      </c>
      <c r="F499" s="60" t="str">
        <f t="shared" si="22"/>
        <v>BX</v>
      </c>
    </row>
    <row r="500" spans="1:6" ht="15" x14ac:dyDescent="0.35">
      <c r="A500" s="58" t="s">
        <v>369</v>
      </c>
      <c r="B500" s="58" t="s">
        <v>182</v>
      </c>
      <c r="C500" s="58">
        <v>2406</v>
      </c>
      <c r="D500" s="59">
        <v>984.54300000000001</v>
      </c>
      <c r="E500" s="59">
        <v>-97.260400000000004</v>
      </c>
      <c r="F500" s="60" t="str">
        <f t="shared" si="22"/>
        <v>BX</v>
      </c>
    </row>
    <row r="501" spans="1:6" ht="15" x14ac:dyDescent="0.35">
      <c r="A501" s="58" t="s">
        <v>370</v>
      </c>
      <c r="B501" s="58" t="s">
        <v>172</v>
      </c>
      <c r="C501" s="58">
        <v>202</v>
      </c>
      <c r="D501" s="59">
        <v>116</v>
      </c>
      <c r="E501" s="59">
        <v>-82</v>
      </c>
      <c r="F501" s="60" t="str">
        <f t="shared" si="22"/>
        <v>BY</v>
      </c>
    </row>
    <row r="502" spans="1:6" ht="15" x14ac:dyDescent="0.35">
      <c r="A502" s="58" t="s">
        <v>370</v>
      </c>
      <c r="B502" s="58" t="s">
        <v>176</v>
      </c>
      <c r="C502" s="58">
        <v>202</v>
      </c>
      <c r="D502" s="59">
        <v>114</v>
      </c>
      <c r="E502" s="59">
        <v>-31</v>
      </c>
      <c r="F502" s="60" t="str">
        <f t="shared" si="22"/>
        <v>BY</v>
      </c>
    </row>
    <row r="503" spans="1:6" ht="15" x14ac:dyDescent="0.35">
      <c r="A503" s="58" t="s">
        <v>370</v>
      </c>
      <c r="B503" s="58" t="s">
        <v>180</v>
      </c>
      <c r="C503" s="58">
        <v>202</v>
      </c>
      <c r="D503" s="59">
        <v>114</v>
      </c>
      <c r="E503" s="59">
        <v>-32.0764</v>
      </c>
      <c r="F503" s="60" t="str">
        <f t="shared" si="22"/>
        <v>BY</v>
      </c>
    </row>
    <row r="504" spans="1:6" ht="15" x14ac:dyDescent="0.35">
      <c r="A504" s="58" t="s">
        <v>370</v>
      </c>
      <c r="B504" s="58" t="s">
        <v>182</v>
      </c>
      <c r="C504" s="58">
        <v>202</v>
      </c>
      <c r="D504" s="59">
        <v>111.9552</v>
      </c>
      <c r="E504" s="59">
        <v>28.798999999999999</v>
      </c>
      <c r="F504" s="60" t="str">
        <f t="shared" si="22"/>
        <v>BY</v>
      </c>
    </row>
    <row r="505" spans="1:6" ht="15" x14ac:dyDescent="0.35">
      <c r="A505" s="58" t="s">
        <v>371</v>
      </c>
      <c r="B505" s="58" t="s">
        <v>172</v>
      </c>
      <c r="C505" s="58">
        <v>544</v>
      </c>
      <c r="D505" s="59">
        <v>250</v>
      </c>
      <c r="E505" s="59">
        <v>92</v>
      </c>
      <c r="F505" s="60" t="str">
        <f t="shared" si="22"/>
        <v>BY</v>
      </c>
    </row>
    <row r="506" spans="1:6" ht="15" x14ac:dyDescent="0.35">
      <c r="A506" s="58" t="s">
        <v>371</v>
      </c>
      <c r="B506" s="58" t="s">
        <v>176</v>
      </c>
      <c r="C506" s="58">
        <v>544</v>
      </c>
      <c r="D506" s="59">
        <v>608</v>
      </c>
      <c r="E506" s="59">
        <v>608</v>
      </c>
      <c r="F506" s="60" t="str">
        <f t="shared" si="22"/>
        <v>BY</v>
      </c>
    </row>
    <row r="507" spans="1:6" ht="15" x14ac:dyDescent="0.35">
      <c r="A507" s="58" t="s">
        <v>371</v>
      </c>
      <c r="B507" s="58" t="s">
        <v>180</v>
      </c>
      <c r="C507" s="58">
        <v>544</v>
      </c>
      <c r="D507" s="59">
        <v>424.97480000000002</v>
      </c>
      <c r="E507" s="59">
        <v>424.97480000000002</v>
      </c>
      <c r="F507" s="60" t="str">
        <f t="shared" si="22"/>
        <v>BY</v>
      </c>
    </row>
    <row r="508" spans="1:6" ht="15" x14ac:dyDescent="0.35">
      <c r="A508" s="58" t="s">
        <v>371</v>
      </c>
      <c r="B508" s="58" t="s">
        <v>182</v>
      </c>
      <c r="C508" s="58">
        <v>544</v>
      </c>
      <c r="D508" s="59">
        <v>1145.9170999999999</v>
      </c>
      <c r="E508" s="59">
        <v>1145.9170999999999</v>
      </c>
      <c r="F508" s="60" t="str">
        <f t="shared" si="22"/>
        <v>BY</v>
      </c>
    </row>
    <row r="509" spans="1:6" ht="15" x14ac:dyDescent="0.35">
      <c r="A509" s="58" t="s">
        <v>372</v>
      </c>
      <c r="B509" s="58" t="s">
        <v>172</v>
      </c>
      <c r="C509" s="58">
        <v>522</v>
      </c>
      <c r="D509" s="59">
        <v>384</v>
      </c>
      <c r="E509" s="59">
        <v>-378</v>
      </c>
      <c r="F509" s="60" t="str">
        <f t="shared" si="22"/>
        <v>BY</v>
      </c>
    </row>
    <row r="510" spans="1:6" ht="15" x14ac:dyDescent="0.35">
      <c r="A510" s="58" t="s">
        <v>372</v>
      </c>
      <c r="B510" s="58" t="s">
        <v>176</v>
      </c>
      <c r="C510" s="58">
        <v>522</v>
      </c>
      <c r="D510" s="59">
        <v>311.25</v>
      </c>
      <c r="E510" s="59">
        <v>-229.5</v>
      </c>
      <c r="F510" s="60" t="str">
        <f t="shared" si="22"/>
        <v>BY</v>
      </c>
    </row>
    <row r="511" spans="1:6" ht="15" x14ac:dyDescent="0.35">
      <c r="A511" s="58" t="s">
        <v>372</v>
      </c>
      <c r="B511" s="58" t="s">
        <v>180</v>
      </c>
      <c r="C511" s="58">
        <v>522</v>
      </c>
      <c r="D511" s="59">
        <v>310.2586</v>
      </c>
      <c r="E511" s="59">
        <v>-223.55160000000001</v>
      </c>
      <c r="F511" s="60" t="str">
        <f t="shared" si="22"/>
        <v>BY</v>
      </c>
    </row>
    <row r="512" spans="1:6" ht="15" x14ac:dyDescent="0.35">
      <c r="A512" s="58" t="s">
        <v>372</v>
      </c>
      <c r="B512" s="58" t="s">
        <v>182</v>
      </c>
      <c r="C512" s="58">
        <v>522</v>
      </c>
      <c r="D512" s="59">
        <v>303.44450000000001</v>
      </c>
      <c r="E512" s="59">
        <v>-103.0415</v>
      </c>
      <c r="F512" s="60" t="str">
        <f t="shared" si="22"/>
        <v>BY</v>
      </c>
    </row>
    <row r="513" spans="1:6" ht="15" x14ac:dyDescent="0.35">
      <c r="A513" s="58" t="s">
        <v>373</v>
      </c>
      <c r="B513" s="58" t="s">
        <v>172</v>
      </c>
      <c r="C513" s="58">
        <v>242</v>
      </c>
      <c r="D513" s="59">
        <v>192</v>
      </c>
      <c r="E513" s="59">
        <v>-98</v>
      </c>
      <c r="F513" s="60" t="str">
        <f t="shared" si="22"/>
        <v>BY</v>
      </c>
    </row>
    <row r="514" spans="1:6" ht="15" x14ac:dyDescent="0.35">
      <c r="A514" s="58" t="s">
        <v>373</v>
      </c>
      <c r="B514" s="58" t="s">
        <v>176</v>
      </c>
      <c r="C514" s="58">
        <v>242</v>
      </c>
      <c r="D514" s="59">
        <v>617.25</v>
      </c>
      <c r="E514" s="59">
        <v>563.5</v>
      </c>
      <c r="F514" s="60" t="str">
        <f t="shared" si="22"/>
        <v>BY</v>
      </c>
    </row>
    <row r="515" spans="1:6" ht="15" x14ac:dyDescent="0.35">
      <c r="A515" s="58" t="s">
        <v>373</v>
      </c>
      <c r="B515" s="58" t="s">
        <v>180</v>
      </c>
      <c r="C515" s="58">
        <v>242</v>
      </c>
      <c r="D515" s="59">
        <v>575.10400000000004</v>
      </c>
      <c r="E515" s="59">
        <v>512.9248</v>
      </c>
      <c r="F515" s="60" t="str">
        <f t="shared" si="22"/>
        <v>BY</v>
      </c>
    </row>
    <row r="516" spans="1:6" ht="15" x14ac:dyDescent="0.35">
      <c r="A516" s="58" t="s">
        <v>373</v>
      </c>
      <c r="B516" s="58" t="s">
        <v>182</v>
      </c>
      <c r="C516" s="58">
        <v>242</v>
      </c>
      <c r="D516" s="59">
        <v>188.66669999999999</v>
      </c>
      <c r="E516" s="59">
        <v>-29.2193</v>
      </c>
      <c r="F516" s="60" t="str">
        <f t="shared" si="22"/>
        <v>BY</v>
      </c>
    </row>
    <row r="517" spans="1:6" ht="15" x14ac:dyDescent="0.35">
      <c r="A517" s="58" t="s">
        <v>374</v>
      </c>
      <c r="B517" s="58" t="s">
        <v>172</v>
      </c>
      <c r="C517" s="58">
        <v>2545</v>
      </c>
      <c r="D517" s="59">
        <v>713</v>
      </c>
      <c r="E517" s="59">
        <v>-217</v>
      </c>
      <c r="F517" s="60" t="str">
        <f t="shared" ref="F517:F580" si="23">_xlfn.XLOOKUP(A517,ClsCode,ClsClass)</f>
        <v>BX</v>
      </c>
    </row>
    <row r="518" spans="1:6" ht="15" x14ac:dyDescent="0.35">
      <c r="A518" s="58" t="s">
        <v>374</v>
      </c>
      <c r="B518" s="58" t="s">
        <v>176</v>
      </c>
      <c r="C518" s="58">
        <v>2545</v>
      </c>
      <c r="D518" s="59">
        <v>748</v>
      </c>
      <c r="E518" s="59">
        <v>-322</v>
      </c>
      <c r="F518" s="60" t="str">
        <f t="shared" si="23"/>
        <v>BX</v>
      </c>
    </row>
    <row r="519" spans="1:6" ht="15" x14ac:dyDescent="0.35">
      <c r="A519" s="58" t="s">
        <v>374</v>
      </c>
      <c r="B519" s="58" t="s">
        <v>180</v>
      </c>
      <c r="C519" s="58">
        <v>2545</v>
      </c>
      <c r="D519" s="59">
        <v>675.97799999999995</v>
      </c>
      <c r="E519" s="59">
        <v>256.86799999999999</v>
      </c>
      <c r="F519" s="60" t="str">
        <f t="shared" si="23"/>
        <v>BX</v>
      </c>
    </row>
    <row r="520" spans="1:6" ht="15" x14ac:dyDescent="0.35">
      <c r="A520" s="58" t="s">
        <v>374</v>
      </c>
      <c r="B520" s="58" t="s">
        <v>182</v>
      </c>
      <c r="C520" s="58">
        <v>2545</v>
      </c>
      <c r="D520" s="59">
        <v>686.03980000000001</v>
      </c>
      <c r="E520" s="59">
        <v>-207.74639999999999</v>
      </c>
      <c r="F520" s="60" t="str">
        <f t="shared" si="23"/>
        <v>BX</v>
      </c>
    </row>
    <row r="521" spans="1:6" ht="15" x14ac:dyDescent="0.35">
      <c r="A521" s="58" t="s">
        <v>375</v>
      </c>
      <c r="B521" s="58" t="s">
        <v>172</v>
      </c>
      <c r="C521" s="58">
        <v>529</v>
      </c>
      <c r="D521" s="59">
        <v>423</v>
      </c>
      <c r="E521" s="59">
        <v>-421</v>
      </c>
      <c r="F521" s="60" t="str">
        <f t="shared" si="23"/>
        <v>BZ</v>
      </c>
    </row>
    <row r="522" spans="1:6" ht="15" x14ac:dyDescent="0.35">
      <c r="A522" s="58" t="s">
        <v>375</v>
      </c>
      <c r="B522" s="58" t="s">
        <v>176</v>
      </c>
      <c r="C522" s="58">
        <v>529</v>
      </c>
      <c r="D522" s="59">
        <v>410</v>
      </c>
      <c r="E522" s="59">
        <v>-247</v>
      </c>
      <c r="F522" s="60" t="str">
        <f t="shared" si="23"/>
        <v>BZ</v>
      </c>
    </row>
    <row r="523" spans="1:6" ht="15" x14ac:dyDescent="0.35">
      <c r="A523" s="58" t="s">
        <v>375</v>
      </c>
      <c r="B523" s="58" t="s">
        <v>180</v>
      </c>
      <c r="C523" s="58">
        <v>529</v>
      </c>
      <c r="D523" s="59">
        <v>408.5924</v>
      </c>
      <c r="E523" s="59">
        <v>-255.44560000000001</v>
      </c>
      <c r="F523" s="60" t="str">
        <f t="shared" si="23"/>
        <v>BZ</v>
      </c>
    </row>
    <row r="524" spans="1:6" ht="15" x14ac:dyDescent="0.35">
      <c r="A524" s="58" t="s">
        <v>375</v>
      </c>
      <c r="B524" s="58" t="s">
        <v>182</v>
      </c>
      <c r="C524" s="58">
        <v>529</v>
      </c>
      <c r="D524" s="59">
        <v>433.2407</v>
      </c>
      <c r="E524" s="59">
        <v>-288.88869999999997</v>
      </c>
      <c r="F524" s="60" t="str">
        <f t="shared" si="23"/>
        <v>BZ</v>
      </c>
    </row>
    <row r="525" spans="1:6" ht="15" x14ac:dyDescent="0.35">
      <c r="A525" s="58" t="s">
        <v>376</v>
      </c>
      <c r="B525" s="58" t="s">
        <v>172</v>
      </c>
      <c r="C525" s="58">
        <v>2936</v>
      </c>
      <c r="D525" s="59">
        <v>2778</v>
      </c>
      <c r="E525" s="59">
        <v>-2720</v>
      </c>
      <c r="F525" s="60" t="str">
        <f t="shared" si="23"/>
        <v>BZ</v>
      </c>
    </row>
    <row r="526" spans="1:6" ht="15" x14ac:dyDescent="0.35">
      <c r="A526" s="58" t="s">
        <v>376</v>
      </c>
      <c r="B526" s="58" t="s">
        <v>176</v>
      </c>
      <c r="C526" s="58">
        <v>2936</v>
      </c>
      <c r="D526" s="59">
        <v>2814.75</v>
      </c>
      <c r="E526" s="59">
        <v>-2793.5</v>
      </c>
      <c r="F526" s="60" t="str">
        <f t="shared" si="23"/>
        <v>BZ</v>
      </c>
    </row>
    <row r="527" spans="1:6" ht="15" x14ac:dyDescent="0.35">
      <c r="A527" s="58" t="s">
        <v>376</v>
      </c>
      <c r="B527" s="58" t="s">
        <v>180</v>
      </c>
      <c r="C527" s="58">
        <v>2936</v>
      </c>
      <c r="D527" s="59">
        <v>2633.5183999999999</v>
      </c>
      <c r="E527" s="59">
        <v>-2357.1104</v>
      </c>
      <c r="F527" s="60" t="str">
        <f t="shared" si="23"/>
        <v>BZ</v>
      </c>
    </row>
    <row r="528" spans="1:6" ht="15" x14ac:dyDescent="0.35">
      <c r="A528" s="58" t="s">
        <v>376</v>
      </c>
      <c r="B528" s="58" t="s">
        <v>182</v>
      </c>
      <c r="C528" s="58">
        <v>2936</v>
      </c>
      <c r="D528" s="59">
        <v>2575.2201</v>
      </c>
      <c r="E528" s="59">
        <v>-2032.8751</v>
      </c>
      <c r="F528" s="60" t="str">
        <f t="shared" si="23"/>
        <v>BZ</v>
      </c>
    </row>
    <row r="529" spans="1:6" ht="15" x14ac:dyDescent="0.35">
      <c r="A529" s="58" t="s">
        <v>377</v>
      </c>
      <c r="B529" s="58" t="s">
        <v>172</v>
      </c>
      <c r="C529" s="58">
        <v>1062</v>
      </c>
      <c r="D529" s="59">
        <v>878</v>
      </c>
      <c r="E529" s="59">
        <v>-870</v>
      </c>
      <c r="F529" s="60" t="str">
        <f t="shared" si="23"/>
        <v>BY</v>
      </c>
    </row>
    <row r="530" spans="1:6" ht="15" x14ac:dyDescent="0.35">
      <c r="A530" s="58" t="s">
        <v>377</v>
      </c>
      <c r="B530" s="58" t="s">
        <v>176</v>
      </c>
      <c r="C530" s="58">
        <v>1062</v>
      </c>
      <c r="D530" s="59">
        <v>707.5</v>
      </c>
      <c r="E530" s="59">
        <v>-483</v>
      </c>
      <c r="F530" s="60" t="str">
        <f t="shared" si="23"/>
        <v>BY</v>
      </c>
    </row>
    <row r="531" spans="1:6" ht="15" x14ac:dyDescent="0.35">
      <c r="A531" s="58" t="s">
        <v>377</v>
      </c>
      <c r="B531" s="58" t="s">
        <v>180</v>
      </c>
      <c r="C531" s="58">
        <v>1062</v>
      </c>
      <c r="D531" s="59">
        <v>742.16880000000003</v>
      </c>
      <c r="E531" s="59">
        <v>67.012799999999999</v>
      </c>
      <c r="F531" s="60" t="str">
        <f t="shared" si="23"/>
        <v>BY</v>
      </c>
    </row>
    <row r="532" spans="1:6" ht="15" x14ac:dyDescent="0.35">
      <c r="A532" s="58" t="s">
        <v>377</v>
      </c>
      <c r="B532" s="58" t="s">
        <v>182</v>
      </c>
      <c r="C532" s="58">
        <v>1062</v>
      </c>
      <c r="D532" s="59">
        <v>843.47450000000003</v>
      </c>
      <c r="E532" s="59">
        <v>-456.57510000000002</v>
      </c>
      <c r="F532" s="60" t="str">
        <f t="shared" si="23"/>
        <v>BY</v>
      </c>
    </row>
    <row r="533" spans="1:6" ht="15" x14ac:dyDescent="0.35">
      <c r="A533" s="58" t="s">
        <v>378</v>
      </c>
      <c r="B533" s="58" t="s">
        <v>172</v>
      </c>
      <c r="C533" s="58">
        <v>384</v>
      </c>
      <c r="D533" s="59">
        <v>278</v>
      </c>
      <c r="E533" s="59">
        <v>-264</v>
      </c>
      <c r="F533" s="60" t="str">
        <f t="shared" si="23"/>
        <v>BY</v>
      </c>
    </row>
    <row r="534" spans="1:6" ht="15" x14ac:dyDescent="0.35">
      <c r="A534" s="58" t="s">
        <v>378</v>
      </c>
      <c r="B534" s="58" t="s">
        <v>176</v>
      </c>
      <c r="C534" s="58">
        <v>384</v>
      </c>
      <c r="D534" s="59">
        <v>279</v>
      </c>
      <c r="E534" s="59">
        <v>130.5</v>
      </c>
      <c r="F534" s="60" t="str">
        <f t="shared" si="23"/>
        <v>BY</v>
      </c>
    </row>
    <row r="535" spans="1:6" ht="15" x14ac:dyDescent="0.35">
      <c r="A535" s="58" t="s">
        <v>378</v>
      </c>
      <c r="B535" s="58" t="s">
        <v>180</v>
      </c>
      <c r="C535" s="58">
        <v>384</v>
      </c>
      <c r="D535" s="59">
        <v>242.376</v>
      </c>
      <c r="E535" s="59">
        <v>64.751999999999995</v>
      </c>
      <c r="F535" s="60" t="str">
        <f t="shared" si="23"/>
        <v>BY</v>
      </c>
    </row>
    <row r="536" spans="1:6" ht="15" x14ac:dyDescent="0.35">
      <c r="A536" s="58" t="s">
        <v>378</v>
      </c>
      <c r="B536" s="58" t="s">
        <v>182</v>
      </c>
      <c r="C536" s="58">
        <v>384</v>
      </c>
      <c r="D536" s="59">
        <v>338.81509999999997</v>
      </c>
      <c r="E536" s="59">
        <v>157.2225</v>
      </c>
      <c r="F536" s="60" t="str">
        <f t="shared" si="23"/>
        <v>BY</v>
      </c>
    </row>
    <row r="537" spans="1:6" ht="15" x14ac:dyDescent="0.35">
      <c r="A537" s="58" t="s">
        <v>379</v>
      </c>
      <c r="B537" s="58" t="s">
        <v>172</v>
      </c>
      <c r="C537" s="58">
        <v>1426</v>
      </c>
      <c r="D537" s="59">
        <v>934</v>
      </c>
      <c r="E537" s="59">
        <v>-934</v>
      </c>
      <c r="F537" s="60" t="str">
        <f t="shared" si="23"/>
        <v>BX</v>
      </c>
    </row>
    <row r="538" spans="1:6" ht="15" x14ac:dyDescent="0.35">
      <c r="A538" s="58" t="s">
        <v>379</v>
      </c>
      <c r="B538" s="58" t="s">
        <v>176</v>
      </c>
      <c r="C538" s="58">
        <v>1426</v>
      </c>
      <c r="D538" s="59">
        <v>988.25</v>
      </c>
      <c r="E538" s="59">
        <v>882.5</v>
      </c>
      <c r="F538" s="60" t="str">
        <f t="shared" si="23"/>
        <v>BX</v>
      </c>
    </row>
    <row r="539" spans="1:6" ht="15" x14ac:dyDescent="0.35">
      <c r="A539" s="58" t="s">
        <v>379</v>
      </c>
      <c r="B539" s="58" t="s">
        <v>180</v>
      </c>
      <c r="C539" s="58">
        <v>1426</v>
      </c>
      <c r="D539" s="59">
        <v>739.49900000000002</v>
      </c>
      <c r="E539" s="59">
        <v>384.99799999999999</v>
      </c>
      <c r="F539" s="60" t="str">
        <f t="shared" si="23"/>
        <v>BX</v>
      </c>
    </row>
    <row r="540" spans="1:6" ht="15" x14ac:dyDescent="0.35">
      <c r="A540" s="58" t="s">
        <v>379</v>
      </c>
      <c r="B540" s="58" t="s">
        <v>182</v>
      </c>
      <c r="C540" s="58">
        <v>1426</v>
      </c>
      <c r="D540" s="59">
        <v>566.98109999999997</v>
      </c>
      <c r="E540" s="59">
        <v>-167.66990000000001</v>
      </c>
      <c r="F540" s="60" t="str">
        <f t="shared" si="23"/>
        <v>BX</v>
      </c>
    </row>
    <row r="541" spans="1:6" ht="15" x14ac:dyDescent="0.35">
      <c r="A541" s="58" t="s">
        <v>380</v>
      </c>
      <c r="B541" s="58" t="s">
        <v>172</v>
      </c>
      <c r="C541" s="58">
        <v>545</v>
      </c>
      <c r="D541" s="59">
        <v>259</v>
      </c>
      <c r="E541" s="59">
        <v>-29</v>
      </c>
      <c r="F541" s="60" t="str">
        <f t="shared" si="23"/>
        <v>CY</v>
      </c>
    </row>
    <row r="542" spans="1:6" ht="15" x14ac:dyDescent="0.35">
      <c r="A542" s="58" t="s">
        <v>380</v>
      </c>
      <c r="B542" s="58" t="s">
        <v>176</v>
      </c>
      <c r="C542" s="58">
        <v>545</v>
      </c>
      <c r="D542" s="59">
        <v>264</v>
      </c>
      <c r="E542" s="59">
        <v>-239</v>
      </c>
      <c r="F542" s="60" t="str">
        <f t="shared" si="23"/>
        <v>CY</v>
      </c>
    </row>
    <row r="543" spans="1:6" ht="15" x14ac:dyDescent="0.35">
      <c r="A543" s="58" t="s">
        <v>380</v>
      </c>
      <c r="B543" s="58" t="s">
        <v>180</v>
      </c>
      <c r="C543" s="58">
        <v>545</v>
      </c>
      <c r="D543" s="59">
        <v>274.96879999999999</v>
      </c>
      <c r="E543" s="59">
        <v>-259.95319999999998</v>
      </c>
      <c r="F543" s="60" t="str">
        <f t="shared" si="23"/>
        <v>CY</v>
      </c>
    </row>
    <row r="544" spans="1:6" ht="15" x14ac:dyDescent="0.35">
      <c r="A544" s="58" t="s">
        <v>380</v>
      </c>
      <c r="B544" s="58" t="s">
        <v>182</v>
      </c>
      <c r="C544" s="58">
        <v>545</v>
      </c>
      <c r="D544" s="59">
        <v>254.053</v>
      </c>
      <c r="E544" s="59">
        <v>-72.348200000000006</v>
      </c>
      <c r="F544" s="60" t="str">
        <f t="shared" si="23"/>
        <v>CY</v>
      </c>
    </row>
    <row r="545" spans="1:6" ht="15" x14ac:dyDescent="0.35">
      <c r="A545" s="58" t="s">
        <v>381</v>
      </c>
      <c r="B545" s="58" t="s">
        <v>172</v>
      </c>
      <c r="C545" s="58">
        <v>719</v>
      </c>
      <c r="D545" s="59">
        <v>367</v>
      </c>
      <c r="E545" s="59">
        <v>-323</v>
      </c>
      <c r="F545" s="60" t="str">
        <f t="shared" si="23"/>
        <v>CY</v>
      </c>
    </row>
    <row r="546" spans="1:6" ht="15" x14ac:dyDescent="0.35">
      <c r="A546" s="58" t="s">
        <v>381</v>
      </c>
      <c r="B546" s="58" t="s">
        <v>176</v>
      </c>
      <c r="C546" s="58">
        <v>719</v>
      </c>
      <c r="D546" s="59">
        <v>346.5</v>
      </c>
      <c r="E546" s="59">
        <v>-236</v>
      </c>
      <c r="F546" s="60" t="str">
        <f t="shared" si="23"/>
        <v>CY</v>
      </c>
    </row>
    <row r="547" spans="1:6" ht="15" x14ac:dyDescent="0.35">
      <c r="A547" s="58" t="s">
        <v>381</v>
      </c>
      <c r="B547" s="58" t="s">
        <v>180</v>
      </c>
      <c r="C547" s="58">
        <v>719</v>
      </c>
      <c r="D547" s="59">
        <v>385.91379999999998</v>
      </c>
      <c r="E547" s="59">
        <v>-360.82760000000002</v>
      </c>
      <c r="F547" s="60" t="str">
        <f t="shared" si="23"/>
        <v>CY</v>
      </c>
    </row>
    <row r="548" spans="1:6" ht="15" x14ac:dyDescent="0.35">
      <c r="A548" s="58" t="s">
        <v>381</v>
      </c>
      <c r="B548" s="58" t="s">
        <v>182</v>
      </c>
      <c r="C548" s="58">
        <v>719</v>
      </c>
      <c r="D548" s="59">
        <v>380.11720000000003</v>
      </c>
      <c r="E548" s="59">
        <v>110.9012</v>
      </c>
      <c r="F548" s="60" t="str">
        <f t="shared" si="23"/>
        <v>CY</v>
      </c>
    </row>
    <row r="549" spans="1:6" ht="15" x14ac:dyDescent="0.35">
      <c r="A549" s="58" t="s">
        <v>382</v>
      </c>
      <c r="B549" s="58" t="s">
        <v>172</v>
      </c>
      <c r="C549" s="58">
        <v>1279</v>
      </c>
      <c r="D549" s="59">
        <v>625</v>
      </c>
      <c r="E549" s="59">
        <v>-127</v>
      </c>
      <c r="F549" s="60" t="str">
        <f t="shared" si="23"/>
        <v>CX</v>
      </c>
    </row>
    <row r="550" spans="1:6" ht="15" x14ac:dyDescent="0.35">
      <c r="A550" s="58" t="s">
        <v>382</v>
      </c>
      <c r="B550" s="58" t="s">
        <v>176</v>
      </c>
      <c r="C550" s="58">
        <v>1279</v>
      </c>
      <c r="D550" s="59">
        <v>720.5</v>
      </c>
      <c r="E550" s="59">
        <v>-629.5</v>
      </c>
      <c r="F550" s="60" t="str">
        <f t="shared" si="23"/>
        <v>CX</v>
      </c>
    </row>
    <row r="551" spans="1:6" ht="15" x14ac:dyDescent="0.35">
      <c r="A551" s="58" t="s">
        <v>382</v>
      </c>
      <c r="B551" s="58" t="s">
        <v>180</v>
      </c>
      <c r="C551" s="58">
        <v>1279</v>
      </c>
      <c r="D551" s="59">
        <v>675.83920000000001</v>
      </c>
      <c r="E551" s="59">
        <v>-495.51760000000002</v>
      </c>
      <c r="F551" s="60" t="str">
        <f t="shared" si="23"/>
        <v>CX</v>
      </c>
    </row>
    <row r="552" spans="1:6" ht="15" x14ac:dyDescent="0.35">
      <c r="A552" s="58" t="s">
        <v>382</v>
      </c>
      <c r="B552" s="58" t="s">
        <v>182</v>
      </c>
      <c r="C552" s="58">
        <v>1279</v>
      </c>
      <c r="D552" s="59">
        <v>591.11120000000005</v>
      </c>
      <c r="E552" s="59">
        <v>71.249799999999993</v>
      </c>
      <c r="F552" s="60" t="str">
        <f t="shared" si="23"/>
        <v>CX</v>
      </c>
    </row>
    <row r="553" spans="1:6" ht="15" x14ac:dyDescent="0.35">
      <c r="A553" s="58" t="s">
        <v>383</v>
      </c>
      <c r="B553" s="58" t="s">
        <v>172</v>
      </c>
      <c r="C553" s="58">
        <v>202</v>
      </c>
      <c r="D553" s="59">
        <v>178</v>
      </c>
      <c r="E553" s="59">
        <v>-178</v>
      </c>
      <c r="F553" s="60" t="str">
        <f t="shared" si="23"/>
        <v>CX</v>
      </c>
    </row>
    <row r="554" spans="1:6" ht="15" x14ac:dyDescent="0.35">
      <c r="A554" s="58" t="s">
        <v>383</v>
      </c>
      <c r="B554" s="58" t="s">
        <v>176</v>
      </c>
      <c r="C554" s="58">
        <v>202</v>
      </c>
      <c r="D554" s="59">
        <v>102</v>
      </c>
      <c r="E554" s="59">
        <v>-1</v>
      </c>
      <c r="F554" s="60" t="str">
        <f t="shared" si="23"/>
        <v>CX</v>
      </c>
    </row>
    <row r="555" spans="1:6" ht="15" x14ac:dyDescent="0.35">
      <c r="A555" s="58" t="s">
        <v>383</v>
      </c>
      <c r="B555" s="58" t="s">
        <v>180</v>
      </c>
      <c r="C555" s="58">
        <v>202</v>
      </c>
      <c r="D555" s="59">
        <v>112.1848</v>
      </c>
      <c r="E555" s="59">
        <v>-64.554400000000001</v>
      </c>
      <c r="F555" s="60" t="str">
        <f t="shared" si="23"/>
        <v>CX</v>
      </c>
    </row>
    <row r="556" spans="1:6" ht="15" x14ac:dyDescent="0.35">
      <c r="A556" s="58" t="s">
        <v>383</v>
      </c>
      <c r="B556" s="58" t="s">
        <v>182</v>
      </c>
      <c r="C556" s="58">
        <v>202</v>
      </c>
      <c r="D556" s="59">
        <v>149.1054</v>
      </c>
      <c r="E556" s="59">
        <v>120.6554</v>
      </c>
      <c r="F556" s="60" t="str">
        <f t="shared" si="23"/>
        <v>CX</v>
      </c>
    </row>
    <row r="557" spans="1:6" ht="15" x14ac:dyDescent="0.35">
      <c r="A557" s="58" t="s">
        <v>384</v>
      </c>
      <c r="B557" s="58" t="s">
        <v>172</v>
      </c>
      <c r="C557" s="58">
        <v>98</v>
      </c>
      <c r="D557" s="59">
        <v>68</v>
      </c>
      <c r="E557" s="59">
        <v>-62</v>
      </c>
      <c r="F557" s="60" t="str">
        <f t="shared" si="23"/>
        <v>CY</v>
      </c>
    </row>
    <row r="558" spans="1:6" ht="15" x14ac:dyDescent="0.35">
      <c r="A558" s="58" t="s">
        <v>384</v>
      </c>
      <c r="B558" s="58" t="s">
        <v>176</v>
      </c>
      <c r="C558" s="58">
        <v>98</v>
      </c>
      <c r="D558" s="59">
        <v>155.5</v>
      </c>
      <c r="E558" s="59">
        <v>155.5</v>
      </c>
      <c r="F558" s="60" t="str">
        <f t="shared" si="23"/>
        <v>CY</v>
      </c>
    </row>
    <row r="559" spans="1:6" ht="15" x14ac:dyDescent="0.35">
      <c r="A559" s="58" t="s">
        <v>384</v>
      </c>
      <c r="B559" s="58" t="s">
        <v>180</v>
      </c>
      <c r="C559" s="58">
        <v>98</v>
      </c>
      <c r="D559" s="59">
        <v>79.102800000000002</v>
      </c>
      <c r="E559" s="59">
        <v>55.308399999999999</v>
      </c>
      <c r="F559" s="60" t="str">
        <f t="shared" si="23"/>
        <v>CY</v>
      </c>
    </row>
    <row r="560" spans="1:6" ht="15" x14ac:dyDescent="0.35">
      <c r="A560" s="58" t="s">
        <v>384</v>
      </c>
      <c r="B560" s="58" t="s">
        <v>182</v>
      </c>
      <c r="C560" s="58">
        <v>98</v>
      </c>
      <c r="D560" s="59">
        <v>55.769799999999996</v>
      </c>
      <c r="E560" s="59">
        <v>-39.753599999999999</v>
      </c>
      <c r="F560" s="60" t="str">
        <f t="shared" si="23"/>
        <v>CY</v>
      </c>
    </row>
    <row r="561" spans="1:6" ht="15" x14ac:dyDescent="0.35">
      <c r="A561" s="58" t="s">
        <v>385</v>
      </c>
      <c r="B561" s="58" t="s">
        <v>172</v>
      </c>
      <c r="C561" s="58">
        <v>2465</v>
      </c>
      <c r="D561" s="59">
        <v>1469</v>
      </c>
      <c r="E561" s="59">
        <v>-1469</v>
      </c>
      <c r="F561" s="60" t="str">
        <f t="shared" si="23"/>
        <v>CX</v>
      </c>
    </row>
    <row r="562" spans="1:6" ht="15" x14ac:dyDescent="0.35">
      <c r="A562" s="58" t="s">
        <v>385</v>
      </c>
      <c r="B562" s="58" t="s">
        <v>176</v>
      </c>
      <c r="C562" s="58">
        <v>2465</v>
      </c>
      <c r="D562" s="59">
        <v>921</v>
      </c>
      <c r="E562" s="59">
        <v>-155</v>
      </c>
      <c r="F562" s="60" t="str">
        <f t="shared" si="23"/>
        <v>CX</v>
      </c>
    </row>
    <row r="563" spans="1:6" ht="15" x14ac:dyDescent="0.35">
      <c r="A563" s="58" t="s">
        <v>385</v>
      </c>
      <c r="B563" s="58" t="s">
        <v>180</v>
      </c>
      <c r="C563" s="58">
        <v>2465</v>
      </c>
      <c r="D563" s="59">
        <v>921</v>
      </c>
      <c r="E563" s="59">
        <v>-235.22720000000001</v>
      </c>
      <c r="F563" s="60" t="str">
        <f t="shared" si="23"/>
        <v>CX</v>
      </c>
    </row>
    <row r="564" spans="1:6" ht="15" x14ac:dyDescent="0.35">
      <c r="A564" s="58" t="s">
        <v>385</v>
      </c>
      <c r="B564" s="58" t="s">
        <v>182</v>
      </c>
      <c r="C564" s="58">
        <v>2465</v>
      </c>
      <c r="D564" s="59">
        <v>996.00009999999997</v>
      </c>
      <c r="E564" s="59">
        <v>-631.94190000000003</v>
      </c>
      <c r="F564" s="60" t="str">
        <f t="shared" si="23"/>
        <v>CX</v>
      </c>
    </row>
    <row r="565" spans="1:6" ht="15" x14ac:dyDescent="0.35">
      <c r="A565" s="58" t="s">
        <v>386</v>
      </c>
      <c r="B565" s="58" t="s">
        <v>172</v>
      </c>
      <c r="C565" s="58">
        <v>2582</v>
      </c>
      <c r="D565" s="59">
        <v>1566</v>
      </c>
      <c r="E565" s="59">
        <v>-1382</v>
      </c>
      <c r="F565" s="60" t="str">
        <f t="shared" si="23"/>
        <v>CX</v>
      </c>
    </row>
    <row r="566" spans="1:6" ht="15" x14ac:dyDescent="0.35">
      <c r="A566" s="58" t="s">
        <v>386</v>
      </c>
      <c r="B566" s="58" t="s">
        <v>176</v>
      </c>
      <c r="C566" s="58">
        <v>2582</v>
      </c>
      <c r="D566" s="59">
        <v>1519</v>
      </c>
      <c r="E566" s="59">
        <v>28</v>
      </c>
      <c r="F566" s="60" t="str">
        <f t="shared" si="23"/>
        <v>CX</v>
      </c>
    </row>
    <row r="567" spans="1:6" ht="15" x14ac:dyDescent="0.35">
      <c r="A567" s="58" t="s">
        <v>386</v>
      </c>
      <c r="B567" s="58" t="s">
        <v>180</v>
      </c>
      <c r="C567" s="58">
        <v>2582</v>
      </c>
      <c r="D567" s="59">
        <v>1494.2608</v>
      </c>
      <c r="E567" s="59">
        <v>-120.43519999999999</v>
      </c>
      <c r="F567" s="60" t="str">
        <f t="shared" si="23"/>
        <v>CX</v>
      </c>
    </row>
    <row r="568" spans="1:6" ht="15" x14ac:dyDescent="0.35">
      <c r="A568" s="58" t="s">
        <v>386</v>
      </c>
      <c r="B568" s="58" t="s">
        <v>182</v>
      </c>
      <c r="C568" s="58">
        <v>2582</v>
      </c>
      <c r="D568" s="59">
        <v>2542.5971</v>
      </c>
      <c r="E568" s="59">
        <v>-2542.5971</v>
      </c>
      <c r="F568" s="60" t="str">
        <f t="shared" si="23"/>
        <v>CX</v>
      </c>
    </row>
    <row r="569" spans="1:6" ht="15" x14ac:dyDescent="0.35">
      <c r="A569" s="58" t="s">
        <v>387</v>
      </c>
      <c r="B569" s="58" t="s">
        <v>172</v>
      </c>
      <c r="C569" s="58">
        <v>701</v>
      </c>
      <c r="D569" s="59">
        <v>699</v>
      </c>
      <c r="E569" s="59">
        <v>-101</v>
      </c>
      <c r="F569" s="60" t="str">
        <f t="shared" si="23"/>
        <v>CZ</v>
      </c>
    </row>
    <row r="570" spans="1:6" ht="15" x14ac:dyDescent="0.35">
      <c r="A570" s="58" t="s">
        <v>387</v>
      </c>
      <c r="B570" s="58" t="s">
        <v>176</v>
      </c>
      <c r="C570" s="58">
        <v>701</v>
      </c>
      <c r="D570" s="59">
        <v>798</v>
      </c>
      <c r="E570" s="59">
        <v>74.5</v>
      </c>
      <c r="F570" s="60" t="str">
        <f t="shared" si="23"/>
        <v>CZ</v>
      </c>
    </row>
    <row r="571" spans="1:6" ht="15" x14ac:dyDescent="0.35">
      <c r="A571" s="58" t="s">
        <v>387</v>
      </c>
      <c r="B571" s="58" t="s">
        <v>180</v>
      </c>
      <c r="C571" s="58">
        <v>701</v>
      </c>
      <c r="D571" s="59">
        <v>760.48239999999998</v>
      </c>
      <c r="E571" s="59">
        <v>18.223600000000001</v>
      </c>
      <c r="F571" s="60" t="str">
        <f t="shared" si="23"/>
        <v>CZ</v>
      </c>
    </row>
    <row r="572" spans="1:6" ht="15" x14ac:dyDescent="0.35">
      <c r="A572" s="58" t="s">
        <v>387</v>
      </c>
      <c r="B572" s="58" t="s">
        <v>182</v>
      </c>
      <c r="C572" s="58">
        <v>701</v>
      </c>
      <c r="D572" s="59">
        <v>1401.0293999999999</v>
      </c>
      <c r="E572" s="59">
        <v>817.25739999999996</v>
      </c>
      <c r="F572" s="60" t="str">
        <f t="shared" si="23"/>
        <v>CZ</v>
      </c>
    </row>
    <row r="573" spans="1:6" ht="15" x14ac:dyDescent="0.35">
      <c r="A573" s="58" t="s">
        <v>388</v>
      </c>
      <c r="B573" s="58" t="s">
        <v>172</v>
      </c>
      <c r="C573" s="58">
        <v>1152</v>
      </c>
      <c r="D573" s="59">
        <v>1100</v>
      </c>
      <c r="E573" s="59">
        <v>-1092</v>
      </c>
      <c r="F573" s="60" t="str">
        <f t="shared" si="23"/>
        <v>CZ</v>
      </c>
    </row>
    <row r="574" spans="1:6" ht="15" x14ac:dyDescent="0.35">
      <c r="A574" s="58" t="s">
        <v>388</v>
      </c>
      <c r="B574" s="58" t="s">
        <v>176</v>
      </c>
      <c r="C574" s="58">
        <v>1152</v>
      </c>
      <c r="D574" s="59">
        <v>590.5</v>
      </c>
      <c r="E574" s="59">
        <v>-417</v>
      </c>
      <c r="F574" s="60" t="str">
        <f t="shared" si="23"/>
        <v>CZ</v>
      </c>
    </row>
    <row r="575" spans="1:6" ht="15" x14ac:dyDescent="0.35">
      <c r="A575" s="58" t="s">
        <v>388</v>
      </c>
      <c r="B575" s="58" t="s">
        <v>180</v>
      </c>
      <c r="C575" s="58">
        <v>1152</v>
      </c>
      <c r="D575" s="59">
        <v>662.77599999999995</v>
      </c>
      <c r="E575" s="59">
        <v>-553.16399999999999</v>
      </c>
      <c r="F575" s="60" t="str">
        <f t="shared" si="23"/>
        <v>CZ</v>
      </c>
    </row>
    <row r="576" spans="1:6" ht="15" x14ac:dyDescent="0.35">
      <c r="A576" s="58" t="s">
        <v>388</v>
      </c>
      <c r="B576" s="58" t="s">
        <v>182</v>
      </c>
      <c r="C576" s="58">
        <v>1152</v>
      </c>
      <c r="D576" s="59">
        <v>1339.7573</v>
      </c>
      <c r="E576" s="59">
        <v>1339.7573</v>
      </c>
      <c r="F576" s="60" t="str">
        <f t="shared" si="23"/>
        <v>CZ</v>
      </c>
    </row>
    <row r="577" spans="1:6" ht="15" x14ac:dyDescent="0.35">
      <c r="A577" s="58" t="s">
        <v>389</v>
      </c>
      <c r="B577" s="58" t="s">
        <v>172</v>
      </c>
      <c r="C577" s="58">
        <v>601</v>
      </c>
      <c r="D577" s="59">
        <v>471</v>
      </c>
      <c r="E577" s="59">
        <v>-469</v>
      </c>
      <c r="F577" s="60" t="str">
        <f t="shared" si="23"/>
        <v>CY</v>
      </c>
    </row>
    <row r="578" spans="1:6" ht="15" x14ac:dyDescent="0.35">
      <c r="A578" s="58" t="s">
        <v>389</v>
      </c>
      <c r="B578" s="58" t="s">
        <v>176</v>
      </c>
      <c r="C578" s="58">
        <v>601</v>
      </c>
      <c r="D578" s="59">
        <v>391.5</v>
      </c>
      <c r="E578" s="59">
        <v>-316</v>
      </c>
      <c r="F578" s="60" t="str">
        <f t="shared" si="23"/>
        <v>CY</v>
      </c>
    </row>
    <row r="579" spans="1:6" ht="15" x14ac:dyDescent="0.35">
      <c r="A579" s="58" t="s">
        <v>389</v>
      </c>
      <c r="B579" s="58" t="s">
        <v>180</v>
      </c>
      <c r="C579" s="58">
        <v>601</v>
      </c>
      <c r="D579" s="59">
        <v>353</v>
      </c>
      <c r="E579" s="59">
        <v>-73.759600000000006</v>
      </c>
      <c r="F579" s="60" t="str">
        <f t="shared" si="23"/>
        <v>CY</v>
      </c>
    </row>
    <row r="580" spans="1:6" ht="15" x14ac:dyDescent="0.35">
      <c r="A580" s="58" t="s">
        <v>389</v>
      </c>
      <c r="B580" s="58" t="s">
        <v>182</v>
      </c>
      <c r="C580" s="58">
        <v>601</v>
      </c>
      <c r="D580" s="59">
        <v>421.46820000000002</v>
      </c>
      <c r="E580" s="59">
        <v>-37.080599999999997</v>
      </c>
      <c r="F580" s="60" t="str">
        <f t="shared" si="23"/>
        <v>CY</v>
      </c>
    </row>
    <row r="581" spans="1:6" ht="15" x14ac:dyDescent="0.35">
      <c r="A581" s="58" t="s">
        <v>390</v>
      </c>
      <c r="B581" s="58" t="s">
        <v>172</v>
      </c>
      <c r="C581" s="58">
        <v>405</v>
      </c>
      <c r="D581" s="59">
        <v>447</v>
      </c>
      <c r="E581" s="59">
        <v>447</v>
      </c>
      <c r="F581" s="60" t="str">
        <f t="shared" ref="F581:F604" si="24">_xlfn.XLOOKUP(A581,ClsCode,ClsClass)</f>
        <v>CY</v>
      </c>
    </row>
    <row r="582" spans="1:6" ht="15" x14ac:dyDescent="0.35">
      <c r="A582" s="58" t="s">
        <v>390</v>
      </c>
      <c r="B582" s="58" t="s">
        <v>176</v>
      </c>
      <c r="C582" s="58">
        <v>405</v>
      </c>
      <c r="D582" s="59">
        <v>211.5</v>
      </c>
      <c r="E582" s="59">
        <v>96</v>
      </c>
      <c r="F582" s="60" t="str">
        <f t="shared" si="24"/>
        <v>CY</v>
      </c>
    </row>
    <row r="583" spans="1:6" ht="15" x14ac:dyDescent="0.35">
      <c r="A583" s="58" t="s">
        <v>390</v>
      </c>
      <c r="B583" s="58" t="s">
        <v>180</v>
      </c>
      <c r="C583" s="58">
        <v>405</v>
      </c>
      <c r="D583" s="59">
        <v>266.76960000000003</v>
      </c>
      <c r="E583" s="59">
        <v>206.53919999999999</v>
      </c>
      <c r="F583" s="60" t="str">
        <f t="shared" si="24"/>
        <v>CY</v>
      </c>
    </row>
    <row r="584" spans="1:6" ht="15" x14ac:dyDescent="0.35">
      <c r="A584" s="58" t="s">
        <v>390</v>
      </c>
      <c r="B584" s="58" t="s">
        <v>182</v>
      </c>
      <c r="C584" s="58">
        <v>405</v>
      </c>
      <c r="D584" s="59">
        <v>694.57929999999999</v>
      </c>
      <c r="E584" s="59">
        <v>694.57929999999999</v>
      </c>
      <c r="F584" s="60" t="str">
        <f t="shared" si="24"/>
        <v>CY</v>
      </c>
    </row>
    <row r="585" spans="1:6" ht="15" x14ac:dyDescent="0.35">
      <c r="A585" s="58" t="s">
        <v>391</v>
      </c>
      <c r="B585" s="58" t="s">
        <v>172</v>
      </c>
      <c r="C585" s="58">
        <v>2648</v>
      </c>
      <c r="D585" s="59">
        <v>1356</v>
      </c>
      <c r="E585" s="59">
        <v>592</v>
      </c>
      <c r="F585" s="60" t="str">
        <f t="shared" si="24"/>
        <v>CX</v>
      </c>
    </row>
    <row r="586" spans="1:6" ht="15" x14ac:dyDescent="0.35">
      <c r="A586" s="58" t="s">
        <v>391</v>
      </c>
      <c r="B586" s="58" t="s">
        <v>176</v>
      </c>
      <c r="C586" s="58">
        <v>2648</v>
      </c>
      <c r="D586" s="59">
        <v>1885</v>
      </c>
      <c r="E586" s="59">
        <v>1835.5</v>
      </c>
      <c r="F586" s="60" t="str">
        <f t="shared" si="24"/>
        <v>CX</v>
      </c>
    </row>
    <row r="587" spans="1:6" ht="15" x14ac:dyDescent="0.35">
      <c r="A587" s="58" t="s">
        <v>391</v>
      </c>
      <c r="B587" s="58" t="s">
        <v>180</v>
      </c>
      <c r="C587" s="58">
        <v>2648</v>
      </c>
      <c r="D587" s="59">
        <v>1813.8047999999999</v>
      </c>
      <c r="E587" s="59">
        <v>1728.7072000000001</v>
      </c>
      <c r="F587" s="60" t="str">
        <f t="shared" si="24"/>
        <v>CX</v>
      </c>
    </row>
    <row r="588" spans="1:6" ht="15" x14ac:dyDescent="0.35">
      <c r="A588" s="58" t="s">
        <v>391</v>
      </c>
      <c r="B588" s="58" t="s">
        <v>182</v>
      </c>
      <c r="C588" s="58">
        <v>2648</v>
      </c>
      <c r="D588" s="59">
        <v>1381.2125000000001</v>
      </c>
      <c r="E588" s="59">
        <v>-1088.0410999999999</v>
      </c>
      <c r="F588" s="60" t="str">
        <f t="shared" si="24"/>
        <v>CX</v>
      </c>
    </row>
    <row r="589" spans="1:6" ht="15" x14ac:dyDescent="0.35">
      <c r="A589" s="58" t="s">
        <v>392</v>
      </c>
      <c r="B589" s="58" t="s">
        <v>172</v>
      </c>
      <c r="C589" s="58">
        <v>1002</v>
      </c>
      <c r="D589" s="59">
        <v>1156</v>
      </c>
      <c r="E589" s="59">
        <v>-462</v>
      </c>
      <c r="F589" s="60" t="str">
        <f t="shared" si="24"/>
        <v>CY</v>
      </c>
    </row>
    <row r="590" spans="1:6" ht="15" x14ac:dyDescent="0.35">
      <c r="A590" s="58" t="s">
        <v>392</v>
      </c>
      <c r="B590" s="58" t="s">
        <v>176</v>
      </c>
      <c r="C590" s="58">
        <v>1002</v>
      </c>
      <c r="D590" s="59">
        <v>1771</v>
      </c>
      <c r="E590" s="59">
        <v>691.5</v>
      </c>
      <c r="F590" s="60" t="str">
        <f t="shared" si="24"/>
        <v>CY</v>
      </c>
    </row>
    <row r="591" spans="1:6" ht="15" x14ac:dyDescent="0.35">
      <c r="A591" s="58" t="s">
        <v>392</v>
      </c>
      <c r="B591" s="58" t="s">
        <v>180</v>
      </c>
      <c r="C591" s="58">
        <v>1002</v>
      </c>
      <c r="D591" s="59">
        <v>1565.896</v>
      </c>
      <c r="E591" s="59">
        <v>383.84399999999999</v>
      </c>
      <c r="F591" s="60" t="str">
        <f t="shared" si="24"/>
        <v>CY</v>
      </c>
    </row>
    <row r="592" spans="1:6" ht="15" x14ac:dyDescent="0.35">
      <c r="A592" s="58" t="s">
        <v>392</v>
      </c>
      <c r="B592" s="58" t="s">
        <v>182</v>
      </c>
      <c r="C592" s="58">
        <v>1002</v>
      </c>
      <c r="D592" s="59">
        <v>1733.0942</v>
      </c>
      <c r="E592" s="59">
        <v>671.58579999999995</v>
      </c>
      <c r="F592" s="60" t="str">
        <f t="shared" si="24"/>
        <v>CY</v>
      </c>
    </row>
    <row r="593" spans="1:6" ht="15" x14ac:dyDescent="0.35">
      <c r="A593" s="58" t="s">
        <v>393</v>
      </c>
      <c r="B593" s="58" t="s">
        <v>172</v>
      </c>
      <c r="C593" s="58">
        <v>308</v>
      </c>
      <c r="D593" s="59">
        <v>258</v>
      </c>
      <c r="E593" s="59">
        <v>-212</v>
      </c>
      <c r="F593" s="60" t="str">
        <f t="shared" si="24"/>
        <v>CZ</v>
      </c>
    </row>
    <row r="594" spans="1:6" ht="15" x14ac:dyDescent="0.35">
      <c r="A594" s="58" t="s">
        <v>393</v>
      </c>
      <c r="B594" s="58" t="s">
        <v>176</v>
      </c>
      <c r="C594" s="58">
        <v>308</v>
      </c>
      <c r="D594" s="59">
        <v>267</v>
      </c>
      <c r="E594" s="59">
        <v>-239</v>
      </c>
      <c r="F594" s="60" t="str">
        <f t="shared" si="24"/>
        <v>CZ</v>
      </c>
    </row>
    <row r="595" spans="1:6" ht="15" x14ac:dyDescent="0.35">
      <c r="A595" s="58" t="s">
        <v>393</v>
      </c>
      <c r="B595" s="58" t="s">
        <v>180</v>
      </c>
      <c r="C595" s="58">
        <v>308</v>
      </c>
      <c r="D595" s="59">
        <v>432.75839999999999</v>
      </c>
      <c r="E595" s="59">
        <v>227.13759999999999</v>
      </c>
      <c r="F595" s="60" t="str">
        <f t="shared" si="24"/>
        <v>CZ</v>
      </c>
    </row>
    <row r="596" spans="1:6" ht="15" x14ac:dyDescent="0.35">
      <c r="A596" s="58" t="s">
        <v>393</v>
      </c>
      <c r="B596" s="58" t="s">
        <v>182</v>
      </c>
      <c r="C596" s="58">
        <v>308</v>
      </c>
      <c r="D596" s="59">
        <v>260.01920000000001</v>
      </c>
      <c r="E596" s="59">
        <v>-46.183999999999997</v>
      </c>
      <c r="F596" s="60" t="str">
        <f t="shared" si="24"/>
        <v>CZ</v>
      </c>
    </row>
    <row r="597" spans="1:6" ht="15" x14ac:dyDescent="0.35">
      <c r="A597" s="58" t="s">
        <v>394</v>
      </c>
      <c r="B597" s="58" t="s">
        <v>172</v>
      </c>
      <c r="C597" s="58">
        <v>966</v>
      </c>
      <c r="D597" s="59">
        <v>720</v>
      </c>
      <c r="E597" s="59">
        <v>-702</v>
      </c>
      <c r="F597" s="60" t="str">
        <f t="shared" si="24"/>
        <v>CZ</v>
      </c>
    </row>
    <row r="598" spans="1:6" ht="15" x14ac:dyDescent="0.35">
      <c r="A598" s="58" t="s">
        <v>394</v>
      </c>
      <c r="B598" s="58" t="s">
        <v>176</v>
      </c>
      <c r="C598" s="58">
        <v>966</v>
      </c>
      <c r="D598" s="59">
        <v>671.5</v>
      </c>
      <c r="E598" s="59">
        <v>-633</v>
      </c>
      <c r="F598" s="60" t="str">
        <f t="shared" si="24"/>
        <v>CZ</v>
      </c>
    </row>
    <row r="599" spans="1:6" ht="15" x14ac:dyDescent="0.35">
      <c r="A599" s="58" t="s">
        <v>394</v>
      </c>
      <c r="B599" s="58" t="s">
        <v>180</v>
      </c>
      <c r="C599" s="58">
        <v>966</v>
      </c>
      <c r="D599" s="59">
        <v>688.93200000000002</v>
      </c>
      <c r="E599" s="59">
        <v>-661.39800000000002</v>
      </c>
      <c r="F599" s="60" t="str">
        <f t="shared" si="24"/>
        <v>CZ</v>
      </c>
    </row>
    <row r="600" spans="1:6" ht="15" x14ac:dyDescent="0.35">
      <c r="A600" s="58" t="s">
        <v>394</v>
      </c>
      <c r="B600" s="58" t="s">
        <v>182</v>
      </c>
      <c r="C600" s="58">
        <v>966</v>
      </c>
      <c r="D600" s="59">
        <v>552.07560000000001</v>
      </c>
      <c r="E600" s="59">
        <v>-365.214</v>
      </c>
      <c r="F600" s="60" t="str">
        <f t="shared" si="24"/>
        <v>CZ</v>
      </c>
    </row>
    <row r="601" spans="1:6" ht="15" x14ac:dyDescent="0.35">
      <c r="A601" s="58" t="s">
        <v>395</v>
      </c>
      <c r="B601" s="58" t="s">
        <v>172</v>
      </c>
      <c r="C601" s="58">
        <v>2599</v>
      </c>
      <c r="D601" s="59">
        <v>1413</v>
      </c>
      <c r="E601" s="59">
        <v>125</v>
      </c>
      <c r="F601" s="60" t="str">
        <f t="shared" si="24"/>
        <v>CY</v>
      </c>
    </row>
    <row r="602" spans="1:6" ht="15" x14ac:dyDescent="0.35">
      <c r="A602" s="58" t="s">
        <v>395</v>
      </c>
      <c r="B602" s="58" t="s">
        <v>176</v>
      </c>
      <c r="C602" s="58">
        <v>2599</v>
      </c>
      <c r="D602" s="59">
        <v>1301</v>
      </c>
      <c r="E602" s="59">
        <v>-437.5</v>
      </c>
      <c r="F602" s="60" t="str">
        <f t="shared" si="24"/>
        <v>CY</v>
      </c>
    </row>
    <row r="603" spans="1:6" ht="15" x14ac:dyDescent="0.35">
      <c r="A603" s="58" t="s">
        <v>395</v>
      </c>
      <c r="B603" s="58" t="s">
        <v>180</v>
      </c>
      <c r="C603" s="58">
        <v>2599</v>
      </c>
      <c r="D603" s="59">
        <v>1301</v>
      </c>
      <c r="E603" s="59">
        <v>-407.7448</v>
      </c>
      <c r="F603" s="60" t="str">
        <f t="shared" si="24"/>
        <v>CY</v>
      </c>
    </row>
    <row r="604" spans="1:6" ht="15" x14ac:dyDescent="0.35">
      <c r="A604" s="58" t="s">
        <v>395</v>
      </c>
      <c r="B604" s="58" t="s">
        <v>182</v>
      </c>
      <c r="C604" s="58">
        <v>2599</v>
      </c>
      <c r="D604" s="59">
        <v>2002.0092</v>
      </c>
      <c r="E604" s="59">
        <v>1451.8471999999999</v>
      </c>
      <c r="F604" s="60" t="str">
        <f t="shared" si="24"/>
        <v>CY</v>
      </c>
    </row>
  </sheetData>
  <conditionalFormatting sqref="R5:U13">
    <cfRule type="colorScale" priority="1">
      <colorScale>
        <cfvo type="min"/>
        <cfvo type="max"/>
        <color rgb="FF5B8FD1"/>
        <color rgb="FFF4F7F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BAF7A"/>
    <pageSetUpPr fitToPage="1"/>
  </sheetPr>
  <dimension ref="A1:AC15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30" customWidth="1"/>
    <col min="3" max="3" width="7" customWidth="1"/>
    <col min="4" max="4" width="14" customWidth="1"/>
    <col min="5" max="5" width="10" customWidth="1"/>
    <col min="6" max="8" width="9" customWidth="1"/>
    <col min="9" max="9" width="7" customWidth="1"/>
    <col min="10" max="10" width="12" customWidth="1"/>
    <col min="11" max="11" width="9" customWidth="1"/>
    <col min="12" max="12" width="11" customWidth="1"/>
    <col min="13" max="13" width="10" customWidth="1"/>
    <col min="14" max="14" width="8" customWidth="1"/>
    <col min="15" max="15" width="9" customWidth="1"/>
    <col min="16" max="16" width="11" customWidth="1"/>
    <col min="17" max="17" width="9" customWidth="1"/>
    <col min="18" max="18" width="11" customWidth="1"/>
    <col min="19" max="19" width="9" customWidth="1"/>
    <col min="20" max="23" width="12" customWidth="1"/>
    <col min="24" max="24" width="11" customWidth="1"/>
    <col min="25" max="25" width="10" customWidth="1"/>
    <col min="26" max="28" width="11" customWidth="1"/>
    <col min="29" max="29" width="8" hidden="1" customWidth="1"/>
  </cols>
  <sheetData>
    <row r="1" spans="1:29" ht="23.4" x14ac:dyDescent="0.55000000000000004">
      <c r="A1" s="1" t="s">
        <v>396</v>
      </c>
    </row>
    <row r="2" spans="1:29" x14ac:dyDescent="0.3">
      <c r="A2" s="2" t="s">
        <v>397</v>
      </c>
    </row>
    <row r="4" spans="1:29" ht="58.05" customHeight="1" x14ac:dyDescent="0.3">
      <c r="A4" s="8" t="s">
        <v>123</v>
      </c>
      <c r="B4" s="8" t="s">
        <v>132</v>
      </c>
      <c r="C4" s="8" t="s">
        <v>88</v>
      </c>
      <c r="D4" s="8" t="s">
        <v>398</v>
      </c>
      <c r="E4" s="8" t="s">
        <v>137</v>
      </c>
      <c r="F4" s="8" t="s">
        <v>399</v>
      </c>
      <c r="G4" s="8" t="s">
        <v>400</v>
      </c>
      <c r="H4" s="8" t="s">
        <v>109</v>
      </c>
      <c r="I4" s="8" t="s">
        <v>110</v>
      </c>
      <c r="J4" s="8" t="s">
        <v>401</v>
      </c>
      <c r="K4" s="8" t="s">
        <v>26</v>
      </c>
      <c r="L4" s="8" t="s">
        <v>402</v>
      </c>
      <c r="M4" s="8" t="s">
        <v>403</v>
      </c>
      <c r="N4" s="8" t="s">
        <v>30</v>
      </c>
      <c r="O4" s="8" t="s">
        <v>32</v>
      </c>
      <c r="P4" s="8" t="s">
        <v>404</v>
      </c>
      <c r="Q4" s="8" t="s">
        <v>405</v>
      </c>
      <c r="R4" s="8" t="s">
        <v>406</v>
      </c>
      <c r="S4" s="8" t="s">
        <v>407</v>
      </c>
      <c r="T4" s="8" t="s">
        <v>408</v>
      </c>
      <c r="U4" s="8" t="s">
        <v>409</v>
      </c>
      <c r="V4" s="8" t="s">
        <v>410</v>
      </c>
      <c r="W4" s="8" t="s">
        <v>411</v>
      </c>
      <c r="X4" s="8" t="s">
        <v>412</v>
      </c>
      <c r="Y4" s="8" t="s">
        <v>413</v>
      </c>
      <c r="Z4" s="8" t="s">
        <v>112</v>
      </c>
      <c r="AA4" s="8" t="s">
        <v>414</v>
      </c>
      <c r="AB4" s="8" t="s">
        <v>415</v>
      </c>
      <c r="AC4" s="8" t="s">
        <v>416</v>
      </c>
    </row>
    <row r="5" spans="1:29" ht="15" x14ac:dyDescent="0.35">
      <c r="A5" s="9" t="str">
        <f>ABC_XYZ!A5</f>
        <v>22423</v>
      </c>
      <c r="B5" s="9" t="str">
        <f>ABC_XYZ!B5</f>
        <v>REGENCY CAKESTAND 3 TIER</v>
      </c>
      <c r="C5" s="31" t="str">
        <f>ABC_XYZ!K5</f>
        <v>AX</v>
      </c>
      <c r="D5" s="9" t="str">
        <f>IF(AND(_xlfn.XLOOKUP(C5,BestClass,BestMethod)="Holt-Winters",ABC_XYZ!M5="No"),_xlfn.XLOOKUP(C5,BestClass,BestFlat),_xlfn.XLOOKUP(C5,BestClass,BestMethod))</f>
        <v>Moving average</v>
      </c>
      <c r="E5" s="32">
        <f>ABC_XYZ!G5</f>
        <v>244.40384615384616</v>
      </c>
      <c r="F5" s="32">
        <f>ABC_XYZ!H5</f>
        <v>157.82942636927467</v>
      </c>
      <c r="G5" s="34">
        <f>ABC_XYZ!N5*CostRatio</f>
        <v>7.5188284111045478</v>
      </c>
      <c r="H5" s="20">
        <f t="shared" ref="H5:H36" si="0">_xlfn.XLOOKUP(LEFT(C5,1),ClassList,ClassSL)</f>
        <v>0.95</v>
      </c>
      <c r="I5" s="33">
        <f t="shared" ref="I5:I36" si="1">_xlfn.NORM.S.INV(H5)</f>
        <v>1.6448536269514715</v>
      </c>
      <c r="J5" s="29">
        <f t="shared" ref="J5:J36" si="2">SUMIFS(FutUnits,FutCode,A5,FutMethod,D5,FutHorizon,"&lt;="&amp;LeadTime)</f>
        <v>688.875</v>
      </c>
      <c r="K5" s="29">
        <f t="shared" ref="K5:K36" si="3">ROUNDUP(I5*F5*SQRT(LeadTime),0)</f>
        <v>450</v>
      </c>
      <c r="L5" s="29">
        <f t="shared" ref="L5:L36" si="4">ROUNDUP(J5,0)+K5</f>
        <v>1139</v>
      </c>
      <c r="M5" s="29">
        <f t="shared" ref="M5:M36" si="5">E5*WeeksPerYear</f>
        <v>12709</v>
      </c>
      <c r="N5" s="29">
        <f t="shared" ref="N5:N36" si="6">ROUNDUP(SQRT(2*M5*OrderCost/(HoldingRate*G5)),0)</f>
        <v>823</v>
      </c>
      <c r="O5" s="29">
        <f t="shared" ref="O5:O36" si="7">L5+N5</f>
        <v>1962</v>
      </c>
      <c r="P5" s="29">
        <f t="shared" ref="P5:P36" si="8">K5+N5/2</f>
        <v>861.5</v>
      </c>
      <c r="Q5" s="32">
        <f t="shared" ref="Q5:Q36" si="9">P5/E5</f>
        <v>3.524903611613817</v>
      </c>
      <c r="R5" s="29">
        <f t="shared" ref="R5:R36" si="10">ROUND(CurrentCover*E5,0)</f>
        <v>1955</v>
      </c>
      <c r="S5" s="32">
        <f t="shared" ref="S5:S36" si="11">R5/E5</f>
        <v>7.9990557872373902</v>
      </c>
      <c r="T5" s="27">
        <f t="shared" ref="T5:T36" si="12">R5*G5</f>
        <v>14699.309543709391</v>
      </c>
      <c r="U5" s="27">
        <f t="shared" ref="U5:U36" si="13">P5*G5</f>
        <v>6477.4706761665675</v>
      </c>
      <c r="V5" s="27">
        <f t="shared" ref="V5:V36" si="14">T5-U5</f>
        <v>8221.8388675428232</v>
      </c>
      <c r="W5" s="9" t="str">
        <f t="shared" ref="W5:W36" si="15">IF(R5&lt;=L5,"Reorder now",IF(R5&gt;O5,"Overstock","OK"))</f>
        <v>OK</v>
      </c>
      <c r="X5" s="30">
        <f t="shared" ref="X5:X36" si="16">1-_xlfn.NORM.S.DIST((R5-J5)/(F5*SQRT(LeadTime)),TRUE)</f>
        <v>1.8145399885982627E-6</v>
      </c>
      <c r="Y5" s="29">
        <f t="shared" ref="Y5:Y36" si="17">IF(W5="Reorder now",O5-R5,0)</f>
        <v>0</v>
      </c>
      <c r="Z5" s="27">
        <f t="shared" ref="Z5:Z36" si="18">U5*HoldingRate</f>
        <v>1619.3676690416419</v>
      </c>
      <c r="AA5" s="27">
        <f t="shared" ref="AA5:AA36" si="19">M5/N5*OrderCost</f>
        <v>772.11421628189555</v>
      </c>
      <c r="AB5" s="27">
        <f t="shared" ref="AB5:AB36" si="20">MAX(0,L5-R5)*G5</f>
        <v>0</v>
      </c>
      <c r="AC5" s="64">
        <f t="shared" ref="AC5:AC36" si="21">AB5+ROW()/1000000</f>
        <v>5.0000000000000004E-6</v>
      </c>
    </row>
    <row r="6" spans="1:29" ht="15" x14ac:dyDescent="0.35">
      <c r="A6" s="9" t="str">
        <f>ABC_XYZ!A6</f>
        <v>85123A</v>
      </c>
      <c r="B6" s="9" t="str">
        <f>ABC_XYZ!B6</f>
        <v>WHITE HANGING HEART T-LIGHT HOLDER</v>
      </c>
      <c r="C6" s="31" t="str">
        <f>ABC_XYZ!K6</f>
        <v>AY</v>
      </c>
      <c r="D6" s="9" t="str">
        <f>IF(AND(_xlfn.XLOOKUP(C6,BestClass,BestMethod)="Holt-Winters",ABC_XYZ!M6="No"),_xlfn.XLOOKUP(C6,BestClass,BestFlat),_xlfn.XLOOKUP(C6,BestClass,BestMethod))</f>
        <v>Holt-Winters</v>
      </c>
      <c r="E6" s="32">
        <f>ABC_XYZ!G6</f>
        <v>665.01923076923072</v>
      </c>
      <c r="F6" s="32">
        <f>ABC_XYZ!H6</f>
        <v>519.54797436054139</v>
      </c>
      <c r="G6" s="34">
        <f>ABC_XYZ!N6*CostRatio</f>
        <v>1.684949459066688</v>
      </c>
      <c r="H6" s="20">
        <f t="shared" si="0"/>
        <v>0.95</v>
      </c>
      <c r="I6" s="33">
        <f t="shared" si="1"/>
        <v>1.6448536269514715</v>
      </c>
      <c r="J6" s="29">
        <f t="shared" si="2"/>
        <v>1906.5540000000001</v>
      </c>
      <c r="K6" s="29">
        <f t="shared" si="3"/>
        <v>1481</v>
      </c>
      <c r="L6" s="29">
        <f t="shared" si="4"/>
        <v>3388</v>
      </c>
      <c r="M6" s="29">
        <f t="shared" si="5"/>
        <v>34581</v>
      </c>
      <c r="N6" s="29">
        <f t="shared" si="6"/>
        <v>2866</v>
      </c>
      <c r="O6" s="29">
        <f t="shared" si="7"/>
        <v>6254</v>
      </c>
      <c r="P6" s="29">
        <f t="shared" si="8"/>
        <v>2914</v>
      </c>
      <c r="Q6" s="32">
        <f t="shared" si="9"/>
        <v>4.3818281715392846</v>
      </c>
      <c r="R6" s="29">
        <f t="shared" si="10"/>
        <v>5320</v>
      </c>
      <c r="S6" s="32">
        <f t="shared" si="11"/>
        <v>7.9997686590902521</v>
      </c>
      <c r="T6" s="27">
        <f t="shared" si="12"/>
        <v>8963.9311222347806</v>
      </c>
      <c r="U6" s="27">
        <f t="shared" si="13"/>
        <v>4909.942723720329</v>
      </c>
      <c r="V6" s="27">
        <f t="shared" si="14"/>
        <v>4053.9883985144515</v>
      </c>
      <c r="W6" s="9" t="str">
        <f t="shared" si="15"/>
        <v>OK</v>
      </c>
      <c r="X6" s="30">
        <f t="shared" si="16"/>
        <v>7.4356492067995106E-5</v>
      </c>
      <c r="Y6" s="29">
        <f t="shared" si="17"/>
        <v>0</v>
      </c>
      <c r="Z6" s="27">
        <f t="shared" si="18"/>
        <v>1227.4856809300823</v>
      </c>
      <c r="AA6" s="27">
        <f t="shared" si="19"/>
        <v>603.29727843684577</v>
      </c>
      <c r="AB6" s="27">
        <f t="shared" si="20"/>
        <v>0</v>
      </c>
      <c r="AC6" s="64">
        <f t="shared" si="21"/>
        <v>6.0000000000000002E-6</v>
      </c>
    </row>
    <row r="7" spans="1:29" ht="15" x14ac:dyDescent="0.35">
      <c r="A7" s="9" t="str">
        <f>ABC_XYZ!A7</f>
        <v>47566</v>
      </c>
      <c r="B7" s="9" t="str">
        <f>ABC_XYZ!B7</f>
        <v>PARTY BUNTING</v>
      </c>
      <c r="C7" s="31" t="str">
        <f>ABC_XYZ!K7</f>
        <v>AX</v>
      </c>
      <c r="D7" s="9" t="str">
        <f>IF(AND(_xlfn.XLOOKUP(C7,BestClass,BestMethod)="Holt-Winters",ABC_XYZ!M7="No"),_xlfn.XLOOKUP(C7,BestClass,BestFlat),_xlfn.XLOOKUP(C7,BestClass,BestMethod))</f>
        <v>Moving average</v>
      </c>
      <c r="E7" s="32">
        <f>ABC_XYZ!G7</f>
        <v>343.88461538461536</v>
      </c>
      <c r="F7" s="32">
        <f>ABC_XYZ!H7</f>
        <v>253.99325711647049</v>
      </c>
      <c r="G7" s="34">
        <f>ABC_XYZ!N7*CostRatio</f>
        <v>3.2554643978192632</v>
      </c>
      <c r="H7" s="20">
        <f t="shared" si="0"/>
        <v>0.95</v>
      </c>
      <c r="I7" s="33">
        <f t="shared" si="1"/>
        <v>1.6448536269514715</v>
      </c>
      <c r="J7" s="29">
        <f t="shared" si="2"/>
        <v>532.875</v>
      </c>
      <c r="K7" s="29">
        <f t="shared" si="3"/>
        <v>724</v>
      </c>
      <c r="L7" s="29">
        <f t="shared" si="4"/>
        <v>1257</v>
      </c>
      <c r="M7" s="29">
        <f t="shared" si="5"/>
        <v>17882</v>
      </c>
      <c r="N7" s="29">
        <f t="shared" si="6"/>
        <v>1483</v>
      </c>
      <c r="O7" s="29">
        <f t="shared" si="7"/>
        <v>2740</v>
      </c>
      <c r="P7" s="29">
        <f t="shared" si="8"/>
        <v>1465.5</v>
      </c>
      <c r="Q7" s="32">
        <f t="shared" si="9"/>
        <v>4.2616038474443574</v>
      </c>
      <c r="R7" s="29">
        <f t="shared" si="10"/>
        <v>2751</v>
      </c>
      <c r="S7" s="32">
        <f t="shared" si="11"/>
        <v>7.9997763113745668</v>
      </c>
      <c r="T7" s="27">
        <f t="shared" si="12"/>
        <v>8955.7825584007933</v>
      </c>
      <c r="U7" s="27">
        <f t="shared" si="13"/>
        <v>4770.8830750041307</v>
      </c>
      <c r="V7" s="27">
        <f t="shared" si="14"/>
        <v>4184.8994833966626</v>
      </c>
      <c r="W7" s="9" t="str">
        <f t="shared" si="15"/>
        <v>Overstock</v>
      </c>
      <c r="X7" s="30">
        <f t="shared" si="16"/>
        <v>2.3034060292470571E-7</v>
      </c>
      <c r="Y7" s="29">
        <f t="shared" si="17"/>
        <v>0</v>
      </c>
      <c r="Z7" s="27">
        <f t="shared" si="18"/>
        <v>1192.7207687510327</v>
      </c>
      <c r="AA7" s="27">
        <f t="shared" si="19"/>
        <v>602.8995279838166</v>
      </c>
      <c r="AB7" s="27">
        <f t="shared" si="20"/>
        <v>0</v>
      </c>
      <c r="AC7" s="64">
        <f t="shared" si="21"/>
        <v>6.9999999999999999E-6</v>
      </c>
    </row>
    <row r="8" spans="1:29" ht="15" x14ac:dyDescent="0.35">
      <c r="A8" s="9" t="str">
        <f>ABC_XYZ!A8</f>
        <v>85099B</v>
      </c>
      <c r="B8" s="9" t="str">
        <f>ABC_XYZ!B8</f>
        <v>JUMBO BAG RED RETROSPOT</v>
      </c>
      <c r="C8" s="31" t="str">
        <f>ABC_XYZ!K8</f>
        <v>AX</v>
      </c>
      <c r="D8" s="9" t="str">
        <f>IF(AND(_xlfn.XLOOKUP(C8,BestClass,BestMethod)="Holt-Winters",ABC_XYZ!M8="No"),_xlfn.XLOOKUP(C8,BestClass,BestFlat),_xlfn.XLOOKUP(C8,BestClass,BestMethod))</f>
        <v>Moving average</v>
      </c>
      <c r="E8" s="32">
        <f>ABC_XYZ!G8</f>
        <v>900.42307692307691</v>
      </c>
      <c r="F8" s="32">
        <f>ABC_XYZ!H8</f>
        <v>493.56249365535075</v>
      </c>
      <c r="G8" s="34">
        <f>ABC_XYZ!N8*CostRatio</f>
        <v>1.162170641627543</v>
      </c>
      <c r="H8" s="20">
        <f t="shared" si="0"/>
        <v>0.95</v>
      </c>
      <c r="I8" s="33">
        <f t="shared" si="1"/>
        <v>1.6448536269514715</v>
      </c>
      <c r="J8" s="29">
        <f t="shared" si="2"/>
        <v>3827.625</v>
      </c>
      <c r="K8" s="29">
        <f t="shared" si="3"/>
        <v>1407</v>
      </c>
      <c r="L8" s="29">
        <f t="shared" si="4"/>
        <v>5235</v>
      </c>
      <c r="M8" s="29">
        <f t="shared" si="5"/>
        <v>46822</v>
      </c>
      <c r="N8" s="29">
        <f t="shared" si="6"/>
        <v>4015</v>
      </c>
      <c r="O8" s="29">
        <f t="shared" si="7"/>
        <v>9250</v>
      </c>
      <c r="P8" s="29">
        <f t="shared" si="8"/>
        <v>3414.5</v>
      </c>
      <c r="Q8" s="32">
        <f t="shared" si="9"/>
        <v>3.7921062748280723</v>
      </c>
      <c r="R8" s="29">
        <f t="shared" si="10"/>
        <v>7203</v>
      </c>
      <c r="S8" s="32">
        <f t="shared" si="11"/>
        <v>7.9995728503694847</v>
      </c>
      <c r="T8" s="27">
        <f t="shared" si="12"/>
        <v>8371.1151316431915</v>
      </c>
      <c r="U8" s="27">
        <f t="shared" si="13"/>
        <v>3968.2316558372459</v>
      </c>
      <c r="V8" s="27">
        <f t="shared" si="14"/>
        <v>4402.8834758059456</v>
      </c>
      <c r="W8" s="9" t="str">
        <f t="shared" si="15"/>
        <v>OK</v>
      </c>
      <c r="X8" s="30">
        <f t="shared" si="16"/>
        <v>3.9340458415804136E-5</v>
      </c>
      <c r="Y8" s="29">
        <f t="shared" si="17"/>
        <v>0</v>
      </c>
      <c r="Z8" s="27">
        <f t="shared" si="18"/>
        <v>992.05791395931146</v>
      </c>
      <c r="AA8" s="27">
        <f t="shared" si="19"/>
        <v>583.08841843088419</v>
      </c>
      <c r="AB8" s="27">
        <f t="shared" si="20"/>
        <v>0</v>
      </c>
      <c r="AC8" s="64">
        <f t="shared" si="21"/>
        <v>7.9999999999999996E-6</v>
      </c>
    </row>
    <row r="9" spans="1:29" ht="15" x14ac:dyDescent="0.35">
      <c r="A9" s="9" t="str">
        <f>ABC_XYZ!A9</f>
        <v>84879</v>
      </c>
      <c r="B9" s="9" t="str">
        <f>ABC_XYZ!B9</f>
        <v>ASSORTED COLOUR BIRD ORNAMENT</v>
      </c>
      <c r="C9" s="31" t="str">
        <f>ABC_XYZ!K9</f>
        <v>AY</v>
      </c>
      <c r="D9" s="9" t="str">
        <f>IF(AND(_xlfn.XLOOKUP(C9,BestClass,BestMethod)="Holt-Winters",ABC_XYZ!M9="No"),_xlfn.XLOOKUP(C9,BestClass,BestFlat),_xlfn.XLOOKUP(C9,BestClass,BestMethod))</f>
        <v>Holt-Winters</v>
      </c>
      <c r="E9" s="32">
        <f>ABC_XYZ!G9</f>
        <v>667.76923076923072</v>
      </c>
      <c r="F9" s="32">
        <f>ABC_XYZ!H9</f>
        <v>560.66957922996551</v>
      </c>
      <c r="G9" s="34">
        <f>ABC_XYZ!N9*CostRatio</f>
        <v>0.97202861467287305</v>
      </c>
      <c r="H9" s="20">
        <f t="shared" si="0"/>
        <v>0.95</v>
      </c>
      <c r="I9" s="33">
        <f t="shared" si="1"/>
        <v>1.6448536269514715</v>
      </c>
      <c r="J9" s="29">
        <f t="shared" si="2"/>
        <v>1665.5237000000002</v>
      </c>
      <c r="K9" s="29">
        <f t="shared" si="3"/>
        <v>1598</v>
      </c>
      <c r="L9" s="29">
        <f t="shared" si="4"/>
        <v>3264</v>
      </c>
      <c r="M9" s="29">
        <f t="shared" si="5"/>
        <v>34724</v>
      </c>
      <c r="N9" s="29">
        <f t="shared" si="6"/>
        <v>3781</v>
      </c>
      <c r="O9" s="29">
        <f t="shared" si="7"/>
        <v>7045</v>
      </c>
      <c r="P9" s="29">
        <f t="shared" si="8"/>
        <v>3488.5</v>
      </c>
      <c r="Q9" s="32">
        <f t="shared" si="9"/>
        <v>5.2241101255615714</v>
      </c>
      <c r="R9" s="29">
        <f t="shared" si="10"/>
        <v>5342</v>
      </c>
      <c r="S9" s="32">
        <f t="shared" si="11"/>
        <v>7.9997696117958768</v>
      </c>
      <c r="T9" s="27">
        <f t="shared" si="12"/>
        <v>5192.5768595824875</v>
      </c>
      <c r="U9" s="27">
        <f t="shared" si="13"/>
        <v>3390.9218222863178</v>
      </c>
      <c r="V9" s="27">
        <f t="shared" si="14"/>
        <v>1801.6550372961697</v>
      </c>
      <c r="W9" s="9" t="str">
        <f t="shared" si="15"/>
        <v>OK</v>
      </c>
      <c r="X9" s="30">
        <f t="shared" si="16"/>
        <v>7.6590022238698374E-5</v>
      </c>
      <c r="Y9" s="29">
        <f t="shared" si="17"/>
        <v>0</v>
      </c>
      <c r="Z9" s="27">
        <f t="shared" si="18"/>
        <v>847.73045557157945</v>
      </c>
      <c r="AA9" s="27">
        <f t="shared" si="19"/>
        <v>459.19069029357314</v>
      </c>
      <c r="AB9" s="27">
        <f t="shared" si="20"/>
        <v>0</v>
      </c>
      <c r="AC9" s="64">
        <f t="shared" si="21"/>
        <v>9.0000000000000002E-6</v>
      </c>
    </row>
    <row r="10" spans="1:29" ht="15" x14ac:dyDescent="0.35">
      <c r="A10" s="9" t="str">
        <f>ABC_XYZ!A10</f>
        <v>22086</v>
      </c>
      <c r="B10" s="9" t="str">
        <f>ABC_XYZ!B10</f>
        <v>PAPER CHAIN KIT 50'S CHRISTMAS</v>
      </c>
      <c r="C10" s="31" t="str">
        <f>ABC_XYZ!K10</f>
        <v>AZ</v>
      </c>
      <c r="D10" s="9" t="str">
        <f>IF(AND(_xlfn.XLOOKUP(C10,BestClass,BestMethod)="Holt-Winters",ABC_XYZ!M10="No"),_xlfn.XLOOKUP(C10,BestClass,BestFlat),_xlfn.XLOOKUP(C10,BestClass,BestMethod))</f>
        <v>Holt-Winters</v>
      </c>
      <c r="E10" s="32">
        <f>ABC_XYZ!G10</f>
        <v>313.82692307692309</v>
      </c>
      <c r="F10" s="32">
        <f>ABC_XYZ!H10</f>
        <v>522.61637117277326</v>
      </c>
      <c r="G10" s="34">
        <f>ABC_XYZ!N10*CostRatio</f>
        <v>2.0390071684587814</v>
      </c>
      <c r="H10" s="20">
        <f t="shared" si="0"/>
        <v>0.95</v>
      </c>
      <c r="I10" s="33">
        <f t="shared" si="1"/>
        <v>1.6448536269514715</v>
      </c>
      <c r="J10" s="29">
        <f t="shared" si="2"/>
        <v>1885.2431000000001</v>
      </c>
      <c r="K10" s="29">
        <f t="shared" si="3"/>
        <v>1489</v>
      </c>
      <c r="L10" s="29">
        <f t="shared" si="4"/>
        <v>3375</v>
      </c>
      <c r="M10" s="29">
        <f t="shared" si="5"/>
        <v>16319</v>
      </c>
      <c r="N10" s="29">
        <f t="shared" si="6"/>
        <v>1790</v>
      </c>
      <c r="O10" s="29">
        <f t="shared" si="7"/>
        <v>5165</v>
      </c>
      <c r="P10" s="29">
        <f t="shared" si="8"/>
        <v>2384</v>
      </c>
      <c r="Q10" s="32">
        <f t="shared" si="9"/>
        <v>7.5965439058765849</v>
      </c>
      <c r="R10" s="29">
        <f t="shared" si="10"/>
        <v>2511</v>
      </c>
      <c r="S10" s="32">
        <f t="shared" si="11"/>
        <v>8.0012255652919908</v>
      </c>
      <c r="T10" s="27">
        <f t="shared" si="12"/>
        <v>5119.9470000000001</v>
      </c>
      <c r="U10" s="27">
        <f t="shared" si="13"/>
        <v>4860.9930896057349</v>
      </c>
      <c r="V10" s="27">
        <f t="shared" si="14"/>
        <v>258.95391039426522</v>
      </c>
      <c r="W10" s="9" t="str">
        <f t="shared" si="15"/>
        <v>Reorder now</v>
      </c>
      <c r="X10" s="30">
        <f t="shared" si="16"/>
        <v>0.24469078974872049</v>
      </c>
      <c r="Y10" s="29">
        <f t="shared" si="17"/>
        <v>2654</v>
      </c>
      <c r="Z10" s="27">
        <f t="shared" si="18"/>
        <v>1215.2482724014337</v>
      </c>
      <c r="AA10" s="27">
        <f t="shared" si="19"/>
        <v>455.8379888268156</v>
      </c>
      <c r="AB10" s="27">
        <f t="shared" si="20"/>
        <v>1761.7021935483872</v>
      </c>
      <c r="AC10" s="64">
        <f t="shared" si="21"/>
        <v>1761.7022035483872</v>
      </c>
    </row>
    <row r="11" spans="1:29" ht="15" x14ac:dyDescent="0.35">
      <c r="A11" s="9" t="str">
        <f>ABC_XYZ!A11</f>
        <v>79321</v>
      </c>
      <c r="B11" s="9" t="str">
        <f>ABC_XYZ!B11</f>
        <v>CHILLI LIGHTS</v>
      </c>
      <c r="C11" s="31" t="str">
        <f>ABC_XYZ!K11</f>
        <v>AY</v>
      </c>
      <c r="D11" s="9" t="str">
        <f>IF(AND(_xlfn.XLOOKUP(C11,BestClass,BestMethod)="Holt-Winters",ABC_XYZ!M11="No"),_xlfn.XLOOKUP(C11,BestClass,BestFlat),_xlfn.XLOOKUP(C11,BestClass,BestMethod))</f>
        <v>Holt-Winters</v>
      </c>
      <c r="E11" s="32">
        <f>ABC_XYZ!G11</f>
        <v>189.92307692307693</v>
      </c>
      <c r="F11" s="32">
        <f>ABC_XYZ!H11</f>
        <v>226.97048664959667</v>
      </c>
      <c r="G11" s="34">
        <f>ABC_XYZ!N11*CostRatio</f>
        <v>3.1261994977398291</v>
      </c>
      <c r="H11" s="20">
        <f t="shared" si="0"/>
        <v>0.95</v>
      </c>
      <c r="I11" s="33">
        <f t="shared" si="1"/>
        <v>1.6448536269514715</v>
      </c>
      <c r="J11" s="29">
        <f t="shared" si="2"/>
        <v>820.8764000000001</v>
      </c>
      <c r="K11" s="29">
        <f t="shared" si="3"/>
        <v>647</v>
      </c>
      <c r="L11" s="29">
        <f t="shared" si="4"/>
        <v>1468</v>
      </c>
      <c r="M11" s="29">
        <f t="shared" si="5"/>
        <v>9876</v>
      </c>
      <c r="N11" s="29">
        <f t="shared" si="6"/>
        <v>1125</v>
      </c>
      <c r="O11" s="29">
        <f t="shared" si="7"/>
        <v>2593</v>
      </c>
      <c r="P11" s="29">
        <f t="shared" si="8"/>
        <v>1209.5</v>
      </c>
      <c r="Q11" s="32">
        <f t="shared" si="9"/>
        <v>6.3683677602268123</v>
      </c>
      <c r="R11" s="29">
        <f t="shared" si="10"/>
        <v>1519</v>
      </c>
      <c r="S11" s="32">
        <f t="shared" si="11"/>
        <v>7.9979748886188737</v>
      </c>
      <c r="T11" s="27">
        <f t="shared" si="12"/>
        <v>4748.6970370668005</v>
      </c>
      <c r="U11" s="27">
        <f t="shared" si="13"/>
        <v>3781.1382925163234</v>
      </c>
      <c r="V11" s="27">
        <f t="shared" si="14"/>
        <v>967.55874455047706</v>
      </c>
      <c r="W11" s="9" t="str">
        <f t="shared" si="15"/>
        <v>OK</v>
      </c>
      <c r="X11" s="30">
        <f t="shared" si="16"/>
        <v>3.7880162306759613E-2</v>
      </c>
      <c r="Y11" s="29">
        <f t="shared" si="17"/>
        <v>0</v>
      </c>
      <c r="Z11" s="27">
        <f t="shared" si="18"/>
        <v>945.28457312908085</v>
      </c>
      <c r="AA11" s="27">
        <f t="shared" si="19"/>
        <v>438.93333333333328</v>
      </c>
      <c r="AB11" s="27">
        <f t="shared" si="20"/>
        <v>0</v>
      </c>
      <c r="AC11" s="64">
        <f t="shared" si="21"/>
        <v>1.1E-5</v>
      </c>
    </row>
    <row r="12" spans="1:29" ht="15" x14ac:dyDescent="0.35">
      <c r="A12" s="9" t="str">
        <f>ABC_XYZ!A12</f>
        <v>22502</v>
      </c>
      <c r="B12" s="9" t="str">
        <f>ABC_XYZ!B12</f>
        <v>PICNIC BASKET WICKER SMALL</v>
      </c>
      <c r="C12" s="31" t="str">
        <f>ABC_XYZ!K12</f>
        <v>AZ</v>
      </c>
      <c r="D12" s="9" t="str">
        <f>IF(AND(_xlfn.XLOOKUP(C12,BestClass,BestMethod)="Holt-Winters",ABC_XYZ!M12="No"),_xlfn.XLOOKUP(C12,BestClass,BestFlat),_xlfn.XLOOKUP(C12,BestClass,BestMethod))</f>
        <v>Holt-Winters</v>
      </c>
      <c r="E12" s="32">
        <f>ABC_XYZ!G12</f>
        <v>36.67307692307692</v>
      </c>
      <c r="F12" s="32">
        <f>ABC_XYZ!H12</f>
        <v>48.335316181306894</v>
      </c>
      <c r="G12" s="34">
        <f>ABC_XYZ!N12*CostRatio</f>
        <v>15.651112008072651</v>
      </c>
      <c r="H12" s="20">
        <f t="shared" si="0"/>
        <v>0.95</v>
      </c>
      <c r="I12" s="33">
        <f t="shared" si="1"/>
        <v>1.6448536269514715</v>
      </c>
      <c r="J12" s="29">
        <f t="shared" si="2"/>
        <v>0</v>
      </c>
      <c r="K12" s="29">
        <f t="shared" si="3"/>
        <v>138</v>
      </c>
      <c r="L12" s="29">
        <f t="shared" si="4"/>
        <v>138</v>
      </c>
      <c r="M12" s="29">
        <f t="shared" si="5"/>
        <v>1906.9999999999998</v>
      </c>
      <c r="N12" s="29">
        <f t="shared" si="6"/>
        <v>221</v>
      </c>
      <c r="O12" s="29">
        <f t="shared" si="7"/>
        <v>359</v>
      </c>
      <c r="P12" s="29">
        <f t="shared" si="8"/>
        <v>248.5</v>
      </c>
      <c r="Q12" s="32">
        <f t="shared" si="9"/>
        <v>6.776088096486629</v>
      </c>
      <c r="R12" s="29">
        <f t="shared" si="10"/>
        <v>293</v>
      </c>
      <c r="S12" s="32">
        <f t="shared" si="11"/>
        <v>7.9895123230204517</v>
      </c>
      <c r="T12" s="27">
        <f t="shared" si="12"/>
        <v>4585.7758183652868</v>
      </c>
      <c r="U12" s="27">
        <f t="shared" si="13"/>
        <v>3889.3013340060538</v>
      </c>
      <c r="V12" s="27">
        <f t="shared" si="14"/>
        <v>696.47448435923297</v>
      </c>
      <c r="W12" s="9" t="str">
        <f t="shared" si="15"/>
        <v>OK</v>
      </c>
      <c r="X12" s="30">
        <f t="shared" si="16"/>
        <v>2.328092902594836E-4</v>
      </c>
      <c r="Y12" s="29">
        <f t="shared" si="17"/>
        <v>0</v>
      </c>
      <c r="Z12" s="27">
        <f t="shared" si="18"/>
        <v>972.32533350151346</v>
      </c>
      <c r="AA12" s="27">
        <f t="shared" si="19"/>
        <v>431.44796380090497</v>
      </c>
      <c r="AB12" s="27">
        <f t="shared" si="20"/>
        <v>0</v>
      </c>
      <c r="AC12" s="64">
        <f t="shared" si="21"/>
        <v>1.2E-5</v>
      </c>
    </row>
    <row r="13" spans="1:29" ht="15" x14ac:dyDescent="0.35">
      <c r="A13" s="9" t="str">
        <f>ABC_XYZ!A13</f>
        <v>22197</v>
      </c>
      <c r="B13" s="9" t="str">
        <f>ABC_XYZ!B13</f>
        <v>SMALL POPCORN HOLDER</v>
      </c>
      <c r="C13" s="31" t="str">
        <f>ABC_XYZ!K13</f>
        <v>AY</v>
      </c>
      <c r="D13" s="9" t="str">
        <f>IF(AND(_xlfn.XLOOKUP(C13,BestClass,BestMethod)="Holt-Winters",ABC_XYZ!M13="No"),_xlfn.XLOOKUP(C13,BestClass,BestFlat),_xlfn.XLOOKUP(C13,BestClass,BestMethod))</f>
        <v>Holt-Winters</v>
      </c>
      <c r="E13" s="32">
        <f>ABC_XYZ!G13</f>
        <v>940.19230769230774</v>
      </c>
      <c r="F13" s="32">
        <f>ABC_XYZ!H13</f>
        <v>942.67300463371623</v>
      </c>
      <c r="G13" s="34">
        <f>ABC_XYZ!N13*CostRatio</f>
        <v>0.54449662689167566</v>
      </c>
      <c r="H13" s="20">
        <f t="shared" si="0"/>
        <v>0.95</v>
      </c>
      <c r="I13" s="33">
        <f t="shared" si="1"/>
        <v>1.6448536269514715</v>
      </c>
      <c r="J13" s="29">
        <f t="shared" si="2"/>
        <v>3294.6563000000001</v>
      </c>
      <c r="K13" s="29">
        <f t="shared" si="3"/>
        <v>2686</v>
      </c>
      <c r="L13" s="29">
        <f t="shared" si="4"/>
        <v>5981</v>
      </c>
      <c r="M13" s="29">
        <f t="shared" si="5"/>
        <v>48890</v>
      </c>
      <c r="N13" s="29">
        <f t="shared" si="6"/>
        <v>5993</v>
      </c>
      <c r="O13" s="29">
        <f t="shared" si="7"/>
        <v>11974</v>
      </c>
      <c r="P13" s="29">
        <f t="shared" si="8"/>
        <v>5682.5</v>
      </c>
      <c r="Q13" s="32">
        <f t="shared" si="9"/>
        <v>6.0439762732665168</v>
      </c>
      <c r="R13" s="29">
        <f t="shared" si="10"/>
        <v>7522</v>
      </c>
      <c r="S13" s="32">
        <f t="shared" si="11"/>
        <v>8.0004908979341369</v>
      </c>
      <c r="T13" s="27">
        <f t="shared" si="12"/>
        <v>4095.7036274791844</v>
      </c>
      <c r="U13" s="27">
        <f t="shared" si="13"/>
        <v>3094.102082311947</v>
      </c>
      <c r="V13" s="27">
        <f t="shared" si="14"/>
        <v>1001.6015451672374</v>
      </c>
      <c r="W13" s="9" t="str">
        <f t="shared" si="15"/>
        <v>OK</v>
      </c>
      <c r="X13" s="30">
        <f t="shared" si="16"/>
        <v>4.8116041273246202E-3</v>
      </c>
      <c r="Y13" s="29">
        <f t="shared" si="17"/>
        <v>0</v>
      </c>
      <c r="Z13" s="27">
        <f t="shared" si="18"/>
        <v>773.52552057798675</v>
      </c>
      <c r="AA13" s="27">
        <f t="shared" si="19"/>
        <v>407.89254129818124</v>
      </c>
      <c r="AB13" s="27">
        <f t="shared" si="20"/>
        <v>0</v>
      </c>
      <c r="AC13" s="64">
        <f t="shared" si="21"/>
        <v>1.2999999999999999E-5</v>
      </c>
    </row>
    <row r="14" spans="1:29" ht="15" x14ac:dyDescent="0.35">
      <c r="A14" s="9" t="str">
        <f>ABC_XYZ!A14</f>
        <v>22386</v>
      </c>
      <c r="B14" s="9" t="str">
        <f>ABC_XYZ!B14</f>
        <v>JUMBO BAG PINK POLKADOT</v>
      </c>
      <c r="C14" s="31" t="str">
        <f>ABC_XYZ!K14</f>
        <v>AX</v>
      </c>
      <c r="D14" s="9" t="str">
        <f>IF(AND(_xlfn.XLOOKUP(C14,BestClass,BestMethod)="Holt-Winters",ABC_XYZ!M14="No"),_xlfn.XLOOKUP(C14,BestClass,BestFlat),_xlfn.XLOOKUP(C14,BestClass,BestMethod))</f>
        <v>Moving average</v>
      </c>
      <c r="E14" s="32">
        <f>ABC_XYZ!G14</f>
        <v>396.30769230769232</v>
      </c>
      <c r="F14" s="32">
        <f>ABC_XYZ!H14</f>
        <v>278.83514972826129</v>
      </c>
      <c r="G14" s="34">
        <f>ABC_XYZ!N14*CostRatio</f>
        <v>1.1842562666160272</v>
      </c>
      <c r="H14" s="20">
        <f t="shared" si="0"/>
        <v>0.95</v>
      </c>
      <c r="I14" s="33">
        <f t="shared" si="1"/>
        <v>1.6448536269514715</v>
      </c>
      <c r="J14" s="29">
        <f t="shared" si="2"/>
        <v>1632</v>
      </c>
      <c r="K14" s="29">
        <f t="shared" si="3"/>
        <v>795</v>
      </c>
      <c r="L14" s="29">
        <f t="shared" si="4"/>
        <v>2427</v>
      </c>
      <c r="M14" s="29">
        <f t="shared" si="5"/>
        <v>20608</v>
      </c>
      <c r="N14" s="29">
        <f t="shared" si="6"/>
        <v>2639</v>
      </c>
      <c r="O14" s="29">
        <f t="shared" si="7"/>
        <v>5066</v>
      </c>
      <c r="P14" s="29">
        <f t="shared" si="8"/>
        <v>2114.5</v>
      </c>
      <c r="Q14" s="32">
        <f t="shared" si="9"/>
        <v>5.3355007763975157</v>
      </c>
      <c r="R14" s="29">
        <f t="shared" si="10"/>
        <v>3170</v>
      </c>
      <c r="S14" s="32">
        <f t="shared" si="11"/>
        <v>7.9988354037267078</v>
      </c>
      <c r="T14" s="27">
        <f t="shared" si="12"/>
        <v>3754.0923651728062</v>
      </c>
      <c r="U14" s="27">
        <f t="shared" si="13"/>
        <v>2504.1098757595896</v>
      </c>
      <c r="V14" s="27">
        <f t="shared" si="14"/>
        <v>1249.9824894132166</v>
      </c>
      <c r="W14" s="9" t="str">
        <f t="shared" si="15"/>
        <v>OK</v>
      </c>
      <c r="X14" s="30">
        <f t="shared" si="16"/>
        <v>7.2489417604681972E-4</v>
      </c>
      <c r="Y14" s="29">
        <f t="shared" si="17"/>
        <v>0</v>
      </c>
      <c r="Z14" s="27">
        <f t="shared" si="18"/>
        <v>626.0274689398974</v>
      </c>
      <c r="AA14" s="27">
        <f t="shared" si="19"/>
        <v>390.45092838196285</v>
      </c>
      <c r="AB14" s="27">
        <f t="shared" si="20"/>
        <v>0</v>
      </c>
      <c r="AC14" s="64">
        <f t="shared" si="21"/>
        <v>1.4E-5</v>
      </c>
    </row>
    <row r="15" spans="1:29" ht="15" x14ac:dyDescent="0.35">
      <c r="A15" s="9" t="str">
        <f>ABC_XYZ!A15</f>
        <v>21137</v>
      </c>
      <c r="B15" s="9" t="str">
        <f>ABC_XYZ!B15</f>
        <v>BLACK RECORD COVER FRAME</v>
      </c>
      <c r="C15" s="31" t="str">
        <f>ABC_XYZ!K15</f>
        <v>AY</v>
      </c>
      <c r="D15" s="9" t="str">
        <f>IF(AND(_xlfn.XLOOKUP(C15,BestClass,BestMethod)="Holt-Winters",ABC_XYZ!M15="No"),_xlfn.XLOOKUP(C15,BestClass,BestFlat),_xlfn.XLOOKUP(C15,BestClass,BestMethod))</f>
        <v>Holt-Winters</v>
      </c>
      <c r="E15" s="32">
        <f>ABC_XYZ!G15</f>
        <v>191.69230769230768</v>
      </c>
      <c r="F15" s="32">
        <f>ABC_XYZ!H15</f>
        <v>227.12003723189463</v>
      </c>
      <c r="G15" s="34">
        <f>ABC_XYZ!N15*CostRatio</f>
        <v>2.0814804804804807</v>
      </c>
      <c r="H15" s="20">
        <f t="shared" si="0"/>
        <v>0.95</v>
      </c>
      <c r="I15" s="33">
        <f t="shared" si="1"/>
        <v>1.6448536269514715</v>
      </c>
      <c r="J15" s="29">
        <f t="shared" si="2"/>
        <v>656.01980000000003</v>
      </c>
      <c r="K15" s="29">
        <f t="shared" si="3"/>
        <v>648</v>
      </c>
      <c r="L15" s="29">
        <f t="shared" si="4"/>
        <v>1305</v>
      </c>
      <c r="M15" s="29">
        <f t="shared" si="5"/>
        <v>9968</v>
      </c>
      <c r="N15" s="29">
        <f t="shared" si="6"/>
        <v>1385</v>
      </c>
      <c r="O15" s="29">
        <f t="shared" si="7"/>
        <v>2690</v>
      </c>
      <c r="P15" s="29">
        <f t="shared" si="8"/>
        <v>1340.5</v>
      </c>
      <c r="Q15" s="32">
        <f t="shared" si="9"/>
        <v>6.992977528089888</v>
      </c>
      <c r="R15" s="29">
        <f t="shared" si="10"/>
        <v>1534</v>
      </c>
      <c r="S15" s="32">
        <f t="shared" si="11"/>
        <v>8.002407704654896</v>
      </c>
      <c r="T15" s="27">
        <f t="shared" si="12"/>
        <v>3192.9910570570573</v>
      </c>
      <c r="U15" s="27">
        <f t="shared" si="13"/>
        <v>2790.2245840840842</v>
      </c>
      <c r="V15" s="27">
        <f t="shared" si="14"/>
        <v>402.76647297297313</v>
      </c>
      <c r="W15" s="9" t="str">
        <f t="shared" si="15"/>
        <v>OK</v>
      </c>
      <c r="X15" s="30">
        <f t="shared" si="16"/>
        <v>1.2811820686005837E-2</v>
      </c>
      <c r="Y15" s="29">
        <f t="shared" si="17"/>
        <v>0</v>
      </c>
      <c r="Z15" s="27">
        <f t="shared" si="18"/>
        <v>697.55614602102105</v>
      </c>
      <c r="AA15" s="27">
        <f t="shared" si="19"/>
        <v>359.85559566787003</v>
      </c>
      <c r="AB15" s="27">
        <f t="shared" si="20"/>
        <v>0</v>
      </c>
      <c r="AC15" s="64">
        <f t="shared" si="21"/>
        <v>1.5E-5</v>
      </c>
    </row>
    <row r="16" spans="1:29" ht="15" x14ac:dyDescent="0.35">
      <c r="A16" s="9" t="str">
        <f>ABC_XYZ!A16</f>
        <v>20725</v>
      </c>
      <c r="B16" s="9" t="str">
        <f>ABC_XYZ!B16</f>
        <v>LUNCH BAG RED RETROSPOT</v>
      </c>
      <c r="C16" s="31" t="str">
        <f>ABC_XYZ!K16</f>
        <v>AX</v>
      </c>
      <c r="D16" s="9" t="str">
        <f>IF(AND(_xlfn.XLOOKUP(C16,BestClass,BestMethod)="Holt-Winters",ABC_XYZ!M16="No"),_xlfn.XLOOKUP(C16,BestClass,BestFlat),_xlfn.XLOOKUP(C16,BestClass,BestMethod))</f>
        <v>Moving average</v>
      </c>
      <c r="E16" s="32">
        <f>ABC_XYZ!G16</f>
        <v>352.61538461538464</v>
      </c>
      <c r="F16" s="32">
        <f>ABC_XYZ!H16</f>
        <v>174.64969463787813</v>
      </c>
      <c r="G16" s="34">
        <f>ABC_XYZ!N16*CostRatio</f>
        <v>1.102601840101523</v>
      </c>
      <c r="H16" s="20">
        <f t="shared" si="0"/>
        <v>0.95</v>
      </c>
      <c r="I16" s="33">
        <f t="shared" si="1"/>
        <v>1.6448536269514715</v>
      </c>
      <c r="J16" s="29">
        <f t="shared" si="2"/>
        <v>1128</v>
      </c>
      <c r="K16" s="29">
        <f t="shared" si="3"/>
        <v>498</v>
      </c>
      <c r="L16" s="29">
        <f t="shared" si="4"/>
        <v>1626</v>
      </c>
      <c r="M16" s="29">
        <f t="shared" si="5"/>
        <v>18336</v>
      </c>
      <c r="N16" s="29">
        <f t="shared" si="6"/>
        <v>2580</v>
      </c>
      <c r="O16" s="29">
        <f t="shared" si="7"/>
        <v>4206</v>
      </c>
      <c r="P16" s="29">
        <f t="shared" si="8"/>
        <v>1788</v>
      </c>
      <c r="Q16" s="32">
        <f t="shared" si="9"/>
        <v>5.0706806282722505</v>
      </c>
      <c r="R16" s="29">
        <f t="shared" si="10"/>
        <v>2821</v>
      </c>
      <c r="S16" s="32">
        <f t="shared" si="11"/>
        <v>8.0002181500872602</v>
      </c>
      <c r="T16" s="27">
        <f t="shared" si="12"/>
        <v>3110.4397909263962</v>
      </c>
      <c r="U16" s="27">
        <f t="shared" si="13"/>
        <v>1971.452090101523</v>
      </c>
      <c r="V16" s="27">
        <f t="shared" si="14"/>
        <v>1138.9877008248732</v>
      </c>
      <c r="W16" s="9" t="str">
        <f t="shared" si="15"/>
        <v>OK</v>
      </c>
      <c r="X16" s="30">
        <f t="shared" si="16"/>
        <v>1.0926376914355274E-8</v>
      </c>
      <c r="Y16" s="29">
        <f t="shared" si="17"/>
        <v>0</v>
      </c>
      <c r="Z16" s="27">
        <f t="shared" si="18"/>
        <v>492.86302252538076</v>
      </c>
      <c r="AA16" s="27">
        <f t="shared" si="19"/>
        <v>355.3488372093023</v>
      </c>
      <c r="AB16" s="27">
        <f t="shared" si="20"/>
        <v>0</v>
      </c>
      <c r="AC16" s="64">
        <f t="shared" si="21"/>
        <v>1.5999999999999999E-5</v>
      </c>
    </row>
    <row r="17" spans="1:29" ht="15" x14ac:dyDescent="0.35">
      <c r="A17" s="9" t="str">
        <f>ABC_XYZ!A17</f>
        <v>82484</v>
      </c>
      <c r="B17" s="9" t="str">
        <f>ABC_XYZ!B17</f>
        <v>WOOD BLACK BOARD ANT WHITE FINISH</v>
      </c>
      <c r="C17" s="31" t="str">
        <f>ABC_XYZ!K17</f>
        <v>AZ</v>
      </c>
      <c r="D17" s="9" t="str">
        <f>IF(AND(_xlfn.XLOOKUP(C17,BestClass,BestMethod)="Holt-Winters",ABC_XYZ!M17="No"),_xlfn.XLOOKUP(C17,BestClass,BestFlat),_xlfn.XLOOKUP(C17,BestClass,BestMethod))</f>
        <v>Holt-Winters</v>
      </c>
      <c r="E17" s="32">
        <f>ABC_XYZ!G17</f>
        <v>107.09615384615384</v>
      </c>
      <c r="F17" s="32">
        <f>ABC_XYZ!H17</f>
        <v>171.62422010338025</v>
      </c>
      <c r="G17" s="34">
        <f>ABC_XYZ!N17*CostRatio</f>
        <v>3.5826632087283126</v>
      </c>
      <c r="H17" s="20">
        <f t="shared" si="0"/>
        <v>0.95</v>
      </c>
      <c r="I17" s="33">
        <f t="shared" si="1"/>
        <v>1.6448536269514715</v>
      </c>
      <c r="J17" s="29">
        <f t="shared" si="2"/>
        <v>203.88380000000001</v>
      </c>
      <c r="K17" s="29">
        <f t="shared" si="3"/>
        <v>489</v>
      </c>
      <c r="L17" s="29">
        <f t="shared" si="4"/>
        <v>693</v>
      </c>
      <c r="M17" s="29">
        <f t="shared" si="5"/>
        <v>5569</v>
      </c>
      <c r="N17" s="29">
        <f t="shared" si="6"/>
        <v>789</v>
      </c>
      <c r="O17" s="29">
        <f t="shared" si="7"/>
        <v>1482</v>
      </c>
      <c r="P17" s="29">
        <f t="shared" si="8"/>
        <v>883.5</v>
      </c>
      <c r="Q17" s="32">
        <f t="shared" si="9"/>
        <v>8.2495959777338843</v>
      </c>
      <c r="R17" s="29">
        <f t="shared" si="10"/>
        <v>857</v>
      </c>
      <c r="S17" s="32">
        <f t="shared" si="11"/>
        <v>8.002154785419286</v>
      </c>
      <c r="T17" s="27">
        <f t="shared" si="12"/>
        <v>3070.3423698801639</v>
      </c>
      <c r="U17" s="27">
        <f t="shared" si="13"/>
        <v>3165.2829449114643</v>
      </c>
      <c r="V17" s="27">
        <f t="shared" si="14"/>
        <v>-94.940575031300341</v>
      </c>
      <c r="W17" s="9" t="str">
        <f t="shared" si="15"/>
        <v>OK</v>
      </c>
      <c r="X17" s="30">
        <f t="shared" si="16"/>
        <v>1.4006394640249775E-2</v>
      </c>
      <c r="Y17" s="29">
        <f t="shared" si="17"/>
        <v>0</v>
      </c>
      <c r="Z17" s="27">
        <f t="shared" si="18"/>
        <v>791.32073622786606</v>
      </c>
      <c r="AA17" s="27">
        <f t="shared" si="19"/>
        <v>352.91508238276299</v>
      </c>
      <c r="AB17" s="27">
        <f t="shared" si="20"/>
        <v>0</v>
      </c>
      <c r="AC17" s="64">
        <f t="shared" si="21"/>
        <v>1.7E-5</v>
      </c>
    </row>
    <row r="18" spans="1:29" ht="15" x14ac:dyDescent="0.35">
      <c r="A18" s="9" t="str">
        <f>ABC_XYZ!A18</f>
        <v>85099F</v>
      </c>
      <c r="B18" s="9" t="str">
        <f>ABC_XYZ!B18</f>
        <v>JUMBO BAG STRAWBERRY</v>
      </c>
      <c r="C18" s="31" t="str">
        <f>ABC_XYZ!K18</f>
        <v>AY</v>
      </c>
      <c r="D18" s="9" t="str">
        <f>IF(AND(_xlfn.XLOOKUP(C18,BestClass,BestMethod)="Holt-Winters",ABC_XYZ!M18="No"),_xlfn.XLOOKUP(C18,BestClass,BestFlat),_xlfn.XLOOKUP(C18,BestClass,BestMethod))</f>
        <v>Moving average</v>
      </c>
      <c r="E18" s="32">
        <f>ABC_XYZ!G18</f>
        <v>319.53846153846155</v>
      </c>
      <c r="F18" s="32">
        <f>ABC_XYZ!H18</f>
        <v>250.01909429344036</v>
      </c>
      <c r="G18" s="34">
        <f>ABC_XYZ!N18*CostRatio</f>
        <v>1.136428105544026</v>
      </c>
      <c r="H18" s="20">
        <f t="shared" si="0"/>
        <v>0.95</v>
      </c>
      <c r="I18" s="33">
        <f t="shared" si="1"/>
        <v>1.6448536269514715</v>
      </c>
      <c r="J18" s="29">
        <f t="shared" si="2"/>
        <v>874.875</v>
      </c>
      <c r="K18" s="29">
        <f t="shared" si="3"/>
        <v>713</v>
      </c>
      <c r="L18" s="29">
        <f t="shared" si="4"/>
        <v>1588</v>
      </c>
      <c r="M18" s="29">
        <f t="shared" si="5"/>
        <v>16616</v>
      </c>
      <c r="N18" s="29">
        <f t="shared" si="6"/>
        <v>2419</v>
      </c>
      <c r="O18" s="29">
        <f t="shared" si="7"/>
        <v>4007</v>
      </c>
      <c r="P18" s="29">
        <f t="shared" si="8"/>
        <v>1922.5</v>
      </c>
      <c r="Q18" s="32">
        <f t="shared" si="9"/>
        <v>6.0164901299951854</v>
      </c>
      <c r="R18" s="29">
        <f t="shared" si="10"/>
        <v>2556</v>
      </c>
      <c r="S18" s="32">
        <f t="shared" si="11"/>
        <v>7.9990370727010109</v>
      </c>
      <c r="T18" s="27">
        <f t="shared" si="12"/>
        <v>2904.7102377705305</v>
      </c>
      <c r="U18" s="27">
        <f t="shared" si="13"/>
        <v>2184.7830329083899</v>
      </c>
      <c r="V18" s="27">
        <f t="shared" si="14"/>
        <v>719.92720486214057</v>
      </c>
      <c r="W18" s="9" t="str">
        <f t="shared" si="15"/>
        <v>OK</v>
      </c>
      <c r="X18" s="30">
        <f t="shared" si="16"/>
        <v>5.1780119713629169E-5</v>
      </c>
      <c r="Y18" s="29">
        <f t="shared" si="17"/>
        <v>0</v>
      </c>
      <c r="Z18" s="27">
        <f t="shared" si="18"/>
        <v>546.19575822709749</v>
      </c>
      <c r="AA18" s="27">
        <f t="shared" si="19"/>
        <v>343.44770566349729</v>
      </c>
      <c r="AB18" s="27">
        <f t="shared" si="20"/>
        <v>0</v>
      </c>
      <c r="AC18" s="64">
        <f t="shared" si="21"/>
        <v>1.8E-5</v>
      </c>
    </row>
    <row r="19" spans="1:29" ht="15" x14ac:dyDescent="0.35">
      <c r="A19" s="9" t="str">
        <f>ABC_XYZ!A19</f>
        <v>22469</v>
      </c>
      <c r="B19" s="9" t="str">
        <f>ABC_XYZ!B19</f>
        <v>HEART OF WICKER SMALL</v>
      </c>
      <c r="C19" s="31" t="str">
        <f>ABC_XYZ!K19</f>
        <v>AY</v>
      </c>
      <c r="D19" s="9" t="str">
        <f>IF(AND(_xlfn.XLOOKUP(C19,BestClass,BestMethod)="Holt-Winters",ABC_XYZ!M19="No"),_xlfn.XLOOKUP(C19,BestClass,BestFlat),_xlfn.XLOOKUP(C19,BestClass,BestMethod))</f>
        <v>Holt-Winters</v>
      </c>
      <c r="E19" s="32">
        <f>ABC_XYZ!G19</f>
        <v>331.48076923076923</v>
      </c>
      <c r="F19" s="32">
        <f>ABC_XYZ!H19</f>
        <v>332.30711582927205</v>
      </c>
      <c r="G19" s="34">
        <f>ABC_XYZ!N19*CostRatio</f>
        <v>1.0681223009155294</v>
      </c>
      <c r="H19" s="20">
        <f t="shared" si="0"/>
        <v>0.95</v>
      </c>
      <c r="I19" s="33">
        <f t="shared" si="1"/>
        <v>1.6448536269514715</v>
      </c>
      <c r="J19" s="29">
        <f t="shared" si="2"/>
        <v>357.67099999999994</v>
      </c>
      <c r="K19" s="29">
        <f t="shared" si="3"/>
        <v>947</v>
      </c>
      <c r="L19" s="29">
        <f t="shared" si="4"/>
        <v>1305</v>
      </c>
      <c r="M19" s="29">
        <f t="shared" si="5"/>
        <v>17237</v>
      </c>
      <c r="N19" s="29">
        <f t="shared" si="6"/>
        <v>2541</v>
      </c>
      <c r="O19" s="29">
        <f t="shared" si="7"/>
        <v>3846</v>
      </c>
      <c r="P19" s="29">
        <f t="shared" si="8"/>
        <v>2217.5</v>
      </c>
      <c r="Q19" s="32">
        <f t="shared" si="9"/>
        <v>6.6896791785113416</v>
      </c>
      <c r="R19" s="29">
        <f t="shared" si="10"/>
        <v>2652</v>
      </c>
      <c r="S19" s="32">
        <f t="shared" si="11"/>
        <v>8.0004641178859437</v>
      </c>
      <c r="T19" s="27">
        <f t="shared" si="12"/>
        <v>2832.6603420279839</v>
      </c>
      <c r="U19" s="27">
        <f t="shared" si="13"/>
        <v>2368.5612022801865</v>
      </c>
      <c r="V19" s="27">
        <f t="shared" si="14"/>
        <v>464.09913974779738</v>
      </c>
      <c r="W19" s="9" t="str">
        <f t="shared" si="15"/>
        <v>OK</v>
      </c>
      <c r="X19" s="30">
        <f t="shared" si="16"/>
        <v>3.3574711237438493E-5</v>
      </c>
      <c r="Y19" s="29">
        <f t="shared" si="17"/>
        <v>0</v>
      </c>
      <c r="Z19" s="27">
        <f t="shared" si="18"/>
        <v>592.14030057004663</v>
      </c>
      <c r="AA19" s="27">
        <f t="shared" si="19"/>
        <v>339.17748917748918</v>
      </c>
      <c r="AB19" s="27">
        <f t="shared" si="20"/>
        <v>0</v>
      </c>
      <c r="AC19" s="64">
        <f t="shared" si="21"/>
        <v>1.9000000000000001E-5</v>
      </c>
    </row>
    <row r="20" spans="1:29" ht="15" x14ac:dyDescent="0.35">
      <c r="A20" s="9" t="str">
        <f>ABC_XYZ!A20</f>
        <v>22178</v>
      </c>
      <c r="B20" s="9" t="str">
        <f>ABC_XYZ!B20</f>
        <v>VICTORIAN GLASS HANGING T-LIGHT</v>
      </c>
      <c r="C20" s="31" t="str">
        <f>ABC_XYZ!K20</f>
        <v>AX</v>
      </c>
      <c r="D20" s="9" t="str">
        <f>IF(AND(_xlfn.XLOOKUP(C20,BestClass,BestMethod)="Holt-Winters",ABC_XYZ!M20="No"),_xlfn.XLOOKUP(C20,BestClass,BestFlat),_xlfn.XLOOKUP(C20,BestClass,BestMethod))</f>
        <v>Moving average</v>
      </c>
      <c r="E20" s="32">
        <f>ABC_XYZ!G20</f>
        <v>433.98076923076923</v>
      </c>
      <c r="F20" s="32">
        <f>ABC_XYZ!H20</f>
        <v>278.41818528507775</v>
      </c>
      <c r="G20" s="34">
        <f>ABC_XYZ!N20*CostRatio</f>
        <v>0.79859673983916535</v>
      </c>
      <c r="H20" s="20">
        <f t="shared" si="0"/>
        <v>0.95</v>
      </c>
      <c r="I20" s="33">
        <f t="shared" si="1"/>
        <v>1.6448536269514715</v>
      </c>
      <c r="J20" s="29">
        <f t="shared" si="2"/>
        <v>1762.125</v>
      </c>
      <c r="K20" s="29">
        <f t="shared" si="3"/>
        <v>794</v>
      </c>
      <c r="L20" s="29">
        <f t="shared" si="4"/>
        <v>2557</v>
      </c>
      <c r="M20" s="29">
        <f t="shared" si="5"/>
        <v>22567</v>
      </c>
      <c r="N20" s="29">
        <f t="shared" si="6"/>
        <v>3363</v>
      </c>
      <c r="O20" s="29">
        <f t="shared" si="7"/>
        <v>5920</v>
      </c>
      <c r="P20" s="29">
        <f t="shared" si="8"/>
        <v>2475.5</v>
      </c>
      <c r="Q20" s="32">
        <f t="shared" si="9"/>
        <v>5.7041698054681618</v>
      </c>
      <c r="R20" s="29">
        <f t="shared" si="10"/>
        <v>3472</v>
      </c>
      <c r="S20" s="32">
        <f t="shared" si="11"/>
        <v>8.0003544999335308</v>
      </c>
      <c r="T20" s="27">
        <f t="shared" si="12"/>
        <v>2772.7278807215821</v>
      </c>
      <c r="U20" s="27">
        <f t="shared" si="13"/>
        <v>1976.9262294718537</v>
      </c>
      <c r="V20" s="27">
        <f t="shared" si="14"/>
        <v>795.80165124972837</v>
      </c>
      <c r="W20" s="9" t="str">
        <f t="shared" si="15"/>
        <v>OK</v>
      </c>
      <c r="X20" s="30">
        <f t="shared" si="16"/>
        <v>1.9576069261484363E-4</v>
      </c>
      <c r="Y20" s="29">
        <f t="shared" si="17"/>
        <v>0</v>
      </c>
      <c r="Z20" s="27">
        <f t="shared" si="18"/>
        <v>494.23155736796343</v>
      </c>
      <c r="AA20" s="27">
        <f t="shared" si="19"/>
        <v>335.5188819506393</v>
      </c>
      <c r="AB20" s="27">
        <f t="shared" si="20"/>
        <v>0</v>
      </c>
      <c r="AC20" s="64">
        <f t="shared" si="21"/>
        <v>2.0000000000000002E-5</v>
      </c>
    </row>
    <row r="21" spans="1:29" ht="15" x14ac:dyDescent="0.35">
      <c r="A21" s="9" t="str">
        <f>ABC_XYZ!A21</f>
        <v>21931</v>
      </c>
      <c r="B21" s="9" t="str">
        <f>ABC_XYZ!B21</f>
        <v>JUMBO STORAGE BAG SUKI</v>
      </c>
      <c r="C21" s="31" t="str">
        <f>ABC_XYZ!K21</f>
        <v>AX</v>
      </c>
      <c r="D21" s="9" t="str">
        <f>IF(AND(_xlfn.XLOOKUP(C21,BestClass,BestMethod)="Holt-Winters",ABC_XYZ!M21="No"),_xlfn.XLOOKUP(C21,BestClass,BestFlat),_xlfn.XLOOKUP(C21,BestClass,BestMethod))</f>
        <v>Moving average</v>
      </c>
      <c r="E21" s="32">
        <f>ABC_XYZ!G21</f>
        <v>250.63461538461539</v>
      </c>
      <c r="F21" s="32">
        <f>ABC_XYZ!H21</f>
        <v>113.00390915434249</v>
      </c>
      <c r="G21" s="34">
        <f>ABC_XYZ!N21*CostRatio</f>
        <v>1.3521632500374083</v>
      </c>
      <c r="H21" s="20">
        <f t="shared" si="0"/>
        <v>0.95</v>
      </c>
      <c r="I21" s="33">
        <f t="shared" si="1"/>
        <v>1.6448536269514715</v>
      </c>
      <c r="J21" s="29">
        <f t="shared" si="2"/>
        <v>780.375</v>
      </c>
      <c r="K21" s="29">
        <f t="shared" si="3"/>
        <v>322</v>
      </c>
      <c r="L21" s="29">
        <f t="shared" si="4"/>
        <v>1103</v>
      </c>
      <c r="M21" s="29">
        <f t="shared" si="5"/>
        <v>13033</v>
      </c>
      <c r="N21" s="29">
        <f t="shared" si="6"/>
        <v>1964</v>
      </c>
      <c r="O21" s="29">
        <f t="shared" si="7"/>
        <v>3067</v>
      </c>
      <c r="P21" s="29">
        <f t="shared" si="8"/>
        <v>1304</v>
      </c>
      <c r="Q21" s="32">
        <f t="shared" si="9"/>
        <v>5.2027929103046109</v>
      </c>
      <c r="R21" s="29">
        <f t="shared" si="10"/>
        <v>2005</v>
      </c>
      <c r="S21" s="32">
        <f t="shared" si="11"/>
        <v>7.9996930867797129</v>
      </c>
      <c r="T21" s="27">
        <f t="shared" si="12"/>
        <v>2711.0873163250039</v>
      </c>
      <c r="U21" s="27">
        <f t="shared" si="13"/>
        <v>1763.2208780487804</v>
      </c>
      <c r="V21" s="27">
        <f t="shared" si="14"/>
        <v>947.86643827622356</v>
      </c>
      <c r="W21" s="9" t="str">
        <f t="shared" si="15"/>
        <v>OK</v>
      </c>
      <c r="X21" s="30">
        <f t="shared" si="16"/>
        <v>1.965373419565708E-10</v>
      </c>
      <c r="Y21" s="29">
        <f t="shared" si="17"/>
        <v>0</v>
      </c>
      <c r="Z21" s="27">
        <f t="shared" si="18"/>
        <v>440.80521951219509</v>
      </c>
      <c r="AA21" s="27">
        <f t="shared" si="19"/>
        <v>331.79735234215883</v>
      </c>
      <c r="AB21" s="27">
        <f t="shared" si="20"/>
        <v>0</v>
      </c>
      <c r="AC21" s="64">
        <f t="shared" si="21"/>
        <v>2.0999999999999999E-5</v>
      </c>
    </row>
    <row r="22" spans="1:29" ht="15" x14ac:dyDescent="0.35">
      <c r="A22" s="9" t="str">
        <f>ABC_XYZ!A22</f>
        <v>22112</v>
      </c>
      <c r="B22" s="9" t="str">
        <f>ABC_XYZ!B22</f>
        <v>CHOCOLATE HOT WATER BOTTLE</v>
      </c>
      <c r="C22" s="31" t="str">
        <f>ABC_XYZ!K22</f>
        <v>AZ</v>
      </c>
      <c r="D22" s="9" t="str">
        <f>IF(AND(_xlfn.XLOOKUP(C22,BestClass,BestMethod)="Holt-Winters",ABC_XYZ!M22="No"),_xlfn.XLOOKUP(C22,BestClass,BestFlat),_xlfn.XLOOKUP(C22,BestClass,BestMethod))</f>
        <v>Holt-Winters</v>
      </c>
      <c r="E22" s="32">
        <f>ABC_XYZ!G22</f>
        <v>101.36538461538461</v>
      </c>
      <c r="F22" s="32">
        <f>ABC_XYZ!H22</f>
        <v>133.41576307582278</v>
      </c>
      <c r="G22" s="34">
        <f>ABC_XYZ!N22*CostRatio</f>
        <v>3.2422526393776621</v>
      </c>
      <c r="H22" s="20">
        <f t="shared" si="0"/>
        <v>0.95</v>
      </c>
      <c r="I22" s="33">
        <f t="shared" si="1"/>
        <v>1.6448536269514715</v>
      </c>
      <c r="J22" s="29">
        <f t="shared" si="2"/>
        <v>646.87210000000005</v>
      </c>
      <c r="K22" s="29">
        <f t="shared" si="3"/>
        <v>381</v>
      </c>
      <c r="L22" s="29">
        <f t="shared" si="4"/>
        <v>1028</v>
      </c>
      <c r="M22" s="29">
        <f t="shared" si="5"/>
        <v>5271</v>
      </c>
      <c r="N22" s="29">
        <f t="shared" si="6"/>
        <v>807</v>
      </c>
      <c r="O22" s="29">
        <f t="shared" si="7"/>
        <v>1835</v>
      </c>
      <c r="P22" s="29">
        <f t="shared" si="8"/>
        <v>784.5</v>
      </c>
      <c r="Q22" s="32">
        <f t="shared" si="9"/>
        <v>7.7393284006829823</v>
      </c>
      <c r="R22" s="29">
        <f t="shared" si="10"/>
        <v>811</v>
      </c>
      <c r="S22" s="32">
        <f t="shared" si="11"/>
        <v>8.0007588692847662</v>
      </c>
      <c r="T22" s="27">
        <f t="shared" si="12"/>
        <v>2629.4668905352837</v>
      </c>
      <c r="U22" s="27">
        <f t="shared" si="13"/>
        <v>2543.547195591776</v>
      </c>
      <c r="V22" s="27">
        <f t="shared" si="14"/>
        <v>85.919694943507693</v>
      </c>
      <c r="W22" s="9" t="str">
        <f t="shared" si="15"/>
        <v>Reorder now</v>
      </c>
      <c r="X22" s="30">
        <f t="shared" si="16"/>
        <v>0.23877283689960083</v>
      </c>
      <c r="Y22" s="29">
        <f t="shared" si="17"/>
        <v>1024</v>
      </c>
      <c r="Z22" s="27">
        <f t="shared" si="18"/>
        <v>635.886798897944</v>
      </c>
      <c r="AA22" s="27">
        <f t="shared" si="19"/>
        <v>326.57992565055764</v>
      </c>
      <c r="AB22" s="27">
        <f t="shared" si="20"/>
        <v>703.56882274495263</v>
      </c>
      <c r="AC22" s="64">
        <f t="shared" si="21"/>
        <v>703.56884474495257</v>
      </c>
    </row>
    <row r="23" spans="1:29" ht="15" x14ac:dyDescent="0.35">
      <c r="A23" s="9" t="str">
        <f>ABC_XYZ!A23</f>
        <v>22114</v>
      </c>
      <c r="B23" s="9" t="str">
        <f>ABC_XYZ!B23</f>
        <v>HOT WATER BOTTLE TEA AND SYMPATHY</v>
      </c>
      <c r="C23" s="31" t="str">
        <f>ABC_XYZ!K23</f>
        <v>AZ</v>
      </c>
      <c r="D23" s="9" t="str">
        <f>IF(AND(_xlfn.XLOOKUP(C23,BestClass,BestMethod)="Holt-Winters",ABC_XYZ!M23="No"),_xlfn.XLOOKUP(C23,BestClass,BestFlat),_xlfn.XLOOKUP(C23,BestClass,BestMethod))</f>
        <v>Holt-Winters</v>
      </c>
      <c r="E23" s="32">
        <f>ABC_XYZ!G23</f>
        <v>94.65384615384616</v>
      </c>
      <c r="F23" s="32">
        <f>ABC_XYZ!H23</f>
        <v>161.55128908345142</v>
      </c>
      <c r="G23" s="34">
        <f>ABC_XYZ!N23*CostRatio</f>
        <v>3.4286582733812945</v>
      </c>
      <c r="H23" s="20">
        <f t="shared" si="0"/>
        <v>0.95</v>
      </c>
      <c r="I23" s="33">
        <f t="shared" si="1"/>
        <v>1.6448536269514715</v>
      </c>
      <c r="J23" s="29">
        <f t="shared" si="2"/>
        <v>791.62180000000001</v>
      </c>
      <c r="K23" s="29">
        <f t="shared" si="3"/>
        <v>461</v>
      </c>
      <c r="L23" s="29">
        <f t="shared" si="4"/>
        <v>1253</v>
      </c>
      <c r="M23" s="29">
        <f t="shared" si="5"/>
        <v>4922</v>
      </c>
      <c r="N23" s="29">
        <f t="shared" si="6"/>
        <v>758</v>
      </c>
      <c r="O23" s="29">
        <f t="shared" si="7"/>
        <v>2011</v>
      </c>
      <c r="P23" s="29">
        <f t="shared" si="8"/>
        <v>840</v>
      </c>
      <c r="Q23" s="32">
        <f t="shared" si="9"/>
        <v>8.8744412840308815</v>
      </c>
      <c r="R23" s="29">
        <f t="shared" si="10"/>
        <v>757</v>
      </c>
      <c r="S23" s="32">
        <f t="shared" si="11"/>
        <v>7.9975619666802107</v>
      </c>
      <c r="T23" s="27">
        <f t="shared" si="12"/>
        <v>2595.4943129496401</v>
      </c>
      <c r="U23" s="27">
        <f t="shared" si="13"/>
        <v>2880.0729496402873</v>
      </c>
      <c r="V23" s="27">
        <f t="shared" si="14"/>
        <v>-284.57863669064727</v>
      </c>
      <c r="W23" s="9" t="str">
        <f t="shared" si="15"/>
        <v>Reorder now</v>
      </c>
      <c r="X23" s="30">
        <f t="shared" si="16"/>
        <v>0.54923587445045774</v>
      </c>
      <c r="Y23" s="29">
        <f t="shared" si="17"/>
        <v>1254</v>
      </c>
      <c r="Z23" s="27">
        <f t="shared" si="18"/>
        <v>720.01823741007183</v>
      </c>
      <c r="AA23" s="27">
        <f t="shared" si="19"/>
        <v>324.67018469656989</v>
      </c>
      <c r="AB23" s="27">
        <f t="shared" si="20"/>
        <v>1700.6145035971222</v>
      </c>
      <c r="AC23" s="64">
        <f t="shared" si="21"/>
        <v>1700.6145265971222</v>
      </c>
    </row>
    <row r="24" spans="1:29" ht="15" x14ac:dyDescent="0.35">
      <c r="A24" s="9" t="str">
        <f>ABC_XYZ!A24</f>
        <v>22470</v>
      </c>
      <c r="B24" s="9" t="str">
        <f>ABC_XYZ!B24</f>
        <v>HEART OF WICKER LARGE</v>
      </c>
      <c r="C24" s="31" t="str">
        <f>ABC_XYZ!K24</f>
        <v>AZ</v>
      </c>
      <c r="D24" s="9" t="str">
        <f>IF(AND(_xlfn.XLOOKUP(C24,BestClass,BestMethod)="Holt-Winters",ABC_XYZ!M24="No"),_xlfn.XLOOKUP(C24,BestClass,BestFlat),_xlfn.XLOOKUP(C24,BestClass,BestMethod))</f>
        <v>Holt-Winters</v>
      </c>
      <c r="E24" s="32">
        <f>ABC_XYZ!G24</f>
        <v>173.32692307692307</v>
      </c>
      <c r="F24" s="32">
        <f>ABC_XYZ!H24</f>
        <v>249.91423792925178</v>
      </c>
      <c r="G24" s="34">
        <f>ABC_XYZ!N24*CostRatio</f>
        <v>1.8171835924578232</v>
      </c>
      <c r="H24" s="20">
        <f t="shared" si="0"/>
        <v>0.95</v>
      </c>
      <c r="I24" s="33">
        <f t="shared" si="1"/>
        <v>1.6448536269514715</v>
      </c>
      <c r="J24" s="29">
        <f t="shared" si="2"/>
        <v>143.69319999999999</v>
      </c>
      <c r="K24" s="29">
        <f t="shared" si="3"/>
        <v>712</v>
      </c>
      <c r="L24" s="29">
        <f t="shared" si="4"/>
        <v>856</v>
      </c>
      <c r="M24" s="29">
        <f t="shared" si="5"/>
        <v>9013</v>
      </c>
      <c r="N24" s="29">
        <f t="shared" si="6"/>
        <v>1409</v>
      </c>
      <c r="O24" s="29">
        <f t="shared" si="7"/>
        <v>2265</v>
      </c>
      <c r="P24" s="29">
        <f t="shared" si="8"/>
        <v>1416.5</v>
      </c>
      <c r="Q24" s="32">
        <f t="shared" si="9"/>
        <v>8.1724176189947855</v>
      </c>
      <c r="R24" s="29">
        <f t="shared" si="10"/>
        <v>1387</v>
      </c>
      <c r="S24" s="32">
        <f t="shared" si="11"/>
        <v>8.0022190169754808</v>
      </c>
      <c r="T24" s="27">
        <f t="shared" si="12"/>
        <v>2520.4336427390008</v>
      </c>
      <c r="U24" s="27">
        <f t="shared" si="13"/>
        <v>2574.0405587165064</v>
      </c>
      <c r="V24" s="27">
        <f t="shared" si="14"/>
        <v>-53.606915977505651</v>
      </c>
      <c r="W24" s="9" t="str">
        <f t="shared" si="15"/>
        <v>OK</v>
      </c>
      <c r="X24" s="30">
        <f t="shared" si="16"/>
        <v>2.0376124916208216E-3</v>
      </c>
      <c r="Y24" s="29">
        <f t="shared" si="17"/>
        <v>0</v>
      </c>
      <c r="Z24" s="27">
        <f t="shared" si="18"/>
        <v>643.51013967912661</v>
      </c>
      <c r="AA24" s="27">
        <f t="shared" si="19"/>
        <v>319.83676366217179</v>
      </c>
      <c r="AB24" s="27">
        <f t="shared" si="20"/>
        <v>0</v>
      </c>
      <c r="AC24" s="64">
        <f t="shared" si="21"/>
        <v>2.4000000000000001E-5</v>
      </c>
    </row>
    <row r="25" spans="1:29" ht="15" x14ac:dyDescent="0.35">
      <c r="A25" s="9" t="str">
        <f>ABC_XYZ!A25</f>
        <v>22411</v>
      </c>
      <c r="B25" s="9" t="str">
        <f>ABC_XYZ!B25</f>
        <v>JUMBO SHOPPER VINTAGE RED PAISLEY</v>
      </c>
      <c r="C25" s="31" t="str">
        <f>ABC_XYZ!K25</f>
        <v>AX</v>
      </c>
      <c r="D25" s="9" t="str">
        <f>IF(AND(_xlfn.XLOOKUP(C25,BestClass,BestMethod)="Holt-Winters",ABC_XYZ!M25="No"),_xlfn.XLOOKUP(C25,BestClass,BestFlat),_xlfn.XLOOKUP(C25,BestClass,BestMethod))</f>
        <v>Moving average</v>
      </c>
      <c r="E25" s="32">
        <f>ABC_XYZ!G25</f>
        <v>224.19230769230768</v>
      </c>
      <c r="F25" s="32">
        <f>ABC_XYZ!H25</f>
        <v>129.38891646649668</v>
      </c>
      <c r="G25" s="34">
        <f>ABC_XYZ!N25*CostRatio</f>
        <v>1.3675854145854147</v>
      </c>
      <c r="H25" s="20">
        <f t="shared" si="0"/>
        <v>0.95</v>
      </c>
      <c r="I25" s="33">
        <f t="shared" si="1"/>
        <v>1.6448536269514715</v>
      </c>
      <c r="J25" s="29">
        <f t="shared" si="2"/>
        <v>684</v>
      </c>
      <c r="K25" s="29">
        <f t="shared" si="3"/>
        <v>369</v>
      </c>
      <c r="L25" s="29">
        <f t="shared" si="4"/>
        <v>1053</v>
      </c>
      <c r="M25" s="29">
        <f t="shared" si="5"/>
        <v>11658</v>
      </c>
      <c r="N25" s="29">
        <f t="shared" si="6"/>
        <v>1847</v>
      </c>
      <c r="O25" s="29">
        <f t="shared" si="7"/>
        <v>2900</v>
      </c>
      <c r="P25" s="29">
        <f t="shared" si="8"/>
        <v>1292.5</v>
      </c>
      <c r="Q25" s="32">
        <f t="shared" si="9"/>
        <v>5.7651398181506268</v>
      </c>
      <c r="R25" s="29">
        <f t="shared" si="10"/>
        <v>1794</v>
      </c>
      <c r="S25" s="32">
        <f t="shared" si="11"/>
        <v>8.0020586721564602</v>
      </c>
      <c r="T25" s="27">
        <f t="shared" si="12"/>
        <v>2453.4482337662339</v>
      </c>
      <c r="U25" s="27">
        <f t="shared" si="13"/>
        <v>1767.6041483516485</v>
      </c>
      <c r="V25" s="27">
        <f t="shared" si="14"/>
        <v>685.84408541458538</v>
      </c>
      <c r="W25" s="9" t="str">
        <f t="shared" si="15"/>
        <v>OK</v>
      </c>
      <c r="X25" s="30">
        <f t="shared" si="16"/>
        <v>3.6545527593023763E-7</v>
      </c>
      <c r="Y25" s="29">
        <f t="shared" si="17"/>
        <v>0</v>
      </c>
      <c r="Z25" s="27">
        <f t="shared" si="18"/>
        <v>441.90103708791213</v>
      </c>
      <c r="AA25" s="27">
        <f t="shared" si="19"/>
        <v>315.592853275582</v>
      </c>
      <c r="AB25" s="27">
        <f t="shared" si="20"/>
        <v>0</v>
      </c>
      <c r="AC25" s="64">
        <f t="shared" si="21"/>
        <v>2.5000000000000001E-5</v>
      </c>
    </row>
    <row r="26" spans="1:29" ht="15" x14ac:dyDescent="0.35">
      <c r="A26" s="9" t="str">
        <f>ABC_XYZ!A26</f>
        <v>22355</v>
      </c>
      <c r="B26" s="9" t="str">
        <f>ABC_XYZ!B26</f>
        <v>CHARLOTTE BAG SUKI DESIGN</v>
      </c>
      <c r="C26" s="31" t="str">
        <f>ABC_XYZ!K26</f>
        <v>AX</v>
      </c>
      <c r="D26" s="9" t="str">
        <f>IF(AND(_xlfn.XLOOKUP(C26,BestClass,BestMethod)="Holt-Winters",ABC_XYZ!M26="No"),_xlfn.XLOOKUP(C26,BestClass,BestFlat),_xlfn.XLOOKUP(C26,BestClass,BestMethod))</f>
        <v>Moving average</v>
      </c>
      <c r="E26" s="32">
        <f>ABC_XYZ!G26</f>
        <v>323.69230769230768</v>
      </c>
      <c r="F26" s="32">
        <f>ABC_XYZ!H26</f>
        <v>152.9434777643315</v>
      </c>
      <c r="G26" s="34">
        <f>ABC_XYZ!N26*CostRatio</f>
        <v>0.94878758612566982</v>
      </c>
      <c r="H26" s="20">
        <f t="shared" si="0"/>
        <v>0.95</v>
      </c>
      <c r="I26" s="33">
        <f t="shared" si="1"/>
        <v>1.6448536269514715</v>
      </c>
      <c r="J26" s="29">
        <f t="shared" si="2"/>
        <v>1207.875</v>
      </c>
      <c r="K26" s="29">
        <f t="shared" si="3"/>
        <v>436</v>
      </c>
      <c r="L26" s="29">
        <f t="shared" si="4"/>
        <v>1644</v>
      </c>
      <c r="M26" s="29">
        <f t="shared" si="5"/>
        <v>16832</v>
      </c>
      <c r="N26" s="29">
        <f t="shared" si="6"/>
        <v>2664</v>
      </c>
      <c r="O26" s="29">
        <f t="shared" si="7"/>
        <v>4308</v>
      </c>
      <c r="P26" s="29">
        <f t="shared" si="8"/>
        <v>1768</v>
      </c>
      <c r="Q26" s="32">
        <f t="shared" si="9"/>
        <v>5.4619771863117874</v>
      </c>
      <c r="R26" s="29">
        <f t="shared" si="10"/>
        <v>2590</v>
      </c>
      <c r="S26" s="32">
        <f t="shared" si="11"/>
        <v>8.0014258555133075</v>
      </c>
      <c r="T26" s="27">
        <f t="shared" si="12"/>
        <v>2457.359848065485</v>
      </c>
      <c r="U26" s="27">
        <f t="shared" si="13"/>
        <v>1677.4564522701842</v>
      </c>
      <c r="V26" s="27">
        <f t="shared" si="14"/>
        <v>779.90339579530087</v>
      </c>
      <c r="W26" s="9" t="str">
        <f t="shared" si="15"/>
        <v>OK</v>
      </c>
      <c r="X26" s="30">
        <f t="shared" si="16"/>
        <v>9.0716652634270645E-8</v>
      </c>
      <c r="Y26" s="29">
        <f t="shared" si="17"/>
        <v>0</v>
      </c>
      <c r="Z26" s="27">
        <f t="shared" si="18"/>
        <v>419.36411306754604</v>
      </c>
      <c r="AA26" s="27">
        <f t="shared" si="19"/>
        <v>315.91591591591589</v>
      </c>
      <c r="AB26" s="27">
        <f t="shared" si="20"/>
        <v>0</v>
      </c>
      <c r="AC26" s="64">
        <f t="shared" si="21"/>
        <v>2.5999999999999998E-5</v>
      </c>
    </row>
    <row r="27" spans="1:29" ht="15" x14ac:dyDescent="0.35">
      <c r="A27" s="9" t="str">
        <f>ABC_XYZ!A27</f>
        <v>20685</v>
      </c>
      <c r="B27" s="9" t="str">
        <f>ABC_XYZ!B27</f>
        <v>DOORMAT RED RETROSPOT</v>
      </c>
      <c r="C27" s="31" t="str">
        <f>ABC_XYZ!K27</f>
        <v>AZ</v>
      </c>
      <c r="D27" s="9" t="str">
        <f>IF(AND(_xlfn.XLOOKUP(C27,BestClass,BestMethod)="Holt-Winters",ABC_XYZ!M27="No"),_xlfn.XLOOKUP(C27,BestClass,BestFlat),_xlfn.XLOOKUP(C27,BestClass,BestMethod))</f>
        <v>Naive</v>
      </c>
      <c r="E27" s="32">
        <f>ABC_XYZ!G27</f>
        <v>74.615384615384613</v>
      </c>
      <c r="F27" s="32">
        <f>ABC_XYZ!H27</f>
        <v>96.675554800205845</v>
      </c>
      <c r="G27" s="34">
        <f>ABC_XYZ!N27*CostRatio</f>
        <v>4.1042448048656865</v>
      </c>
      <c r="H27" s="20">
        <f t="shared" si="0"/>
        <v>0.95</v>
      </c>
      <c r="I27" s="33">
        <f t="shared" si="1"/>
        <v>1.6448536269514715</v>
      </c>
      <c r="J27" s="29">
        <f t="shared" si="2"/>
        <v>306</v>
      </c>
      <c r="K27" s="29">
        <f t="shared" si="3"/>
        <v>276</v>
      </c>
      <c r="L27" s="29">
        <f t="shared" si="4"/>
        <v>582</v>
      </c>
      <c r="M27" s="29">
        <f t="shared" si="5"/>
        <v>3880</v>
      </c>
      <c r="N27" s="29">
        <f t="shared" si="6"/>
        <v>615</v>
      </c>
      <c r="O27" s="29">
        <f t="shared" si="7"/>
        <v>1197</v>
      </c>
      <c r="P27" s="29">
        <f t="shared" si="8"/>
        <v>583.5</v>
      </c>
      <c r="Q27" s="32">
        <f t="shared" si="9"/>
        <v>7.8201030927835058</v>
      </c>
      <c r="R27" s="29">
        <f t="shared" si="10"/>
        <v>597</v>
      </c>
      <c r="S27" s="32">
        <f t="shared" si="11"/>
        <v>8.0010309278350515</v>
      </c>
      <c r="T27" s="27">
        <f t="shared" si="12"/>
        <v>2450.234148504815</v>
      </c>
      <c r="U27" s="27">
        <f t="shared" si="13"/>
        <v>2394.8268436391281</v>
      </c>
      <c r="V27" s="27">
        <f t="shared" si="14"/>
        <v>55.40730486568691</v>
      </c>
      <c r="W27" s="9" t="str">
        <f t="shared" si="15"/>
        <v>OK</v>
      </c>
      <c r="X27" s="30">
        <f t="shared" si="16"/>
        <v>4.1117424838389427E-2</v>
      </c>
      <c r="Y27" s="29">
        <f t="shared" si="17"/>
        <v>0</v>
      </c>
      <c r="Z27" s="27">
        <f t="shared" si="18"/>
        <v>598.70671090978203</v>
      </c>
      <c r="AA27" s="27">
        <f t="shared" si="19"/>
        <v>315.44715447154471</v>
      </c>
      <c r="AB27" s="27">
        <f t="shared" si="20"/>
        <v>0</v>
      </c>
      <c r="AC27" s="64">
        <f t="shared" si="21"/>
        <v>2.6999999999999999E-5</v>
      </c>
    </row>
    <row r="28" spans="1:29" ht="15" x14ac:dyDescent="0.35">
      <c r="A28" s="9" t="str">
        <f>ABC_XYZ!A28</f>
        <v>85099C</v>
      </c>
      <c r="B28" s="9" t="str">
        <f>ABC_XYZ!B28</f>
        <v>JUMBO  BAG BAROQUE BLACK WHITE</v>
      </c>
      <c r="C28" s="31" t="str">
        <f>ABC_XYZ!K28</f>
        <v>AX</v>
      </c>
      <c r="D28" s="9" t="str">
        <f>IF(AND(_xlfn.XLOOKUP(C28,BestClass,BestMethod)="Holt-Winters",ABC_XYZ!M28="No"),_xlfn.XLOOKUP(C28,BestClass,BestFlat),_xlfn.XLOOKUP(C28,BestClass,BestMethod))</f>
        <v>Moving average</v>
      </c>
      <c r="E28" s="32">
        <f>ABC_XYZ!G28</f>
        <v>252.19230769230768</v>
      </c>
      <c r="F28" s="32">
        <f>ABC_XYZ!H28</f>
        <v>147.08008202303762</v>
      </c>
      <c r="G28" s="34">
        <f>ABC_XYZ!N28*CostRatio</f>
        <v>1.2070984842828343</v>
      </c>
      <c r="H28" s="20">
        <f t="shared" si="0"/>
        <v>0.95</v>
      </c>
      <c r="I28" s="33">
        <f t="shared" si="1"/>
        <v>1.6448536269514715</v>
      </c>
      <c r="J28" s="29">
        <f t="shared" si="2"/>
        <v>798.375</v>
      </c>
      <c r="K28" s="29">
        <f t="shared" si="3"/>
        <v>420</v>
      </c>
      <c r="L28" s="29">
        <f t="shared" si="4"/>
        <v>1219</v>
      </c>
      <c r="M28" s="29">
        <f t="shared" si="5"/>
        <v>13114</v>
      </c>
      <c r="N28" s="29">
        <f t="shared" si="6"/>
        <v>2085</v>
      </c>
      <c r="O28" s="29">
        <f t="shared" si="7"/>
        <v>3304</v>
      </c>
      <c r="P28" s="29">
        <f t="shared" si="8"/>
        <v>1462.5</v>
      </c>
      <c r="Q28" s="32">
        <f t="shared" si="9"/>
        <v>5.7991459508921768</v>
      </c>
      <c r="R28" s="29">
        <f t="shared" si="10"/>
        <v>2018</v>
      </c>
      <c r="S28" s="32">
        <f t="shared" si="11"/>
        <v>8.0018301052310505</v>
      </c>
      <c r="T28" s="27">
        <f t="shared" si="12"/>
        <v>2435.9247412827594</v>
      </c>
      <c r="U28" s="27">
        <f t="shared" si="13"/>
        <v>1765.3815332636452</v>
      </c>
      <c r="V28" s="27">
        <f t="shared" si="14"/>
        <v>670.54320801911422</v>
      </c>
      <c r="W28" s="9" t="str">
        <f t="shared" si="15"/>
        <v>OK</v>
      </c>
      <c r="X28" s="30">
        <f t="shared" si="16"/>
        <v>8.4421773982601422E-7</v>
      </c>
      <c r="Y28" s="29">
        <f t="shared" si="17"/>
        <v>0</v>
      </c>
      <c r="Z28" s="27">
        <f t="shared" si="18"/>
        <v>441.34538331591131</v>
      </c>
      <c r="AA28" s="27">
        <f t="shared" si="19"/>
        <v>314.48441247002398</v>
      </c>
      <c r="AB28" s="27">
        <f t="shared" si="20"/>
        <v>0</v>
      </c>
      <c r="AC28" s="64">
        <f t="shared" si="21"/>
        <v>2.8E-5</v>
      </c>
    </row>
    <row r="29" spans="1:29" ht="15" x14ac:dyDescent="0.35">
      <c r="A29" s="9" t="str">
        <f>ABC_XYZ!A29</f>
        <v>22629</v>
      </c>
      <c r="B29" s="9" t="str">
        <f>ABC_XYZ!B29</f>
        <v>SPACEBOY LUNCH BOX</v>
      </c>
      <c r="C29" s="31" t="str">
        <f>ABC_XYZ!K29</f>
        <v>AX</v>
      </c>
      <c r="D29" s="9" t="str">
        <f>IF(AND(_xlfn.XLOOKUP(C29,BestClass,BestMethod)="Holt-Winters",ABC_XYZ!M29="No"),_xlfn.XLOOKUP(C29,BestClass,BestFlat),_xlfn.XLOOKUP(C29,BestClass,BestMethod))</f>
        <v>Moving average</v>
      </c>
      <c r="E29" s="32">
        <f>ABC_XYZ!G29</f>
        <v>270.01923076923077</v>
      </c>
      <c r="F29" s="32">
        <f>ABC_XYZ!H29</f>
        <v>180.60079369080754</v>
      </c>
      <c r="G29" s="34">
        <f>ABC_XYZ!N29*CostRatio</f>
        <v>1.0806023412557646</v>
      </c>
      <c r="H29" s="20">
        <f t="shared" si="0"/>
        <v>0.95</v>
      </c>
      <c r="I29" s="33">
        <f t="shared" si="1"/>
        <v>1.6448536269514715</v>
      </c>
      <c r="J29" s="29">
        <f t="shared" si="2"/>
        <v>864.75</v>
      </c>
      <c r="K29" s="29">
        <f t="shared" si="3"/>
        <v>515</v>
      </c>
      <c r="L29" s="29">
        <f t="shared" si="4"/>
        <v>1380</v>
      </c>
      <c r="M29" s="29">
        <f t="shared" si="5"/>
        <v>14041</v>
      </c>
      <c r="N29" s="29">
        <f t="shared" si="6"/>
        <v>2280</v>
      </c>
      <c r="O29" s="29">
        <f t="shared" si="7"/>
        <v>3660</v>
      </c>
      <c r="P29" s="29">
        <f t="shared" si="8"/>
        <v>1655</v>
      </c>
      <c r="Q29" s="32">
        <f t="shared" si="9"/>
        <v>6.1291930774161383</v>
      </c>
      <c r="R29" s="29">
        <f t="shared" si="10"/>
        <v>2160</v>
      </c>
      <c r="S29" s="32">
        <f t="shared" si="11"/>
        <v>7.999430240011395</v>
      </c>
      <c r="T29" s="27">
        <f t="shared" si="12"/>
        <v>2334.1010571124516</v>
      </c>
      <c r="U29" s="27">
        <f t="shared" si="13"/>
        <v>1788.3968747782903</v>
      </c>
      <c r="V29" s="27">
        <f t="shared" si="14"/>
        <v>545.70418233416126</v>
      </c>
      <c r="W29" s="9" t="str">
        <f t="shared" si="15"/>
        <v>OK</v>
      </c>
      <c r="X29" s="30">
        <f t="shared" si="16"/>
        <v>1.7312700040128526E-5</v>
      </c>
      <c r="Y29" s="29">
        <f t="shared" si="17"/>
        <v>0</v>
      </c>
      <c r="Z29" s="27">
        <f t="shared" si="18"/>
        <v>447.09921869457258</v>
      </c>
      <c r="AA29" s="27">
        <f t="shared" si="19"/>
        <v>307.91666666666669</v>
      </c>
      <c r="AB29" s="27">
        <f t="shared" si="20"/>
        <v>0</v>
      </c>
      <c r="AC29" s="64">
        <f t="shared" si="21"/>
        <v>2.9E-5</v>
      </c>
    </row>
    <row r="30" spans="1:29" ht="15" x14ac:dyDescent="0.35">
      <c r="A30" s="9" t="str">
        <f>ABC_XYZ!A30</f>
        <v>22457</v>
      </c>
      <c r="B30" s="9" t="str">
        <f>ABC_XYZ!B30</f>
        <v>NATURAL SLATE HEART CHALKBOARD</v>
      </c>
      <c r="C30" s="31" t="str">
        <f>ABC_XYZ!K30</f>
        <v>AX</v>
      </c>
      <c r="D30" s="9" t="str">
        <f>IF(AND(_xlfn.XLOOKUP(C30,BestClass,BestMethod)="Holt-Winters",ABC_XYZ!M30="No"),_xlfn.XLOOKUP(C30,BestClass,BestFlat),_xlfn.XLOOKUP(C30,BestClass,BestMethod))</f>
        <v>Moving average</v>
      </c>
      <c r="E30" s="32">
        <f>ABC_XYZ!G30</f>
        <v>156.69230769230768</v>
      </c>
      <c r="F30" s="32">
        <f>ABC_XYZ!H30</f>
        <v>69.601819466171349</v>
      </c>
      <c r="G30" s="34">
        <f>ABC_XYZ!N30*CostRatio</f>
        <v>1.8530706183680934</v>
      </c>
      <c r="H30" s="20">
        <f t="shared" si="0"/>
        <v>0.95</v>
      </c>
      <c r="I30" s="33">
        <f t="shared" si="1"/>
        <v>1.6448536269514715</v>
      </c>
      <c r="J30" s="29">
        <f t="shared" si="2"/>
        <v>543</v>
      </c>
      <c r="K30" s="29">
        <f t="shared" si="3"/>
        <v>199</v>
      </c>
      <c r="L30" s="29">
        <f t="shared" si="4"/>
        <v>742</v>
      </c>
      <c r="M30" s="29">
        <f t="shared" si="5"/>
        <v>8147.9999999999991</v>
      </c>
      <c r="N30" s="29">
        <f t="shared" si="6"/>
        <v>1327</v>
      </c>
      <c r="O30" s="29">
        <f t="shared" si="7"/>
        <v>2069</v>
      </c>
      <c r="P30" s="29">
        <f t="shared" si="8"/>
        <v>862.5</v>
      </c>
      <c r="Q30" s="32">
        <f t="shared" si="9"/>
        <v>5.5044182621502218</v>
      </c>
      <c r="R30" s="29">
        <f t="shared" si="10"/>
        <v>1254</v>
      </c>
      <c r="S30" s="32">
        <f t="shared" si="11"/>
        <v>8.0029455081001473</v>
      </c>
      <c r="T30" s="27">
        <f t="shared" si="12"/>
        <v>2323.7505554335889</v>
      </c>
      <c r="U30" s="27">
        <f t="shared" si="13"/>
        <v>1598.2734083424805</v>
      </c>
      <c r="V30" s="27">
        <f t="shared" si="14"/>
        <v>725.47714709110846</v>
      </c>
      <c r="W30" s="9" t="str">
        <f t="shared" si="15"/>
        <v>OK</v>
      </c>
      <c r="X30" s="30">
        <f t="shared" si="16"/>
        <v>1.8421520975309136E-9</v>
      </c>
      <c r="Y30" s="29">
        <f t="shared" si="17"/>
        <v>0</v>
      </c>
      <c r="Z30" s="27">
        <f t="shared" si="18"/>
        <v>399.56835208562012</v>
      </c>
      <c r="AA30" s="27">
        <f t="shared" si="19"/>
        <v>307.008289374529</v>
      </c>
      <c r="AB30" s="27">
        <f t="shared" si="20"/>
        <v>0</v>
      </c>
      <c r="AC30" s="64">
        <f t="shared" si="21"/>
        <v>3.0000000000000001E-5</v>
      </c>
    </row>
    <row r="31" spans="1:29" ht="15" x14ac:dyDescent="0.35">
      <c r="A31" s="9" t="str">
        <f>ABC_XYZ!A31</f>
        <v>21915</v>
      </c>
      <c r="B31" s="9" t="str">
        <f>ABC_XYZ!B31</f>
        <v>RED  HARMONICA IN BOX</v>
      </c>
      <c r="C31" s="31" t="str">
        <f>ABC_XYZ!K31</f>
        <v>AZ</v>
      </c>
      <c r="D31" s="9" t="str">
        <f>IF(AND(_xlfn.XLOOKUP(C31,BestClass,BestMethod)="Holt-Winters",ABC_XYZ!M31="No"),_xlfn.XLOOKUP(C31,BestClass,BestFlat),_xlfn.XLOOKUP(C31,BestClass,BestMethod))</f>
        <v>Holt-Winters</v>
      </c>
      <c r="E31" s="32">
        <f>ABC_XYZ!G31</f>
        <v>400.5</v>
      </c>
      <c r="F31" s="32">
        <f>ABC_XYZ!H31</f>
        <v>512.11807385468001</v>
      </c>
      <c r="G31" s="34">
        <f>ABC_XYZ!N31*CostRatio</f>
        <v>0.72510659072416594</v>
      </c>
      <c r="H31" s="20">
        <f t="shared" si="0"/>
        <v>0.95</v>
      </c>
      <c r="I31" s="33">
        <f t="shared" si="1"/>
        <v>1.6448536269514715</v>
      </c>
      <c r="J31" s="29">
        <f t="shared" si="2"/>
        <v>923.39959999999996</v>
      </c>
      <c r="K31" s="29">
        <f t="shared" si="3"/>
        <v>1460</v>
      </c>
      <c r="L31" s="29">
        <f t="shared" si="4"/>
        <v>2384</v>
      </c>
      <c r="M31" s="29">
        <f t="shared" si="5"/>
        <v>20826</v>
      </c>
      <c r="N31" s="29">
        <f t="shared" si="6"/>
        <v>3390</v>
      </c>
      <c r="O31" s="29">
        <f t="shared" si="7"/>
        <v>5774</v>
      </c>
      <c r="P31" s="29">
        <f t="shared" si="8"/>
        <v>3155</v>
      </c>
      <c r="Q31" s="32">
        <f t="shared" si="9"/>
        <v>7.8776529338327093</v>
      </c>
      <c r="R31" s="29">
        <f t="shared" si="10"/>
        <v>3204</v>
      </c>
      <c r="S31" s="32">
        <f t="shared" si="11"/>
        <v>8</v>
      </c>
      <c r="T31" s="27">
        <f t="shared" si="12"/>
        <v>2323.2415166802275</v>
      </c>
      <c r="U31" s="27">
        <f t="shared" si="13"/>
        <v>2287.7112937347438</v>
      </c>
      <c r="V31" s="27">
        <f t="shared" si="14"/>
        <v>35.530222945483729</v>
      </c>
      <c r="W31" s="9" t="str">
        <f t="shared" si="15"/>
        <v>OK</v>
      </c>
      <c r="X31" s="30">
        <f t="shared" si="16"/>
        <v>5.068846060514387E-3</v>
      </c>
      <c r="Y31" s="29">
        <f t="shared" si="17"/>
        <v>0</v>
      </c>
      <c r="Z31" s="27">
        <f t="shared" si="18"/>
        <v>571.92782343368594</v>
      </c>
      <c r="AA31" s="27">
        <f t="shared" si="19"/>
        <v>307.16814159292034</v>
      </c>
      <c r="AB31" s="27">
        <f t="shared" si="20"/>
        <v>0</v>
      </c>
      <c r="AC31" s="64">
        <f t="shared" si="21"/>
        <v>3.1000000000000001E-5</v>
      </c>
    </row>
    <row r="32" spans="1:29" ht="15" x14ac:dyDescent="0.35">
      <c r="A32" s="9" t="str">
        <f>ABC_XYZ!A32</f>
        <v>48138</v>
      </c>
      <c r="B32" s="9" t="str">
        <f>ABC_XYZ!B32</f>
        <v>DOORMAT UNION FLAG</v>
      </c>
      <c r="C32" s="31" t="str">
        <f>ABC_XYZ!K32</f>
        <v>AZ</v>
      </c>
      <c r="D32" s="9" t="str">
        <f>IF(AND(_xlfn.XLOOKUP(C32,BestClass,BestMethod)="Holt-Winters",ABC_XYZ!M32="No"),_xlfn.XLOOKUP(C32,BestClass,BestFlat),_xlfn.XLOOKUP(C32,BestClass,BestMethod))</f>
        <v>Naive</v>
      </c>
      <c r="E32" s="32">
        <f>ABC_XYZ!G32</f>
        <v>70.942307692307693</v>
      </c>
      <c r="F32" s="32">
        <f>ABC_XYZ!H32</f>
        <v>100.92190991282561</v>
      </c>
      <c r="G32" s="34">
        <f>ABC_XYZ!N32*CostRatio</f>
        <v>4.0583002421307501</v>
      </c>
      <c r="H32" s="20">
        <f t="shared" si="0"/>
        <v>0.95</v>
      </c>
      <c r="I32" s="33">
        <f t="shared" si="1"/>
        <v>1.6448536269514715</v>
      </c>
      <c r="J32" s="29">
        <f t="shared" si="2"/>
        <v>270</v>
      </c>
      <c r="K32" s="29">
        <f t="shared" si="3"/>
        <v>288</v>
      </c>
      <c r="L32" s="29">
        <f t="shared" si="4"/>
        <v>558</v>
      </c>
      <c r="M32" s="29">
        <f t="shared" si="5"/>
        <v>3689</v>
      </c>
      <c r="N32" s="29">
        <f t="shared" si="6"/>
        <v>603</v>
      </c>
      <c r="O32" s="29">
        <f t="shared" si="7"/>
        <v>1161</v>
      </c>
      <c r="P32" s="29">
        <f t="shared" si="8"/>
        <v>589.5</v>
      </c>
      <c r="Q32" s="32">
        <f t="shared" si="9"/>
        <v>8.3095689888858768</v>
      </c>
      <c r="R32" s="29">
        <f t="shared" si="10"/>
        <v>568</v>
      </c>
      <c r="S32" s="32">
        <f t="shared" si="11"/>
        <v>8.0065058281377066</v>
      </c>
      <c r="T32" s="27">
        <f t="shared" si="12"/>
        <v>2305.1145375302663</v>
      </c>
      <c r="U32" s="27">
        <f t="shared" si="13"/>
        <v>2392.3679927360772</v>
      </c>
      <c r="V32" s="27">
        <f t="shared" si="14"/>
        <v>-87.253455205810951</v>
      </c>
      <c r="W32" s="9" t="str">
        <f t="shared" si="15"/>
        <v>OK</v>
      </c>
      <c r="X32" s="30">
        <f t="shared" si="16"/>
        <v>4.4117059812141535E-2</v>
      </c>
      <c r="Y32" s="29">
        <f t="shared" si="17"/>
        <v>0</v>
      </c>
      <c r="Z32" s="27">
        <f t="shared" si="18"/>
        <v>598.0919981840193</v>
      </c>
      <c r="AA32" s="27">
        <f t="shared" si="19"/>
        <v>305.88723051409619</v>
      </c>
      <c r="AB32" s="27">
        <f t="shared" si="20"/>
        <v>0</v>
      </c>
      <c r="AC32" s="64">
        <f t="shared" si="21"/>
        <v>3.1999999999999999E-5</v>
      </c>
    </row>
    <row r="33" spans="1:29" ht="15" x14ac:dyDescent="0.35">
      <c r="A33" s="9" t="str">
        <f>ABC_XYZ!A33</f>
        <v>84946</v>
      </c>
      <c r="B33" s="9" t="str">
        <f>ABC_XYZ!B33</f>
        <v>ANTIQUE SILVER TEA GLASS ETCHED</v>
      </c>
      <c r="C33" s="31" t="str">
        <f>ABC_XYZ!K33</f>
        <v>AX</v>
      </c>
      <c r="D33" s="9" t="str">
        <f>IF(AND(_xlfn.XLOOKUP(C33,BestClass,BestMethod)="Holt-Winters",ABC_XYZ!M33="No"),_xlfn.XLOOKUP(C33,BestClass,BestFlat),_xlfn.XLOOKUP(C33,BestClass,BestMethod))</f>
        <v>Moving average</v>
      </c>
      <c r="E33" s="32">
        <f>ABC_XYZ!G33</f>
        <v>348.84615384615387</v>
      </c>
      <c r="F33" s="32">
        <f>ABC_XYZ!H33</f>
        <v>224.27612398300138</v>
      </c>
      <c r="G33" s="34">
        <f>ABC_XYZ!N33*CostRatio</f>
        <v>0.80569734062720044</v>
      </c>
      <c r="H33" s="20">
        <f t="shared" si="0"/>
        <v>0.95</v>
      </c>
      <c r="I33" s="33">
        <f t="shared" si="1"/>
        <v>1.6448536269514715</v>
      </c>
      <c r="J33" s="29">
        <f t="shared" si="2"/>
        <v>1740</v>
      </c>
      <c r="K33" s="29">
        <f t="shared" si="3"/>
        <v>639</v>
      </c>
      <c r="L33" s="29">
        <f t="shared" si="4"/>
        <v>2379</v>
      </c>
      <c r="M33" s="29">
        <f t="shared" si="5"/>
        <v>18140</v>
      </c>
      <c r="N33" s="29">
        <f t="shared" si="6"/>
        <v>3001</v>
      </c>
      <c r="O33" s="29">
        <f t="shared" si="7"/>
        <v>5380</v>
      </c>
      <c r="P33" s="29">
        <f t="shared" si="8"/>
        <v>2139.5</v>
      </c>
      <c r="Q33" s="32">
        <f t="shared" si="9"/>
        <v>6.1330760749724362</v>
      </c>
      <c r="R33" s="29">
        <f t="shared" si="10"/>
        <v>2791</v>
      </c>
      <c r="S33" s="32">
        <f t="shared" si="11"/>
        <v>8.000661521499449</v>
      </c>
      <c r="T33" s="27">
        <f t="shared" si="12"/>
        <v>2248.7012776905162</v>
      </c>
      <c r="U33" s="27">
        <f t="shared" si="13"/>
        <v>1723.7894602718955</v>
      </c>
      <c r="V33" s="27">
        <f t="shared" si="14"/>
        <v>524.91181741862079</v>
      </c>
      <c r="W33" s="9" t="str">
        <f t="shared" si="15"/>
        <v>OK</v>
      </c>
      <c r="X33" s="30">
        <f t="shared" si="16"/>
        <v>3.4093463797367773E-3</v>
      </c>
      <c r="Y33" s="29">
        <f t="shared" si="17"/>
        <v>0</v>
      </c>
      <c r="Z33" s="27">
        <f t="shared" si="18"/>
        <v>430.94736506797386</v>
      </c>
      <c r="AA33" s="27">
        <f t="shared" si="19"/>
        <v>302.23258913695435</v>
      </c>
      <c r="AB33" s="27">
        <f t="shared" si="20"/>
        <v>0</v>
      </c>
      <c r="AC33" s="64">
        <f t="shared" si="21"/>
        <v>3.3000000000000003E-5</v>
      </c>
    </row>
    <row r="34" spans="1:29" ht="15" x14ac:dyDescent="0.35">
      <c r="A34" s="9" t="str">
        <f>ABC_XYZ!A34</f>
        <v>22326</v>
      </c>
      <c r="B34" s="9" t="str">
        <f>ABC_XYZ!B34</f>
        <v>ROUND SNACK BOXES SET OF4 WOODLAND</v>
      </c>
      <c r="C34" s="31" t="str">
        <f>ABC_XYZ!K34</f>
        <v>AX</v>
      </c>
      <c r="D34" s="9" t="str">
        <f>IF(AND(_xlfn.XLOOKUP(C34,BestClass,BestMethod)="Holt-Winters",ABC_XYZ!M34="No"),_xlfn.XLOOKUP(C34,BestClass,BestFlat),_xlfn.XLOOKUP(C34,BestClass,BestMethod))</f>
        <v>Moving average</v>
      </c>
      <c r="E34" s="32">
        <f>ABC_XYZ!G34</f>
        <v>163.40384615384616</v>
      </c>
      <c r="F34" s="32">
        <f>ABC_XYZ!H34</f>
        <v>118.87747187020078</v>
      </c>
      <c r="G34" s="34">
        <f>ABC_XYZ!N34*CostRatio</f>
        <v>1.7039739894551842</v>
      </c>
      <c r="H34" s="20">
        <f t="shared" si="0"/>
        <v>0.95</v>
      </c>
      <c r="I34" s="33">
        <f t="shared" si="1"/>
        <v>1.6448536269514715</v>
      </c>
      <c r="J34" s="29">
        <f t="shared" si="2"/>
        <v>651.75</v>
      </c>
      <c r="K34" s="29">
        <f t="shared" si="3"/>
        <v>339</v>
      </c>
      <c r="L34" s="29">
        <f t="shared" si="4"/>
        <v>991</v>
      </c>
      <c r="M34" s="29">
        <f t="shared" si="5"/>
        <v>8497</v>
      </c>
      <c r="N34" s="29">
        <f t="shared" si="6"/>
        <v>1413</v>
      </c>
      <c r="O34" s="29">
        <f t="shared" si="7"/>
        <v>2404</v>
      </c>
      <c r="P34" s="29">
        <f t="shared" si="8"/>
        <v>1045.5</v>
      </c>
      <c r="Q34" s="32">
        <f t="shared" si="9"/>
        <v>6.398258208779569</v>
      </c>
      <c r="R34" s="29">
        <f t="shared" si="10"/>
        <v>1307</v>
      </c>
      <c r="S34" s="32">
        <f t="shared" si="11"/>
        <v>7.9985877368482994</v>
      </c>
      <c r="T34" s="27">
        <f t="shared" si="12"/>
        <v>2227.0940042179259</v>
      </c>
      <c r="U34" s="27">
        <f t="shared" si="13"/>
        <v>1781.5048059753951</v>
      </c>
      <c r="V34" s="27">
        <f t="shared" si="14"/>
        <v>445.58919824253076</v>
      </c>
      <c r="W34" s="9" t="str">
        <f t="shared" si="15"/>
        <v>OK</v>
      </c>
      <c r="X34" s="30">
        <f t="shared" si="16"/>
        <v>7.3044616365969262E-4</v>
      </c>
      <c r="Y34" s="29">
        <f t="shared" si="17"/>
        <v>0</v>
      </c>
      <c r="Z34" s="27">
        <f t="shared" si="18"/>
        <v>445.37620149384878</v>
      </c>
      <c r="AA34" s="27">
        <f t="shared" si="19"/>
        <v>300.67232837933477</v>
      </c>
      <c r="AB34" s="27">
        <f t="shared" si="20"/>
        <v>0</v>
      </c>
      <c r="AC34" s="64">
        <f t="shared" si="21"/>
        <v>3.4E-5</v>
      </c>
    </row>
    <row r="35" spans="1:29" ht="15" x14ac:dyDescent="0.35">
      <c r="A35" s="9" t="str">
        <f>ABC_XYZ!A35</f>
        <v>22666</v>
      </c>
      <c r="B35" s="9" t="str">
        <f>ABC_XYZ!B35</f>
        <v>RECIPE BOX PANTRY YELLOW DESIGN</v>
      </c>
      <c r="C35" s="31" t="str">
        <f>ABC_XYZ!K35</f>
        <v>AY</v>
      </c>
      <c r="D35" s="9" t="str">
        <f>IF(AND(_xlfn.XLOOKUP(C35,BestClass,BestMethod)="Holt-Winters",ABC_XYZ!M35="No"),_xlfn.XLOOKUP(C35,BestClass,BestFlat),_xlfn.XLOOKUP(C35,BestClass,BestMethod))</f>
        <v>Holt-Winters</v>
      </c>
      <c r="E35" s="32">
        <f>ABC_XYZ!G35</f>
        <v>147.44230769230768</v>
      </c>
      <c r="F35" s="32">
        <f>ABC_XYZ!H35</f>
        <v>133.57092754325777</v>
      </c>
      <c r="G35" s="34">
        <f>ABC_XYZ!N35*CostRatio</f>
        <v>1.8791953905249679</v>
      </c>
      <c r="H35" s="20">
        <f t="shared" si="0"/>
        <v>0.95</v>
      </c>
      <c r="I35" s="33">
        <f t="shared" si="1"/>
        <v>1.6448536269514715</v>
      </c>
      <c r="J35" s="29">
        <f t="shared" si="2"/>
        <v>358.77049999999997</v>
      </c>
      <c r="K35" s="29">
        <f t="shared" si="3"/>
        <v>381</v>
      </c>
      <c r="L35" s="29">
        <f t="shared" si="4"/>
        <v>740</v>
      </c>
      <c r="M35" s="29">
        <f t="shared" si="5"/>
        <v>7666.9999999999991</v>
      </c>
      <c r="N35" s="29">
        <f t="shared" si="6"/>
        <v>1278</v>
      </c>
      <c r="O35" s="29">
        <f t="shared" si="7"/>
        <v>2018</v>
      </c>
      <c r="P35" s="29">
        <f t="shared" si="8"/>
        <v>1020</v>
      </c>
      <c r="Q35" s="32">
        <f t="shared" si="9"/>
        <v>6.9179600886917969</v>
      </c>
      <c r="R35" s="29">
        <f t="shared" si="10"/>
        <v>1180</v>
      </c>
      <c r="S35" s="32">
        <f t="shared" si="11"/>
        <v>8.0031302986826667</v>
      </c>
      <c r="T35" s="27">
        <f t="shared" si="12"/>
        <v>2217.4505608194622</v>
      </c>
      <c r="U35" s="27">
        <f t="shared" si="13"/>
        <v>1916.7792983354673</v>
      </c>
      <c r="V35" s="27">
        <f t="shared" si="14"/>
        <v>300.67126248399495</v>
      </c>
      <c r="W35" s="9" t="str">
        <f t="shared" si="15"/>
        <v>OK</v>
      </c>
      <c r="X35" s="30">
        <f t="shared" si="16"/>
        <v>1.92833265030945E-4</v>
      </c>
      <c r="Y35" s="29">
        <f t="shared" si="17"/>
        <v>0</v>
      </c>
      <c r="Z35" s="27">
        <f t="shared" si="18"/>
        <v>479.19482458386682</v>
      </c>
      <c r="AA35" s="27">
        <f t="shared" si="19"/>
        <v>299.96087636932702</v>
      </c>
      <c r="AB35" s="27">
        <f t="shared" si="20"/>
        <v>0</v>
      </c>
      <c r="AC35" s="64">
        <f t="shared" si="21"/>
        <v>3.4999999999999997E-5</v>
      </c>
    </row>
    <row r="36" spans="1:29" ht="15" x14ac:dyDescent="0.35">
      <c r="A36" s="9" t="str">
        <f>ABC_XYZ!A36</f>
        <v>21621</v>
      </c>
      <c r="B36" s="9" t="str">
        <f>ABC_XYZ!B36</f>
        <v>VINTAGE UNION JACK BUNTING</v>
      </c>
      <c r="C36" s="31" t="str">
        <f>ABC_XYZ!K36</f>
        <v>AZ</v>
      </c>
      <c r="D36" s="9" t="str">
        <f>IF(AND(_xlfn.XLOOKUP(C36,BestClass,BestMethod)="Holt-Winters",ABC_XYZ!M36="No"),_xlfn.XLOOKUP(C36,BestClass,BestFlat),_xlfn.XLOOKUP(C36,BestClass,BestMethod))</f>
        <v>Naive</v>
      </c>
      <c r="E36" s="32">
        <f>ABC_XYZ!G36</f>
        <v>52.21153846153846</v>
      </c>
      <c r="F36" s="32">
        <f>ABC_XYZ!H36</f>
        <v>68.483384714107501</v>
      </c>
      <c r="G36" s="34">
        <f>ABC_XYZ!N36*CostRatio</f>
        <v>5.2811593146190301</v>
      </c>
      <c r="H36" s="20">
        <f t="shared" si="0"/>
        <v>0.95</v>
      </c>
      <c r="I36" s="33">
        <f t="shared" si="1"/>
        <v>1.6448536269514715</v>
      </c>
      <c r="J36" s="29">
        <f t="shared" si="2"/>
        <v>75</v>
      </c>
      <c r="K36" s="29">
        <f t="shared" si="3"/>
        <v>196</v>
      </c>
      <c r="L36" s="29">
        <f t="shared" si="4"/>
        <v>271</v>
      </c>
      <c r="M36" s="29">
        <f t="shared" si="5"/>
        <v>2715</v>
      </c>
      <c r="N36" s="29">
        <f t="shared" si="6"/>
        <v>454</v>
      </c>
      <c r="O36" s="29">
        <f t="shared" si="7"/>
        <v>725</v>
      </c>
      <c r="P36" s="29">
        <f t="shared" si="8"/>
        <v>423</v>
      </c>
      <c r="Q36" s="32">
        <f t="shared" si="9"/>
        <v>8.1016574585635368</v>
      </c>
      <c r="R36" s="29">
        <f t="shared" si="10"/>
        <v>418</v>
      </c>
      <c r="S36" s="32">
        <f t="shared" si="11"/>
        <v>8.0058931860036839</v>
      </c>
      <c r="T36" s="27">
        <f t="shared" si="12"/>
        <v>2207.5245935107546</v>
      </c>
      <c r="U36" s="27">
        <f t="shared" si="13"/>
        <v>2233.9303900838499</v>
      </c>
      <c r="V36" s="27">
        <f t="shared" si="14"/>
        <v>-26.405796573095358</v>
      </c>
      <c r="W36" s="9" t="str">
        <f t="shared" si="15"/>
        <v>OK</v>
      </c>
      <c r="X36" s="30">
        <f t="shared" si="16"/>
        <v>1.9160194798258923E-3</v>
      </c>
      <c r="Y36" s="29">
        <f t="shared" si="17"/>
        <v>0</v>
      </c>
      <c r="Z36" s="27">
        <f t="shared" si="18"/>
        <v>558.48259752096249</v>
      </c>
      <c r="AA36" s="27">
        <f t="shared" si="19"/>
        <v>299.0088105726872</v>
      </c>
      <c r="AB36" s="27">
        <f t="shared" si="20"/>
        <v>0</v>
      </c>
      <c r="AC36" s="64">
        <f t="shared" si="21"/>
        <v>3.6000000000000001E-5</v>
      </c>
    </row>
    <row r="37" spans="1:29" ht="15" x14ac:dyDescent="0.35">
      <c r="A37" s="9" t="str">
        <f>ABC_XYZ!A37</f>
        <v>48187</v>
      </c>
      <c r="B37" s="9" t="str">
        <f>ABC_XYZ!B37</f>
        <v>DOORMAT NEW ENGLAND</v>
      </c>
      <c r="C37" s="31" t="str">
        <f>ABC_XYZ!K37</f>
        <v>AZ</v>
      </c>
      <c r="D37" s="9" t="str">
        <f>IF(AND(_xlfn.XLOOKUP(C37,BestClass,BestMethod)="Holt-Winters",ABC_XYZ!M37="No"),_xlfn.XLOOKUP(C37,BestClass,BestFlat),_xlfn.XLOOKUP(C37,BestClass,BestMethod))</f>
        <v>Naive</v>
      </c>
      <c r="E37" s="32">
        <f>ABC_XYZ!G37</f>
        <v>71.211538461538467</v>
      </c>
      <c r="F37" s="32">
        <f>ABC_XYZ!H37</f>
        <v>122.21988165636772</v>
      </c>
      <c r="G37" s="34">
        <f>ABC_XYZ!N37*CostRatio</f>
        <v>3.7861958456973293</v>
      </c>
      <c r="H37" s="20">
        <f t="shared" ref="H37:H68" si="22">_xlfn.XLOOKUP(LEFT(C37,1),ClassList,ClassSL)</f>
        <v>0.95</v>
      </c>
      <c r="I37" s="33">
        <f t="shared" ref="I37:I68" si="23">_xlfn.NORM.S.INV(H37)</f>
        <v>1.6448536269514715</v>
      </c>
      <c r="J37" s="29">
        <f t="shared" ref="J37:J68" si="24">SUMIFS(FutUnits,FutCode,A37,FutMethod,D37,FutHorizon,"&lt;="&amp;LeadTime)</f>
        <v>288</v>
      </c>
      <c r="K37" s="29">
        <f t="shared" ref="K37:K68" si="25">ROUNDUP(I37*F37*SQRT(LeadTime),0)</f>
        <v>349</v>
      </c>
      <c r="L37" s="29">
        <f t="shared" ref="L37:L68" si="26">ROUNDUP(J37,0)+K37</f>
        <v>637</v>
      </c>
      <c r="M37" s="29">
        <f t="shared" ref="M37:M68" si="27">E37*WeeksPerYear</f>
        <v>3703.0000000000005</v>
      </c>
      <c r="N37" s="29">
        <f t="shared" ref="N37:N68" si="28">ROUNDUP(SQRT(2*M37*OrderCost/(HoldingRate*G37)),0)</f>
        <v>626</v>
      </c>
      <c r="O37" s="29">
        <f t="shared" ref="O37:O68" si="29">L37+N37</f>
        <v>1263</v>
      </c>
      <c r="P37" s="29">
        <f t="shared" ref="P37:P68" si="30">K37+N37/2</f>
        <v>662</v>
      </c>
      <c r="Q37" s="32">
        <f t="shared" ref="Q37:Q68" si="31">P37/E37</f>
        <v>9.2962462867944904</v>
      </c>
      <c r="R37" s="29">
        <f t="shared" ref="R37:R68" si="32">ROUND(CurrentCover*E37,0)</f>
        <v>570</v>
      </c>
      <c r="S37" s="32">
        <f t="shared" ref="S37:S68" si="33">R37/E37</f>
        <v>8.0043208209559804</v>
      </c>
      <c r="T37" s="27">
        <f t="shared" ref="T37:T68" si="34">R37*G37</f>
        <v>2158.1316320474775</v>
      </c>
      <c r="U37" s="27">
        <f t="shared" ref="U37:U68" si="35">P37*G37</f>
        <v>2506.461649851632</v>
      </c>
      <c r="V37" s="27">
        <f t="shared" ref="V37:V68" si="36">T37-U37</f>
        <v>-348.33001780415452</v>
      </c>
      <c r="W37" s="9" t="str">
        <f t="shared" ref="W37:W68" si="37">IF(R37&lt;=L37,"Reorder now",IF(R37&gt;O37,"Overstock","OK"))</f>
        <v>Reorder now</v>
      </c>
      <c r="X37" s="30">
        <f t="shared" ref="X37:X68" si="38">1-_xlfn.NORM.S.DIST((R37-J37)/(F37*SQRT(LeadTime)),TRUE)</f>
        <v>9.1408730210943645E-2</v>
      </c>
      <c r="Y37" s="29">
        <f t="shared" ref="Y37:Y68" si="39">IF(W37="Reorder now",O37-R37,0)</f>
        <v>693</v>
      </c>
      <c r="Z37" s="27">
        <f t="shared" ref="Z37:Z68" si="40">U37*HoldingRate</f>
        <v>626.61541246290801</v>
      </c>
      <c r="AA37" s="27">
        <f t="shared" ref="AA37:AA68" si="41">M37/N37*OrderCost</f>
        <v>295.76677316293933</v>
      </c>
      <c r="AB37" s="27">
        <f t="shared" ref="AB37:AB68" si="42">MAX(0,L37-R37)*G37</f>
        <v>253.67512166172105</v>
      </c>
      <c r="AC37" s="64">
        <f t="shared" ref="AC37:AC68" si="43">AB37+ROW()/1000000</f>
        <v>253.67515866172104</v>
      </c>
    </row>
    <row r="38" spans="1:29" ht="15" x14ac:dyDescent="0.35">
      <c r="A38" s="9" t="str">
        <f>ABC_XYZ!A38</f>
        <v>84347</v>
      </c>
      <c r="B38" s="9" t="str">
        <f>ABC_XYZ!B38</f>
        <v>ROTATING SILVER ANGELS T-LIGHT HLDR</v>
      </c>
      <c r="C38" s="31" t="str">
        <f>ABC_XYZ!K38</f>
        <v>AZ</v>
      </c>
      <c r="D38" s="9" t="str">
        <f>IF(AND(_xlfn.XLOOKUP(C38,BestClass,BestMethod)="Holt-Winters",ABC_XYZ!M38="No"),_xlfn.XLOOKUP(C38,BestClass,BestFlat),_xlfn.XLOOKUP(C38,BestClass,BestMethod))</f>
        <v>Holt-Winters</v>
      </c>
      <c r="E38" s="32">
        <f>ABC_XYZ!G38</f>
        <v>144.46153846153845</v>
      </c>
      <c r="F38" s="32">
        <f>ABC_XYZ!H38</f>
        <v>267.78484643814414</v>
      </c>
      <c r="G38" s="34">
        <f>ABC_XYZ!N38*CostRatio</f>
        <v>1.6695895495921504</v>
      </c>
      <c r="H38" s="20">
        <f t="shared" si="22"/>
        <v>0.95</v>
      </c>
      <c r="I38" s="33">
        <f t="shared" si="23"/>
        <v>1.6448536269514715</v>
      </c>
      <c r="J38" s="29">
        <f t="shared" si="24"/>
        <v>671.72209999999995</v>
      </c>
      <c r="K38" s="29">
        <f t="shared" si="25"/>
        <v>763</v>
      </c>
      <c r="L38" s="29">
        <f t="shared" si="26"/>
        <v>1435</v>
      </c>
      <c r="M38" s="29">
        <f t="shared" si="27"/>
        <v>7512</v>
      </c>
      <c r="N38" s="29">
        <f t="shared" si="28"/>
        <v>1342</v>
      </c>
      <c r="O38" s="29">
        <f t="shared" si="29"/>
        <v>2777</v>
      </c>
      <c r="P38" s="29">
        <f t="shared" si="30"/>
        <v>1434</v>
      </c>
      <c r="Q38" s="32">
        <f t="shared" si="31"/>
        <v>9.9265175718849843</v>
      </c>
      <c r="R38" s="29">
        <f t="shared" si="32"/>
        <v>1156</v>
      </c>
      <c r="S38" s="32">
        <f t="shared" si="33"/>
        <v>8.0021299254526088</v>
      </c>
      <c r="T38" s="27">
        <f t="shared" si="34"/>
        <v>1930.0455193285259</v>
      </c>
      <c r="U38" s="27">
        <f t="shared" si="35"/>
        <v>2394.1914141151437</v>
      </c>
      <c r="V38" s="27">
        <f t="shared" si="36"/>
        <v>-464.14589478661787</v>
      </c>
      <c r="W38" s="9" t="str">
        <f t="shared" si="37"/>
        <v>Reorder now</v>
      </c>
      <c r="X38" s="30">
        <f t="shared" si="38"/>
        <v>0.14821626526911436</v>
      </c>
      <c r="Y38" s="29">
        <f t="shared" si="39"/>
        <v>1621</v>
      </c>
      <c r="Z38" s="27">
        <f t="shared" si="40"/>
        <v>598.54785352878594</v>
      </c>
      <c r="AA38" s="27">
        <f t="shared" si="41"/>
        <v>279.88077496274218</v>
      </c>
      <c r="AB38" s="27">
        <f t="shared" si="42"/>
        <v>465.81548433620998</v>
      </c>
      <c r="AC38" s="64">
        <f t="shared" si="43"/>
        <v>465.81552233620999</v>
      </c>
    </row>
    <row r="39" spans="1:29" ht="15" x14ac:dyDescent="0.35">
      <c r="A39" s="9" t="str">
        <f>ABC_XYZ!A39</f>
        <v>15056N</v>
      </c>
      <c r="B39" s="9" t="str">
        <f>ABC_XYZ!B39</f>
        <v>EDWARDIAN PARASOL NATURAL</v>
      </c>
      <c r="C39" s="31" t="str">
        <f>ABC_XYZ!K39</f>
        <v>AY</v>
      </c>
      <c r="D39" s="9" t="str">
        <f>IF(AND(_xlfn.XLOOKUP(C39,BestClass,BestMethod)="Holt-Winters",ABC_XYZ!M39="No"),_xlfn.XLOOKUP(C39,BestClass,BestFlat),_xlfn.XLOOKUP(C39,BestClass,BestMethod))</f>
        <v>Moving average</v>
      </c>
      <c r="E39" s="32">
        <f>ABC_XYZ!G39</f>
        <v>75.865384615384613</v>
      </c>
      <c r="F39" s="32">
        <f>ABC_XYZ!H39</f>
        <v>65.890886883991584</v>
      </c>
      <c r="G39" s="34">
        <f>ABC_XYZ!N39*CostRatio</f>
        <v>3.4777560855667571</v>
      </c>
      <c r="H39" s="20">
        <f t="shared" si="22"/>
        <v>0.95</v>
      </c>
      <c r="I39" s="33">
        <f t="shared" si="23"/>
        <v>1.6448536269514715</v>
      </c>
      <c r="J39" s="29">
        <f t="shared" si="24"/>
        <v>141.75</v>
      </c>
      <c r="K39" s="29">
        <f t="shared" si="25"/>
        <v>188</v>
      </c>
      <c r="L39" s="29">
        <f t="shared" si="26"/>
        <v>330</v>
      </c>
      <c r="M39" s="29">
        <f t="shared" si="27"/>
        <v>3945</v>
      </c>
      <c r="N39" s="29">
        <f t="shared" si="28"/>
        <v>674</v>
      </c>
      <c r="O39" s="29">
        <f t="shared" si="29"/>
        <v>1004</v>
      </c>
      <c r="P39" s="29">
        <f t="shared" si="30"/>
        <v>525</v>
      </c>
      <c r="Q39" s="32">
        <f t="shared" si="31"/>
        <v>6.9201520912547529</v>
      </c>
      <c r="R39" s="29">
        <f t="shared" si="32"/>
        <v>607</v>
      </c>
      <c r="S39" s="32">
        <f t="shared" si="33"/>
        <v>8.0010139416983534</v>
      </c>
      <c r="T39" s="27">
        <f t="shared" si="34"/>
        <v>2110.9979439390218</v>
      </c>
      <c r="U39" s="27">
        <f t="shared" si="35"/>
        <v>1825.8219449225476</v>
      </c>
      <c r="V39" s="27">
        <f t="shared" si="36"/>
        <v>285.17599901647418</v>
      </c>
      <c r="W39" s="9" t="str">
        <f t="shared" si="37"/>
        <v>OK</v>
      </c>
      <c r="X39" s="30">
        <f t="shared" si="38"/>
        <v>2.2847381930257704E-5</v>
      </c>
      <c r="Y39" s="29">
        <f t="shared" si="39"/>
        <v>0</v>
      </c>
      <c r="Z39" s="27">
        <f t="shared" si="40"/>
        <v>456.45548623063689</v>
      </c>
      <c r="AA39" s="27">
        <f t="shared" si="41"/>
        <v>292.65578635014833</v>
      </c>
      <c r="AB39" s="27">
        <f t="shared" si="42"/>
        <v>0</v>
      </c>
      <c r="AC39" s="64">
        <f t="shared" si="43"/>
        <v>3.8999999999999999E-5</v>
      </c>
    </row>
    <row r="40" spans="1:29" ht="15" x14ac:dyDescent="0.35">
      <c r="A40" s="9" t="str">
        <f>ABC_XYZ!A40</f>
        <v>21731</v>
      </c>
      <c r="B40" s="9" t="str">
        <f>ABC_XYZ!B40</f>
        <v>RED TOADSTOOL LED NIGHT LIGHT</v>
      </c>
      <c r="C40" s="31" t="str">
        <f>ABC_XYZ!K40</f>
        <v>AY</v>
      </c>
      <c r="D40" s="9" t="str">
        <f>IF(AND(_xlfn.XLOOKUP(C40,BestClass,BestMethod)="Holt-Winters",ABC_XYZ!M40="No"),_xlfn.XLOOKUP(C40,BestClass,BestFlat),_xlfn.XLOOKUP(C40,BestClass,BestMethod))</f>
        <v>Holt-Winters</v>
      </c>
      <c r="E40" s="32">
        <f>ABC_XYZ!G40</f>
        <v>257.44230769230768</v>
      </c>
      <c r="F40" s="32">
        <f>ABC_XYZ!H40</f>
        <v>224.26546012780221</v>
      </c>
      <c r="G40" s="34">
        <f>ABC_XYZ!N40*CostRatio</f>
        <v>1.0137135478158206</v>
      </c>
      <c r="H40" s="20">
        <f t="shared" si="22"/>
        <v>0.95</v>
      </c>
      <c r="I40" s="33">
        <f t="shared" si="23"/>
        <v>1.6448536269514715</v>
      </c>
      <c r="J40" s="29">
        <f t="shared" si="24"/>
        <v>1018.7271000000001</v>
      </c>
      <c r="K40" s="29">
        <f t="shared" si="25"/>
        <v>639</v>
      </c>
      <c r="L40" s="29">
        <f t="shared" si="26"/>
        <v>1658</v>
      </c>
      <c r="M40" s="29">
        <f t="shared" si="27"/>
        <v>13387</v>
      </c>
      <c r="N40" s="29">
        <f t="shared" si="28"/>
        <v>2299</v>
      </c>
      <c r="O40" s="29">
        <f t="shared" si="29"/>
        <v>3957</v>
      </c>
      <c r="P40" s="29">
        <f t="shared" si="30"/>
        <v>1788.5</v>
      </c>
      <c r="Q40" s="32">
        <f t="shared" si="31"/>
        <v>6.9471875700306267</v>
      </c>
      <c r="R40" s="29">
        <f t="shared" si="32"/>
        <v>2060</v>
      </c>
      <c r="S40" s="32">
        <f t="shared" si="33"/>
        <v>8.0017927840442216</v>
      </c>
      <c r="T40" s="27">
        <f t="shared" si="34"/>
        <v>2088.2499085005902</v>
      </c>
      <c r="U40" s="27">
        <f t="shared" si="35"/>
        <v>1813.0266802685951</v>
      </c>
      <c r="V40" s="27">
        <f t="shared" si="36"/>
        <v>275.22322823199511</v>
      </c>
      <c r="W40" s="9" t="str">
        <f t="shared" si="37"/>
        <v>OK</v>
      </c>
      <c r="X40" s="30">
        <f t="shared" si="38"/>
        <v>3.6738691357520725E-3</v>
      </c>
      <c r="Y40" s="29">
        <f t="shared" si="39"/>
        <v>0</v>
      </c>
      <c r="Z40" s="27">
        <f t="shared" si="40"/>
        <v>453.25667006714878</v>
      </c>
      <c r="AA40" s="27">
        <f t="shared" si="41"/>
        <v>291.14832535885171</v>
      </c>
      <c r="AB40" s="27">
        <f t="shared" si="42"/>
        <v>0</v>
      </c>
      <c r="AC40" s="64">
        <f t="shared" si="43"/>
        <v>4.0000000000000003E-5</v>
      </c>
    </row>
    <row r="41" spans="1:29" ht="15" x14ac:dyDescent="0.35">
      <c r="A41" s="9" t="str">
        <f>ABC_XYZ!A41</f>
        <v>21623</v>
      </c>
      <c r="B41" s="9" t="str">
        <f>ABC_XYZ!B41</f>
        <v>VINTAGE UNION JACK MEMOBOARD</v>
      </c>
      <c r="C41" s="31" t="str">
        <f>ABC_XYZ!K41</f>
        <v>AZ</v>
      </c>
      <c r="D41" s="9" t="str">
        <f>IF(AND(_xlfn.XLOOKUP(C41,BestClass,BestMethod)="Holt-Winters",ABC_XYZ!M41="No"),_xlfn.XLOOKUP(C41,BestClass,BestFlat),_xlfn.XLOOKUP(C41,BestClass,BestMethod))</f>
        <v>Holt-Winters</v>
      </c>
      <c r="E41" s="32">
        <f>ABC_XYZ!G41</f>
        <v>61.980769230769234</v>
      </c>
      <c r="F41" s="32">
        <f>ABC_XYZ!H41</f>
        <v>199.75833344265973</v>
      </c>
      <c r="G41" s="34">
        <f>ABC_XYZ!N41*CostRatio</f>
        <v>4.2012699101332505</v>
      </c>
      <c r="H41" s="20">
        <f t="shared" si="22"/>
        <v>0.95</v>
      </c>
      <c r="I41" s="33">
        <f t="shared" si="23"/>
        <v>1.6448536269514715</v>
      </c>
      <c r="J41" s="29">
        <f t="shared" si="24"/>
        <v>143.8544</v>
      </c>
      <c r="K41" s="29">
        <f t="shared" si="25"/>
        <v>570</v>
      </c>
      <c r="L41" s="29">
        <f t="shared" si="26"/>
        <v>714</v>
      </c>
      <c r="M41" s="29">
        <f t="shared" si="27"/>
        <v>3223</v>
      </c>
      <c r="N41" s="29">
        <f t="shared" si="28"/>
        <v>554</v>
      </c>
      <c r="O41" s="29">
        <f t="shared" si="29"/>
        <v>1268</v>
      </c>
      <c r="P41" s="29">
        <f t="shared" si="30"/>
        <v>847</v>
      </c>
      <c r="Q41" s="32">
        <f t="shared" si="31"/>
        <v>13.665529010238908</v>
      </c>
      <c r="R41" s="29">
        <f t="shared" si="32"/>
        <v>496</v>
      </c>
      <c r="S41" s="32">
        <f t="shared" si="33"/>
        <v>8.0024821594787454</v>
      </c>
      <c r="T41" s="27">
        <f t="shared" si="34"/>
        <v>2083.8298754260923</v>
      </c>
      <c r="U41" s="27">
        <f t="shared" si="35"/>
        <v>3558.4756138828629</v>
      </c>
      <c r="V41" s="27">
        <f t="shared" si="36"/>
        <v>-1474.6457384567707</v>
      </c>
      <c r="W41" s="9" t="str">
        <f t="shared" si="37"/>
        <v>Reorder now</v>
      </c>
      <c r="X41" s="30">
        <f t="shared" si="38"/>
        <v>0.15438968843547163</v>
      </c>
      <c r="Y41" s="29">
        <f t="shared" si="39"/>
        <v>772</v>
      </c>
      <c r="Z41" s="27">
        <f t="shared" si="40"/>
        <v>889.61890347071574</v>
      </c>
      <c r="AA41" s="27">
        <f t="shared" si="41"/>
        <v>290.88447653429603</v>
      </c>
      <c r="AB41" s="27">
        <f t="shared" si="42"/>
        <v>915.87684040904855</v>
      </c>
      <c r="AC41" s="64">
        <f t="shared" si="43"/>
        <v>915.87688140904856</v>
      </c>
    </row>
    <row r="42" spans="1:29" ht="15" x14ac:dyDescent="0.35">
      <c r="A42" s="9" t="str">
        <f>ABC_XYZ!A42</f>
        <v>21929</v>
      </c>
      <c r="B42" s="9" t="str">
        <f>ABC_XYZ!B42</f>
        <v>JUMBO BAG PINK VINTAGE PAISLEY</v>
      </c>
      <c r="C42" s="31" t="str">
        <f>ABC_XYZ!K42</f>
        <v>AX</v>
      </c>
      <c r="D42" s="9" t="str">
        <f>IF(AND(_xlfn.XLOOKUP(C42,BestClass,BestMethod)="Holt-Winters",ABC_XYZ!M42="No"),_xlfn.XLOOKUP(C42,BestClass,BestFlat),_xlfn.XLOOKUP(C42,BestClass,BestMethod))</f>
        <v>Moving average</v>
      </c>
      <c r="E42" s="32">
        <f>ABC_XYZ!G42</f>
        <v>205.13461538461539</v>
      </c>
      <c r="F42" s="32">
        <f>ABC_XYZ!H42</f>
        <v>131.85435054890186</v>
      </c>
      <c r="G42" s="34">
        <f>ABC_XYZ!N42*CostRatio</f>
        <v>1.2617919000826521</v>
      </c>
      <c r="H42" s="20">
        <f t="shared" si="22"/>
        <v>0.95</v>
      </c>
      <c r="I42" s="33">
        <f t="shared" si="23"/>
        <v>1.6448536269514715</v>
      </c>
      <c r="J42" s="29">
        <f t="shared" si="24"/>
        <v>476.625</v>
      </c>
      <c r="K42" s="29">
        <f t="shared" si="25"/>
        <v>376</v>
      </c>
      <c r="L42" s="29">
        <f t="shared" si="26"/>
        <v>853</v>
      </c>
      <c r="M42" s="29">
        <f t="shared" si="27"/>
        <v>10667</v>
      </c>
      <c r="N42" s="29">
        <f t="shared" si="28"/>
        <v>1839</v>
      </c>
      <c r="O42" s="29">
        <f t="shared" si="29"/>
        <v>2692</v>
      </c>
      <c r="P42" s="29">
        <f t="shared" si="30"/>
        <v>1295.5</v>
      </c>
      <c r="Q42" s="32">
        <f t="shared" si="31"/>
        <v>6.3153651448392241</v>
      </c>
      <c r="R42" s="29">
        <f t="shared" si="32"/>
        <v>1641</v>
      </c>
      <c r="S42" s="32">
        <f t="shared" si="33"/>
        <v>7.9996250117183836</v>
      </c>
      <c r="T42" s="27">
        <f t="shared" si="34"/>
        <v>2070.6005080356322</v>
      </c>
      <c r="U42" s="27">
        <f t="shared" si="35"/>
        <v>1634.6514065570757</v>
      </c>
      <c r="V42" s="27">
        <f t="shared" si="36"/>
        <v>435.94910147855649</v>
      </c>
      <c r="W42" s="9" t="str">
        <f t="shared" si="37"/>
        <v>OK</v>
      </c>
      <c r="X42" s="30">
        <f t="shared" si="38"/>
        <v>1.7122705220362633E-7</v>
      </c>
      <c r="Y42" s="29">
        <f t="shared" si="39"/>
        <v>0</v>
      </c>
      <c r="Z42" s="27">
        <f t="shared" si="40"/>
        <v>408.66285163926892</v>
      </c>
      <c r="AA42" s="27">
        <f t="shared" si="41"/>
        <v>290.02175095160413</v>
      </c>
      <c r="AB42" s="27">
        <f t="shared" si="42"/>
        <v>0</v>
      </c>
      <c r="AC42" s="64">
        <f t="shared" si="43"/>
        <v>4.1999999999999998E-5</v>
      </c>
    </row>
    <row r="43" spans="1:29" ht="15" x14ac:dyDescent="0.35">
      <c r="A43" s="9" t="str">
        <f>ABC_XYZ!A43</f>
        <v>22090</v>
      </c>
      <c r="B43" s="9" t="str">
        <f>ABC_XYZ!B43</f>
        <v>PAPER BUNTING RETROSPOT</v>
      </c>
      <c r="C43" s="31" t="str">
        <f>ABC_XYZ!K43</f>
        <v>AX</v>
      </c>
      <c r="D43" s="9" t="str">
        <f>IF(AND(_xlfn.XLOOKUP(C43,BestClass,BestMethod)="Holt-Winters",ABC_XYZ!M43="No"),_xlfn.XLOOKUP(C43,BestClass,BestFlat),_xlfn.XLOOKUP(C43,BestClass,BestMethod))</f>
        <v>Moving average</v>
      </c>
      <c r="E43" s="32">
        <f>ABC_XYZ!G43</f>
        <v>142.98076923076923</v>
      </c>
      <c r="F43" s="32">
        <f>ABC_XYZ!H43</f>
        <v>99.831326449031778</v>
      </c>
      <c r="G43" s="34">
        <f>ABC_XYZ!N43*CostRatio</f>
        <v>1.805384574397229</v>
      </c>
      <c r="H43" s="20">
        <f t="shared" si="22"/>
        <v>0.95</v>
      </c>
      <c r="I43" s="33">
        <f t="shared" si="23"/>
        <v>1.6448536269514715</v>
      </c>
      <c r="J43" s="29">
        <f t="shared" si="24"/>
        <v>203.625</v>
      </c>
      <c r="K43" s="29">
        <f t="shared" si="25"/>
        <v>285</v>
      </c>
      <c r="L43" s="29">
        <f t="shared" si="26"/>
        <v>489</v>
      </c>
      <c r="M43" s="29">
        <f t="shared" si="27"/>
        <v>7435</v>
      </c>
      <c r="N43" s="29">
        <f t="shared" si="28"/>
        <v>1284</v>
      </c>
      <c r="O43" s="29">
        <f t="shared" si="29"/>
        <v>1773</v>
      </c>
      <c r="P43" s="29">
        <f t="shared" si="30"/>
        <v>927</v>
      </c>
      <c r="Q43" s="32">
        <f t="shared" si="31"/>
        <v>6.4833893745796907</v>
      </c>
      <c r="R43" s="29">
        <f t="shared" si="32"/>
        <v>1144</v>
      </c>
      <c r="S43" s="32">
        <f t="shared" si="33"/>
        <v>8.00107599193006</v>
      </c>
      <c r="T43" s="27">
        <f t="shared" si="34"/>
        <v>2065.3599531104301</v>
      </c>
      <c r="U43" s="27">
        <f t="shared" si="35"/>
        <v>1673.5915004662313</v>
      </c>
      <c r="V43" s="27">
        <f t="shared" si="36"/>
        <v>391.76845264419876</v>
      </c>
      <c r="W43" s="9" t="str">
        <f t="shared" si="37"/>
        <v>OK</v>
      </c>
      <c r="X43" s="30">
        <f t="shared" si="38"/>
        <v>2.6875941250281699E-8</v>
      </c>
      <c r="Y43" s="29">
        <f t="shared" si="39"/>
        <v>0</v>
      </c>
      <c r="Z43" s="27">
        <f t="shared" si="40"/>
        <v>418.39787511655783</v>
      </c>
      <c r="AA43" s="27">
        <f t="shared" si="41"/>
        <v>289.52492211838006</v>
      </c>
      <c r="AB43" s="27">
        <f t="shared" si="42"/>
        <v>0</v>
      </c>
      <c r="AC43" s="64">
        <f t="shared" si="43"/>
        <v>4.3000000000000002E-5</v>
      </c>
    </row>
    <row r="44" spans="1:29" ht="15" x14ac:dyDescent="0.35">
      <c r="A44" s="9" t="str">
        <f>ABC_XYZ!A44</f>
        <v>22111</v>
      </c>
      <c r="B44" s="9" t="str">
        <f>ABC_XYZ!B44</f>
        <v>SCOTTIE DOG HOT WATER BOTTLE</v>
      </c>
      <c r="C44" s="31" t="str">
        <f>ABC_XYZ!K44</f>
        <v>AZ</v>
      </c>
      <c r="D44" s="9" t="str">
        <f>IF(AND(_xlfn.XLOOKUP(C44,BestClass,BestMethod)="Holt-Winters",ABC_XYZ!M44="No"),_xlfn.XLOOKUP(C44,BestClass,BestFlat),_xlfn.XLOOKUP(C44,BestClass,BestMethod))</f>
        <v>Holt-Winters</v>
      </c>
      <c r="E44" s="32">
        <f>ABC_XYZ!G44</f>
        <v>82.92307692307692</v>
      </c>
      <c r="F44" s="32">
        <f>ABC_XYZ!H44</f>
        <v>133.6123814495551</v>
      </c>
      <c r="G44" s="34">
        <f>ABC_XYZ!N44*CostRatio</f>
        <v>3.1363100137174214</v>
      </c>
      <c r="H44" s="20">
        <f t="shared" si="22"/>
        <v>0.95</v>
      </c>
      <c r="I44" s="33">
        <f t="shared" si="23"/>
        <v>1.6448536269514715</v>
      </c>
      <c r="J44" s="29">
        <f t="shared" si="24"/>
        <v>709.86040000000003</v>
      </c>
      <c r="K44" s="29">
        <f t="shared" si="25"/>
        <v>381</v>
      </c>
      <c r="L44" s="29">
        <f t="shared" si="26"/>
        <v>1091</v>
      </c>
      <c r="M44" s="29">
        <f t="shared" si="27"/>
        <v>4312</v>
      </c>
      <c r="N44" s="29">
        <f t="shared" si="28"/>
        <v>742</v>
      </c>
      <c r="O44" s="29">
        <f t="shared" si="29"/>
        <v>1833</v>
      </c>
      <c r="P44" s="29">
        <f t="shared" si="30"/>
        <v>752</v>
      </c>
      <c r="Q44" s="32">
        <f t="shared" si="31"/>
        <v>9.0686456400742124</v>
      </c>
      <c r="R44" s="29">
        <f t="shared" si="32"/>
        <v>663</v>
      </c>
      <c r="S44" s="32">
        <f t="shared" si="33"/>
        <v>7.9953617810760669</v>
      </c>
      <c r="T44" s="27">
        <f t="shared" si="34"/>
        <v>2079.3735390946504</v>
      </c>
      <c r="U44" s="27">
        <f t="shared" si="35"/>
        <v>2358.505130315501</v>
      </c>
      <c r="V44" s="27">
        <f t="shared" si="36"/>
        <v>-279.13159122085062</v>
      </c>
      <c r="W44" s="9" t="str">
        <f t="shared" si="37"/>
        <v>Reorder now</v>
      </c>
      <c r="X44" s="30">
        <f t="shared" si="38"/>
        <v>0.58023226555705132</v>
      </c>
      <c r="Y44" s="29">
        <f t="shared" si="39"/>
        <v>1170</v>
      </c>
      <c r="Z44" s="27">
        <f t="shared" si="40"/>
        <v>589.62628257887525</v>
      </c>
      <c r="AA44" s="27">
        <f t="shared" si="41"/>
        <v>290.56603773584902</v>
      </c>
      <c r="AB44" s="27">
        <f t="shared" si="42"/>
        <v>1342.3406858710564</v>
      </c>
      <c r="AC44" s="64">
        <f t="shared" si="43"/>
        <v>1342.3407298710563</v>
      </c>
    </row>
    <row r="45" spans="1:29" ht="15" x14ac:dyDescent="0.35">
      <c r="A45" s="9" t="str">
        <f>ABC_XYZ!A45</f>
        <v>21181</v>
      </c>
      <c r="B45" s="9" t="str">
        <f>ABC_XYZ!B45</f>
        <v>PLEASE ONE PERSON METAL SIGN</v>
      </c>
      <c r="C45" s="31" t="str">
        <f>ABC_XYZ!K45</f>
        <v>AY</v>
      </c>
      <c r="D45" s="9" t="str">
        <f>IF(AND(_xlfn.XLOOKUP(C45,BestClass,BestMethod)="Holt-Winters",ABC_XYZ!M45="No"),_xlfn.XLOOKUP(C45,BestClass,BestFlat),_xlfn.XLOOKUP(C45,BestClass,BestMethod))</f>
        <v>Holt-Winters</v>
      </c>
      <c r="E45" s="32">
        <f>ABC_XYZ!G45</f>
        <v>210.23076923076923</v>
      </c>
      <c r="F45" s="32">
        <f>ABC_XYZ!H45</f>
        <v>256.19658623681283</v>
      </c>
      <c r="G45" s="34">
        <f>ABC_XYZ!N45*CostRatio</f>
        <v>1.225968562602217</v>
      </c>
      <c r="H45" s="20">
        <f t="shared" si="22"/>
        <v>0.95</v>
      </c>
      <c r="I45" s="33">
        <f t="shared" si="23"/>
        <v>1.6448536269514715</v>
      </c>
      <c r="J45" s="29">
        <f t="shared" si="24"/>
        <v>285.36180000000002</v>
      </c>
      <c r="K45" s="29">
        <f t="shared" si="25"/>
        <v>730</v>
      </c>
      <c r="L45" s="29">
        <f t="shared" si="26"/>
        <v>1016</v>
      </c>
      <c r="M45" s="29">
        <f t="shared" si="27"/>
        <v>10932</v>
      </c>
      <c r="N45" s="29">
        <f t="shared" si="28"/>
        <v>1889</v>
      </c>
      <c r="O45" s="29">
        <f t="shared" si="29"/>
        <v>2905</v>
      </c>
      <c r="P45" s="29">
        <f t="shared" si="30"/>
        <v>1674.5</v>
      </c>
      <c r="Q45" s="32">
        <f t="shared" si="31"/>
        <v>7.9650567142334436</v>
      </c>
      <c r="R45" s="29">
        <f t="shared" si="32"/>
        <v>1682</v>
      </c>
      <c r="S45" s="32">
        <f t="shared" si="33"/>
        <v>8.0007317965605562</v>
      </c>
      <c r="T45" s="27">
        <f t="shared" si="34"/>
        <v>2062.0791222969287</v>
      </c>
      <c r="U45" s="27">
        <f t="shared" si="35"/>
        <v>2052.8843580774123</v>
      </c>
      <c r="V45" s="27">
        <f t="shared" si="36"/>
        <v>9.1947642195164008</v>
      </c>
      <c r="W45" s="9" t="str">
        <f t="shared" si="37"/>
        <v>OK</v>
      </c>
      <c r="X45" s="30">
        <f t="shared" si="38"/>
        <v>8.2368783847319715E-4</v>
      </c>
      <c r="Y45" s="29">
        <f t="shared" si="39"/>
        <v>0</v>
      </c>
      <c r="Z45" s="27">
        <f t="shared" si="40"/>
        <v>513.22108951935309</v>
      </c>
      <c r="AA45" s="27">
        <f t="shared" si="41"/>
        <v>289.35944944415036</v>
      </c>
      <c r="AB45" s="27">
        <f t="shared" si="42"/>
        <v>0</v>
      </c>
      <c r="AC45" s="64">
        <f t="shared" si="43"/>
        <v>4.5000000000000003E-5</v>
      </c>
    </row>
    <row r="46" spans="1:29" ht="15" x14ac:dyDescent="0.35">
      <c r="A46" s="9" t="str">
        <f>ABC_XYZ!A46</f>
        <v>84997D</v>
      </c>
      <c r="B46" s="9" t="str">
        <f>ABC_XYZ!B46</f>
        <v>PINK 3 PIECE MINI DOTS CUTLERY SET</v>
      </c>
      <c r="C46" s="31" t="str">
        <f>ABC_XYZ!K46</f>
        <v>AY</v>
      </c>
      <c r="D46" s="9" t="str">
        <f>IF(AND(_xlfn.XLOOKUP(C46,BestClass,BestMethod)="Holt-Winters",ABC_XYZ!M46="No"),_xlfn.XLOOKUP(C46,BestClass,BestFlat),_xlfn.XLOOKUP(C46,BestClass,BestMethod))</f>
        <v>Moving average</v>
      </c>
      <c r="E46" s="32">
        <f>ABC_XYZ!G46</f>
        <v>104.09615384615384</v>
      </c>
      <c r="F46" s="32">
        <f>ABC_XYZ!H46</f>
        <v>108.07373293091585</v>
      </c>
      <c r="G46" s="34">
        <f>ABC_XYZ!N46*CostRatio</f>
        <v>2.4617234277307833</v>
      </c>
      <c r="H46" s="20">
        <f t="shared" si="22"/>
        <v>0.95</v>
      </c>
      <c r="I46" s="33">
        <f t="shared" si="23"/>
        <v>1.6448536269514715</v>
      </c>
      <c r="J46" s="29">
        <f t="shared" si="24"/>
        <v>464.625</v>
      </c>
      <c r="K46" s="29">
        <f t="shared" si="25"/>
        <v>308</v>
      </c>
      <c r="L46" s="29">
        <f t="shared" si="26"/>
        <v>773</v>
      </c>
      <c r="M46" s="29">
        <f t="shared" si="27"/>
        <v>5413</v>
      </c>
      <c r="N46" s="29">
        <f t="shared" si="28"/>
        <v>938</v>
      </c>
      <c r="O46" s="29">
        <f t="shared" si="29"/>
        <v>1711</v>
      </c>
      <c r="P46" s="29">
        <f t="shared" si="30"/>
        <v>777</v>
      </c>
      <c r="Q46" s="32">
        <f t="shared" si="31"/>
        <v>7.4642527249214856</v>
      </c>
      <c r="R46" s="29">
        <f t="shared" si="32"/>
        <v>833</v>
      </c>
      <c r="S46" s="32">
        <f t="shared" si="33"/>
        <v>8.0022168852761872</v>
      </c>
      <c r="T46" s="27">
        <f t="shared" si="34"/>
        <v>2050.6156152997423</v>
      </c>
      <c r="U46" s="27">
        <f t="shared" si="35"/>
        <v>1912.7591033468186</v>
      </c>
      <c r="V46" s="27">
        <f t="shared" si="36"/>
        <v>137.85651195292371</v>
      </c>
      <c r="W46" s="9" t="str">
        <f t="shared" si="37"/>
        <v>OK</v>
      </c>
      <c r="X46" s="30">
        <f t="shared" si="38"/>
        <v>2.4538118542616449E-2</v>
      </c>
      <c r="Y46" s="29">
        <f t="shared" si="39"/>
        <v>0</v>
      </c>
      <c r="Z46" s="27">
        <f t="shared" si="40"/>
        <v>478.18977583670465</v>
      </c>
      <c r="AA46" s="27">
        <f t="shared" si="41"/>
        <v>288.53944562899784</v>
      </c>
      <c r="AB46" s="27">
        <f t="shared" si="42"/>
        <v>0</v>
      </c>
      <c r="AC46" s="64">
        <f t="shared" si="43"/>
        <v>4.6E-5</v>
      </c>
    </row>
    <row r="47" spans="1:29" ht="15" x14ac:dyDescent="0.35">
      <c r="A47" s="9" t="str">
        <f>ABC_XYZ!A47</f>
        <v>22189</v>
      </c>
      <c r="B47" s="9" t="str">
        <f>ABC_XYZ!B47</f>
        <v>CREAM HEART CARD HOLDER</v>
      </c>
      <c r="C47" s="31" t="str">
        <f>ABC_XYZ!K47</f>
        <v>AZ</v>
      </c>
      <c r="D47" s="9" t="str">
        <f>IF(AND(_xlfn.XLOOKUP(C47,BestClass,BestMethod)="Holt-Winters",ABC_XYZ!M47="No"),_xlfn.XLOOKUP(C47,BestClass,BestFlat),_xlfn.XLOOKUP(C47,BestClass,BestMethod))</f>
        <v>Holt-Winters</v>
      </c>
      <c r="E47" s="32">
        <f>ABC_XYZ!G47</f>
        <v>151.63461538461539</v>
      </c>
      <c r="F47" s="32">
        <f>ABC_XYZ!H47</f>
        <v>323.1967183903335</v>
      </c>
      <c r="G47" s="34">
        <f>ABC_XYZ!N47*CostRatio</f>
        <v>1.6772246294184721</v>
      </c>
      <c r="H47" s="20">
        <f t="shared" si="22"/>
        <v>0.95</v>
      </c>
      <c r="I47" s="33">
        <f t="shared" si="23"/>
        <v>1.6448536269514715</v>
      </c>
      <c r="J47" s="29">
        <f t="shared" si="24"/>
        <v>367.99079999999992</v>
      </c>
      <c r="K47" s="29">
        <f t="shared" si="25"/>
        <v>921</v>
      </c>
      <c r="L47" s="29">
        <f t="shared" si="26"/>
        <v>1289</v>
      </c>
      <c r="M47" s="29">
        <f t="shared" si="27"/>
        <v>7885</v>
      </c>
      <c r="N47" s="29">
        <f t="shared" si="28"/>
        <v>1372</v>
      </c>
      <c r="O47" s="29">
        <f t="shared" si="29"/>
        <v>2661</v>
      </c>
      <c r="P47" s="29">
        <f t="shared" si="30"/>
        <v>1607</v>
      </c>
      <c r="Q47" s="32">
        <f t="shared" si="31"/>
        <v>10.597844007609385</v>
      </c>
      <c r="R47" s="29">
        <f t="shared" si="32"/>
        <v>1213</v>
      </c>
      <c r="S47" s="32">
        <f t="shared" si="33"/>
        <v>7.999492707672796</v>
      </c>
      <c r="T47" s="27">
        <f t="shared" si="34"/>
        <v>2034.4734754846065</v>
      </c>
      <c r="U47" s="27">
        <f t="shared" si="35"/>
        <v>2695.2999794754846</v>
      </c>
      <c r="V47" s="27">
        <f t="shared" si="36"/>
        <v>-660.82650399087811</v>
      </c>
      <c r="W47" s="9" t="str">
        <f t="shared" si="37"/>
        <v>Reorder now</v>
      </c>
      <c r="X47" s="30">
        <f t="shared" si="38"/>
        <v>6.5585194748666864E-2</v>
      </c>
      <c r="Y47" s="29">
        <f t="shared" si="39"/>
        <v>1448</v>
      </c>
      <c r="Z47" s="27">
        <f t="shared" si="40"/>
        <v>673.82499486887116</v>
      </c>
      <c r="AA47" s="27">
        <f t="shared" si="41"/>
        <v>287.3542274052478</v>
      </c>
      <c r="AB47" s="27">
        <f t="shared" si="42"/>
        <v>127.46907183580387</v>
      </c>
      <c r="AC47" s="64">
        <f t="shared" si="43"/>
        <v>127.46911883580387</v>
      </c>
    </row>
    <row r="48" spans="1:29" ht="15" x14ac:dyDescent="0.35">
      <c r="A48" s="9" t="str">
        <f>ABC_XYZ!A48</f>
        <v>21733</v>
      </c>
      <c r="B48" s="9" t="str">
        <f>ABC_XYZ!B48</f>
        <v>RED HANGING HEART T-LIGHT HOLDER</v>
      </c>
      <c r="C48" s="31" t="str">
        <f>ABC_XYZ!K48</f>
        <v>AY</v>
      </c>
      <c r="D48" s="9" t="str">
        <f>IF(AND(_xlfn.XLOOKUP(C48,BestClass,BestMethod)="Holt-Winters",ABC_XYZ!M48="No"),_xlfn.XLOOKUP(C48,BestClass,BestFlat),_xlfn.XLOOKUP(C48,BestClass,BestMethod))</f>
        <v>Holt-Winters</v>
      </c>
      <c r="E48" s="32">
        <f>ABC_XYZ!G48</f>
        <v>143</v>
      </c>
      <c r="F48" s="32">
        <f>ABC_XYZ!H48</f>
        <v>174.728809481279</v>
      </c>
      <c r="G48" s="34">
        <f>ABC_XYZ!N48*CostRatio</f>
        <v>1.7732939919893189</v>
      </c>
      <c r="H48" s="20">
        <f t="shared" si="22"/>
        <v>0.95</v>
      </c>
      <c r="I48" s="33">
        <f t="shared" si="23"/>
        <v>1.6448536269514715</v>
      </c>
      <c r="J48" s="29">
        <f t="shared" si="24"/>
        <v>440.10300000000007</v>
      </c>
      <c r="K48" s="29">
        <f t="shared" si="25"/>
        <v>498</v>
      </c>
      <c r="L48" s="29">
        <f t="shared" si="26"/>
        <v>939</v>
      </c>
      <c r="M48" s="29">
        <f t="shared" si="27"/>
        <v>7436</v>
      </c>
      <c r="N48" s="29">
        <f t="shared" si="28"/>
        <v>1296</v>
      </c>
      <c r="O48" s="29">
        <f t="shared" si="29"/>
        <v>2235</v>
      </c>
      <c r="P48" s="29">
        <f t="shared" si="30"/>
        <v>1146</v>
      </c>
      <c r="Q48" s="32">
        <f t="shared" si="31"/>
        <v>8.0139860139860133</v>
      </c>
      <c r="R48" s="29">
        <f t="shared" si="32"/>
        <v>1144</v>
      </c>
      <c r="S48" s="32">
        <f t="shared" si="33"/>
        <v>8</v>
      </c>
      <c r="T48" s="27">
        <f t="shared" si="34"/>
        <v>2028.6483268357808</v>
      </c>
      <c r="U48" s="27">
        <f t="shared" si="35"/>
        <v>2032.1949148197596</v>
      </c>
      <c r="V48" s="27">
        <f t="shared" si="36"/>
        <v>-3.5465879839787249</v>
      </c>
      <c r="W48" s="9" t="str">
        <f t="shared" si="37"/>
        <v>OK</v>
      </c>
      <c r="X48" s="30">
        <f t="shared" si="38"/>
        <v>1.0012953216329445E-2</v>
      </c>
      <c r="Y48" s="29">
        <f t="shared" si="39"/>
        <v>0</v>
      </c>
      <c r="Z48" s="27">
        <f t="shared" si="40"/>
        <v>508.04872870493989</v>
      </c>
      <c r="AA48" s="27">
        <f t="shared" si="41"/>
        <v>286.88271604938274</v>
      </c>
      <c r="AB48" s="27">
        <f t="shared" si="42"/>
        <v>0</v>
      </c>
      <c r="AC48" s="64">
        <f t="shared" si="43"/>
        <v>4.8000000000000001E-5</v>
      </c>
    </row>
    <row r="49" spans="1:29" ht="15" x14ac:dyDescent="0.35">
      <c r="A49" s="9" t="str">
        <f>ABC_XYZ!A49</f>
        <v>21175</v>
      </c>
      <c r="B49" s="9" t="str">
        <f>ABC_XYZ!B49</f>
        <v>GIN + TONIC DIET METAL SIGN</v>
      </c>
      <c r="C49" s="31" t="str">
        <f>ABC_XYZ!K49</f>
        <v>AZ</v>
      </c>
      <c r="D49" s="9" t="str">
        <f>IF(AND(_xlfn.XLOOKUP(C49,BestClass,BestMethod)="Holt-Winters",ABC_XYZ!M49="No"),_xlfn.XLOOKUP(C49,BestClass,BestFlat),_xlfn.XLOOKUP(C49,BestClass,BestMethod))</f>
        <v>Naive</v>
      </c>
      <c r="E49" s="32">
        <f>ABC_XYZ!G49</f>
        <v>185.82692307692307</v>
      </c>
      <c r="F49" s="32">
        <f>ABC_XYZ!H49</f>
        <v>292.95678066801338</v>
      </c>
      <c r="G49" s="34">
        <f>ABC_XYZ!N49*CostRatio</f>
        <v>1.3218636791242624</v>
      </c>
      <c r="H49" s="20">
        <f t="shared" si="22"/>
        <v>0.95</v>
      </c>
      <c r="I49" s="33">
        <f t="shared" si="23"/>
        <v>1.6448536269514715</v>
      </c>
      <c r="J49" s="29">
        <f t="shared" si="24"/>
        <v>1011</v>
      </c>
      <c r="K49" s="29">
        <f t="shared" si="25"/>
        <v>835</v>
      </c>
      <c r="L49" s="29">
        <f t="shared" si="26"/>
        <v>1846</v>
      </c>
      <c r="M49" s="29">
        <f t="shared" si="27"/>
        <v>9663</v>
      </c>
      <c r="N49" s="29">
        <f t="shared" si="28"/>
        <v>1710</v>
      </c>
      <c r="O49" s="29">
        <f t="shared" si="29"/>
        <v>3556</v>
      </c>
      <c r="P49" s="29">
        <f t="shared" si="30"/>
        <v>1690</v>
      </c>
      <c r="Q49" s="32">
        <f t="shared" si="31"/>
        <v>9.0944841146641835</v>
      </c>
      <c r="R49" s="29">
        <f t="shared" si="32"/>
        <v>1487</v>
      </c>
      <c r="S49" s="32">
        <f t="shared" si="33"/>
        <v>8.0020697505950533</v>
      </c>
      <c r="T49" s="27">
        <f t="shared" si="34"/>
        <v>1965.6112908577782</v>
      </c>
      <c r="U49" s="27">
        <f t="shared" si="35"/>
        <v>2233.9496177200035</v>
      </c>
      <c r="V49" s="27">
        <f t="shared" si="36"/>
        <v>-268.33832686222536</v>
      </c>
      <c r="W49" s="9" t="str">
        <f t="shared" si="37"/>
        <v>Reorder now</v>
      </c>
      <c r="X49" s="30">
        <f t="shared" si="38"/>
        <v>0.17410004341623375</v>
      </c>
      <c r="Y49" s="29">
        <f t="shared" si="39"/>
        <v>2069</v>
      </c>
      <c r="Z49" s="27">
        <f t="shared" si="40"/>
        <v>558.48740443000088</v>
      </c>
      <c r="AA49" s="27">
        <f t="shared" si="41"/>
        <v>282.54385964912279</v>
      </c>
      <c r="AB49" s="27">
        <f t="shared" si="42"/>
        <v>474.54906080561022</v>
      </c>
      <c r="AC49" s="64">
        <f t="shared" si="43"/>
        <v>474.54910980561021</v>
      </c>
    </row>
    <row r="50" spans="1:29" ht="15" x14ac:dyDescent="0.35">
      <c r="A50" s="9" t="str">
        <f>ABC_XYZ!A50</f>
        <v>22138</v>
      </c>
      <c r="B50" s="9" t="str">
        <f>ABC_XYZ!B50</f>
        <v>BAKING SET 9 PIECE RETROSPOT</v>
      </c>
      <c r="C50" s="31" t="str">
        <f>ABC_XYZ!K50</f>
        <v>AY</v>
      </c>
      <c r="D50" s="9" t="str">
        <f>IF(AND(_xlfn.XLOOKUP(C50,BestClass,BestMethod)="Holt-Winters",ABC_XYZ!M50="No"),_xlfn.XLOOKUP(C50,BestClass,BestFlat),_xlfn.XLOOKUP(C50,BestClass,BestMethod))</f>
        <v>Moving average</v>
      </c>
      <c r="E50" s="32">
        <f>ABC_XYZ!G50</f>
        <v>86.32692307692308</v>
      </c>
      <c r="F50" s="32">
        <f>ABC_XYZ!H50</f>
        <v>91.086195151678467</v>
      </c>
      <c r="G50" s="34">
        <f>ABC_XYZ!N50*CostRatio</f>
        <v>2.936678383128295</v>
      </c>
      <c r="H50" s="20">
        <f t="shared" si="22"/>
        <v>0.95</v>
      </c>
      <c r="I50" s="33">
        <f t="shared" si="23"/>
        <v>1.6448536269514715</v>
      </c>
      <c r="J50" s="29">
        <f t="shared" si="24"/>
        <v>611.625</v>
      </c>
      <c r="K50" s="29">
        <f t="shared" si="25"/>
        <v>260</v>
      </c>
      <c r="L50" s="29">
        <f t="shared" si="26"/>
        <v>872</v>
      </c>
      <c r="M50" s="29">
        <f t="shared" si="27"/>
        <v>4489</v>
      </c>
      <c r="N50" s="29">
        <f t="shared" si="28"/>
        <v>782</v>
      </c>
      <c r="O50" s="29">
        <f t="shared" si="29"/>
        <v>1654</v>
      </c>
      <c r="P50" s="29">
        <f t="shared" si="30"/>
        <v>651</v>
      </c>
      <c r="Q50" s="32">
        <f t="shared" si="31"/>
        <v>7.5411004678102023</v>
      </c>
      <c r="R50" s="29">
        <f t="shared" si="32"/>
        <v>691</v>
      </c>
      <c r="S50" s="32">
        <f t="shared" si="33"/>
        <v>8.0044553352639785</v>
      </c>
      <c r="T50" s="27">
        <f t="shared" si="34"/>
        <v>2029.2447627416518</v>
      </c>
      <c r="U50" s="27">
        <f t="shared" si="35"/>
        <v>1911.7776274165201</v>
      </c>
      <c r="V50" s="27">
        <f t="shared" si="36"/>
        <v>117.46713532513172</v>
      </c>
      <c r="W50" s="9" t="str">
        <f t="shared" si="37"/>
        <v>Reorder now</v>
      </c>
      <c r="X50" s="30">
        <f t="shared" si="38"/>
        <v>0.30744037324120133</v>
      </c>
      <c r="Y50" s="29">
        <f t="shared" si="39"/>
        <v>963</v>
      </c>
      <c r="Z50" s="27">
        <f t="shared" si="40"/>
        <v>477.94440685413002</v>
      </c>
      <c r="AA50" s="27">
        <f t="shared" si="41"/>
        <v>287.02046035805625</v>
      </c>
      <c r="AB50" s="27">
        <f t="shared" si="42"/>
        <v>531.5387873462214</v>
      </c>
      <c r="AC50" s="64">
        <f t="shared" si="43"/>
        <v>531.53883734622138</v>
      </c>
    </row>
    <row r="51" spans="1:29" ht="15" x14ac:dyDescent="0.35">
      <c r="A51" s="9" t="str">
        <f>ABC_XYZ!A51</f>
        <v>22383</v>
      </c>
      <c r="B51" s="9" t="str">
        <f>ABC_XYZ!B51</f>
        <v>LUNCH BAG SUKI  DESIGN</v>
      </c>
      <c r="C51" s="31" t="str">
        <f>ABC_XYZ!K51</f>
        <v>AX</v>
      </c>
      <c r="D51" s="9" t="str">
        <f>IF(AND(_xlfn.XLOOKUP(C51,BestClass,BestMethod)="Holt-Winters",ABC_XYZ!M51="No"),_xlfn.XLOOKUP(C51,BestClass,BestFlat),_xlfn.XLOOKUP(C51,BestClass,BestMethod))</f>
        <v>Moving average</v>
      </c>
      <c r="E51" s="32">
        <f>ABC_XYZ!G51</f>
        <v>234.51923076923077</v>
      </c>
      <c r="F51" s="32">
        <f>ABC_XYZ!H51</f>
        <v>116.04469902561559</v>
      </c>
      <c r="G51" s="34">
        <f>ABC_XYZ!N51*CostRatio</f>
        <v>1.073096403110823</v>
      </c>
      <c r="H51" s="20">
        <f t="shared" si="22"/>
        <v>0.95</v>
      </c>
      <c r="I51" s="33">
        <f t="shared" si="23"/>
        <v>1.6448536269514715</v>
      </c>
      <c r="J51" s="29">
        <f t="shared" si="24"/>
        <v>535.875</v>
      </c>
      <c r="K51" s="29">
        <f t="shared" si="25"/>
        <v>331</v>
      </c>
      <c r="L51" s="29">
        <f t="shared" si="26"/>
        <v>867</v>
      </c>
      <c r="M51" s="29">
        <f t="shared" si="27"/>
        <v>12195</v>
      </c>
      <c r="N51" s="29">
        <f t="shared" si="28"/>
        <v>2133</v>
      </c>
      <c r="O51" s="29">
        <f t="shared" si="29"/>
        <v>3000</v>
      </c>
      <c r="P51" s="29">
        <f t="shared" si="30"/>
        <v>1397.5</v>
      </c>
      <c r="Q51" s="32">
        <f t="shared" si="31"/>
        <v>5.9589995899958996</v>
      </c>
      <c r="R51" s="29">
        <f t="shared" si="32"/>
        <v>1876</v>
      </c>
      <c r="S51" s="32">
        <f t="shared" si="33"/>
        <v>7.9993439934399344</v>
      </c>
      <c r="T51" s="27">
        <f t="shared" si="34"/>
        <v>2013.1288522359039</v>
      </c>
      <c r="U51" s="27">
        <f t="shared" si="35"/>
        <v>1499.6522233473752</v>
      </c>
      <c r="V51" s="27">
        <f t="shared" si="36"/>
        <v>513.47662888852869</v>
      </c>
      <c r="W51" s="9" t="str">
        <f t="shared" si="37"/>
        <v>OK</v>
      </c>
      <c r="X51" s="30">
        <f t="shared" si="38"/>
        <v>1.3014811450773323E-11</v>
      </c>
      <c r="Y51" s="29">
        <f t="shared" si="39"/>
        <v>0</v>
      </c>
      <c r="Z51" s="27">
        <f t="shared" si="40"/>
        <v>374.9130558368438</v>
      </c>
      <c r="AA51" s="27">
        <f t="shared" si="41"/>
        <v>285.86497890295357</v>
      </c>
      <c r="AB51" s="27">
        <f t="shared" si="42"/>
        <v>0</v>
      </c>
      <c r="AC51" s="64">
        <f t="shared" si="43"/>
        <v>5.1E-5</v>
      </c>
    </row>
    <row r="52" spans="1:29" ht="15" x14ac:dyDescent="0.35">
      <c r="A52" s="9" t="str">
        <f>ABC_XYZ!A52</f>
        <v>48194</v>
      </c>
      <c r="B52" s="9" t="str">
        <f>ABC_XYZ!B52</f>
        <v>DOORMAT HEARTS</v>
      </c>
      <c r="C52" s="31" t="str">
        <f>ABC_XYZ!K52</f>
        <v>AZ</v>
      </c>
      <c r="D52" s="9" t="str">
        <f>IF(AND(_xlfn.XLOOKUP(C52,BestClass,BestMethod)="Holt-Winters",ABC_XYZ!M52="No"),_xlfn.XLOOKUP(C52,BestClass,BestFlat),_xlfn.XLOOKUP(C52,BestClass,BestMethod))</f>
        <v>Naive</v>
      </c>
      <c r="E52" s="32">
        <f>ABC_XYZ!G52</f>
        <v>64.980769230769226</v>
      </c>
      <c r="F52" s="32">
        <f>ABC_XYZ!H52</f>
        <v>117.67127531683677</v>
      </c>
      <c r="G52" s="34">
        <f>ABC_XYZ!N52*CostRatio</f>
        <v>3.8611467295226873</v>
      </c>
      <c r="H52" s="20">
        <f t="shared" si="22"/>
        <v>0.95</v>
      </c>
      <c r="I52" s="33">
        <f t="shared" si="23"/>
        <v>1.6448536269514715</v>
      </c>
      <c r="J52" s="29">
        <f t="shared" si="24"/>
        <v>336</v>
      </c>
      <c r="K52" s="29">
        <f t="shared" si="25"/>
        <v>336</v>
      </c>
      <c r="L52" s="29">
        <f t="shared" si="26"/>
        <v>672</v>
      </c>
      <c r="M52" s="29">
        <f t="shared" si="27"/>
        <v>3379</v>
      </c>
      <c r="N52" s="29">
        <f t="shared" si="28"/>
        <v>592</v>
      </c>
      <c r="O52" s="29">
        <f t="shared" si="29"/>
        <v>1264</v>
      </c>
      <c r="P52" s="29">
        <f t="shared" si="30"/>
        <v>632</v>
      </c>
      <c r="Q52" s="32">
        <f t="shared" si="31"/>
        <v>9.7259544243859128</v>
      </c>
      <c r="R52" s="29">
        <f t="shared" si="32"/>
        <v>520</v>
      </c>
      <c r="S52" s="32">
        <f t="shared" si="33"/>
        <v>8.0023675643681571</v>
      </c>
      <c r="T52" s="27">
        <f t="shared" si="34"/>
        <v>2007.7962993517974</v>
      </c>
      <c r="U52" s="27">
        <f t="shared" si="35"/>
        <v>2440.2447330583382</v>
      </c>
      <c r="V52" s="27">
        <f t="shared" si="36"/>
        <v>-432.44843370654075</v>
      </c>
      <c r="W52" s="9" t="str">
        <f t="shared" si="37"/>
        <v>Reorder now</v>
      </c>
      <c r="X52" s="30">
        <f t="shared" si="38"/>
        <v>0.18331868224569647</v>
      </c>
      <c r="Y52" s="29">
        <f t="shared" si="39"/>
        <v>744</v>
      </c>
      <c r="Z52" s="27">
        <f t="shared" si="40"/>
        <v>610.06118326458454</v>
      </c>
      <c r="AA52" s="27">
        <f t="shared" si="41"/>
        <v>285.38851351351349</v>
      </c>
      <c r="AB52" s="27">
        <f t="shared" si="42"/>
        <v>586.89430288744848</v>
      </c>
      <c r="AC52" s="64">
        <f t="shared" si="43"/>
        <v>586.89435488744846</v>
      </c>
    </row>
    <row r="53" spans="1:29" ht="15" x14ac:dyDescent="0.35">
      <c r="A53" s="9" t="str">
        <f>ABC_XYZ!A53</f>
        <v>82482</v>
      </c>
      <c r="B53" s="9" t="str">
        <f>ABC_XYZ!B53</f>
        <v>WOODEN PICTURE FRAME WHITE FINISH</v>
      </c>
      <c r="C53" s="31" t="str">
        <f>ABC_XYZ!K53</f>
        <v>AX</v>
      </c>
      <c r="D53" s="9" t="str">
        <f>IF(AND(_xlfn.XLOOKUP(C53,BestClass,BestMethod)="Holt-Winters",ABC_XYZ!M53="No"),_xlfn.XLOOKUP(C53,BestClass,BestFlat),_xlfn.XLOOKUP(C53,BestClass,BestMethod))</f>
        <v>Moving average</v>
      </c>
      <c r="E53" s="32">
        <f>ABC_XYZ!G53</f>
        <v>163.67307692307693</v>
      </c>
      <c r="F53" s="32">
        <f>ABC_XYZ!H53</f>
        <v>90.348936027643944</v>
      </c>
      <c r="G53" s="34">
        <f>ABC_XYZ!N53*CostRatio</f>
        <v>1.5282074802699301</v>
      </c>
      <c r="H53" s="20">
        <f t="shared" si="22"/>
        <v>0.95</v>
      </c>
      <c r="I53" s="33">
        <f t="shared" si="23"/>
        <v>1.6448536269514715</v>
      </c>
      <c r="J53" s="29">
        <f t="shared" si="24"/>
        <v>586.875</v>
      </c>
      <c r="K53" s="29">
        <f t="shared" si="25"/>
        <v>258</v>
      </c>
      <c r="L53" s="29">
        <f t="shared" si="26"/>
        <v>845</v>
      </c>
      <c r="M53" s="29">
        <f t="shared" si="27"/>
        <v>8511</v>
      </c>
      <c r="N53" s="29">
        <f t="shared" si="28"/>
        <v>1493</v>
      </c>
      <c r="O53" s="29">
        <f t="shared" si="29"/>
        <v>2338</v>
      </c>
      <c r="P53" s="29">
        <f t="shared" si="30"/>
        <v>1004.5</v>
      </c>
      <c r="Q53" s="32">
        <f t="shared" si="31"/>
        <v>6.137234167547879</v>
      </c>
      <c r="R53" s="29">
        <f t="shared" si="32"/>
        <v>1309</v>
      </c>
      <c r="S53" s="32">
        <f t="shared" si="33"/>
        <v>7.9976500998707554</v>
      </c>
      <c r="T53" s="27">
        <f t="shared" si="34"/>
        <v>2000.4235916733385</v>
      </c>
      <c r="U53" s="27">
        <f t="shared" si="35"/>
        <v>1535.0844139311448</v>
      </c>
      <c r="V53" s="27">
        <f t="shared" si="36"/>
        <v>465.33917774219367</v>
      </c>
      <c r="W53" s="9" t="str">
        <f t="shared" si="37"/>
        <v>OK</v>
      </c>
      <c r="X53" s="30">
        <f t="shared" si="38"/>
        <v>1.9698046921368118E-6</v>
      </c>
      <c r="Y53" s="29">
        <f t="shared" si="39"/>
        <v>0</v>
      </c>
      <c r="Z53" s="27">
        <f t="shared" si="40"/>
        <v>383.7711034827862</v>
      </c>
      <c r="AA53" s="27">
        <f t="shared" si="41"/>
        <v>285.0301406563965</v>
      </c>
      <c r="AB53" s="27">
        <f t="shared" si="42"/>
        <v>0</v>
      </c>
      <c r="AC53" s="64">
        <f t="shared" si="43"/>
        <v>5.3000000000000001E-5</v>
      </c>
    </row>
    <row r="54" spans="1:29" ht="15" x14ac:dyDescent="0.35">
      <c r="A54" s="9" t="str">
        <f>ABC_XYZ!A54</f>
        <v>20727</v>
      </c>
      <c r="B54" s="9" t="str">
        <f>ABC_XYZ!B54</f>
        <v>LUNCH BAG  BLACK SKULL.</v>
      </c>
      <c r="C54" s="31" t="str">
        <f>ABC_XYZ!K54</f>
        <v>AX</v>
      </c>
      <c r="D54" s="9" t="str">
        <f>IF(AND(_xlfn.XLOOKUP(C54,BestClass,BestMethod)="Holt-Winters",ABC_XYZ!M54="No"),_xlfn.XLOOKUP(C54,BestClass,BestFlat),_xlfn.XLOOKUP(C54,BestClass,BestMethod))</f>
        <v>Moving average</v>
      </c>
      <c r="E54" s="32">
        <f>ABC_XYZ!G54</f>
        <v>226.92307692307693</v>
      </c>
      <c r="F54" s="32">
        <f>ABC_XYZ!H54</f>
        <v>119.00450578944501</v>
      </c>
      <c r="G54" s="34">
        <f>ABC_XYZ!N54*CostRatio</f>
        <v>1.0927461635220126</v>
      </c>
      <c r="H54" s="20">
        <f t="shared" si="22"/>
        <v>0.95</v>
      </c>
      <c r="I54" s="33">
        <f t="shared" si="23"/>
        <v>1.6448536269514715</v>
      </c>
      <c r="J54" s="29">
        <f t="shared" si="24"/>
        <v>745.875</v>
      </c>
      <c r="K54" s="29">
        <f t="shared" si="25"/>
        <v>340</v>
      </c>
      <c r="L54" s="29">
        <f t="shared" si="26"/>
        <v>1086</v>
      </c>
      <c r="M54" s="29">
        <f t="shared" si="27"/>
        <v>11800</v>
      </c>
      <c r="N54" s="29">
        <f t="shared" si="28"/>
        <v>2079</v>
      </c>
      <c r="O54" s="29">
        <f t="shared" si="29"/>
        <v>3165</v>
      </c>
      <c r="P54" s="29">
        <f t="shared" si="30"/>
        <v>1379.5</v>
      </c>
      <c r="Q54" s="32">
        <f t="shared" si="31"/>
        <v>6.0791525423728814</v>
      </c>
      <c r="R54" s="29">
        <f t="shared" si="32"/>
        <v>1815</v>
      </c>
      <c r="S54" s="32">
        <f t="shared" si="33"/>
        <v>7.9983050847457626</v>
      </c>
      <c r="T54" s="27">
        <f t="shared" si="34"/>
        <v>1983.3342867924528</v>
      </c>
      <c r="U54" s="27">
        <f t="shared" si="35"/>
        <v>1507.4433325786163</v>
      </c>
      <c r="V54" s="27">
        <f t="shared" si="36"/>
        <v>475.89095421383649</v>
      </c>
      <c r="W54" s="9" t="str">
        <f t="shared" si="37"/>
        <v>OK</v>
      </c>
      <c r="X54" s="30">
        <f t="shared" si="38"/>
        <v>1.069351946991759E-7</v>
      </c>
      <c r="Y54" s="29">
        <f t="shared" si="39"/>
        <v>0</v>
      </c>
      <c r="Z54" s="27">
        <f t="shared" si="40"/>
        <v>376.86083314465407</v>
      </c>
      <c r="AA54" s="27">
        <f t="shared" si="41"/>
        <v>283.79028379028381</v>
      </c>
      <c r="AB54" s="27">
        <f t="shared" si="42"/>
        <v>0</v>
      </c>
      <c r="AC54" s="64">
        <f t="shared" si="43"/>
        <v>5.3999999999999998E-5</v>
      </c>
    </row>
    <row r="55" spans="1:29" ht="15" x14ac:dyDescent="0.35">
      <c r="A55" s="9" t="str">
        <f>ABC_XYZ!A55</f>
        <v>22139</v>
      </c>
      <c r="B55" s="9" t="str">
        <f>ABC_XYZ!B55</f>
        <v>RETROSPOT TEA SET CERAMIC 11 PC</v>
      </c>
      <c r="C55" s="31" t="str">
        <f>ABC_XYZ!K55</f>
        <v>AX</v>
      </c>
      <c r="D55" s="9" t="str">
        <f>IF(AND(_xlfn.XLOOKUP(C55,BestClass,BestMethod)="Holt-Winters",ABC_XYZ!M55="No"),_xlfn.XLOOKUP(C55,BestClass,BestFlat),_xlfn.XLOOKUP(C55,BestClass,BestMethod))</f>
        <v>Moving average</v>
      </c>
      <c r="E55" s="32">
        <f>ABC_XYZ!G55</f>
        <v>81.40384615384616</v>
      </c>
      <c r="F55" s="32">
        <f>ABC_XYZ!H55</f>
        <v>54.63865600483858</v>
      </c>
      <c r="G55" s="34">
        <f>ABC_XYZ!N55*CostRatio</f>
        <v>3.0249967197750705</v>
      </c>
      <c r="H55" s="20">
        <f t="shared" si="22"/>
        <v>0.95</v>
      </c>
      <c r="I55" s="33">
        <f t="shared" si="23"/>
        <v>1.6448536269514715</v>
      </c>
      <c r="J55" s="29">
        <f t="shared" si="24"/>
        <v>480.375</v>
      </c>
      <c r="K55" s="29">
        <f t="shared" si="25"/>
        <v>156</v>
      </c>
      <c r="L55" s="29">
        <f t="shared" si="26"/>
        <v>637</v>
      </c>
      <c r="M55" s="29">
        <f t="shared" si="27"/>
        <v>4233</v>
      </c>
      <c r="N55" s="29">
        <f t="shared" si="28"/>
        <v>749</v>
      </c>
      <c r="O55" s="29">
        <f t="shared" si="29"/>
        <v>1386</v>
      </c>
      <c r="P55" s="29">
        <f t="shared" si="30"/>
        <v>530.5</v>
      </c>
      <c r="Q55" s="32">
        <f t="shared" si="31"/>
        <v>6.5168910937869118</v>
      </c>
      <c r="R55" s="29">
        <f t="shared" si="32"/>
        <v>651</v>
      </c>
      <c r="S55" s="32">
        <f t="shared" si="33"/>
        <v>7.997165131112685</v>
      </c>
      <c r="T55" s="27">
        <f t="shared" si="34"/>
        <v>1969.2728645735708</v>
      </c>
      <c r="U55" s="27">
        <f t="shared" si="35"/>
        <v>1604.7607598406748</v>
      </c>
      <c r="V55" s="27">
        <f t="shared" si="36"/>
        <v>364.51210473289598</v>
      </c>
      <c r="W55" s="9" t="str">
        <f t="shared" si="37"/>
        <v>OK</v>
      </c>
      <c r="X55" s="30">
        <f t="shared" si="38"/>
        <v>3.5698572969486198E-2</v>
      </c>
      <c r="Y55" s="29">
        <f t="shared" si="39"/>
        <v>0</v>
      </c>
      <c r="Z55" s="27">
        <f t="shared" si="40"/>
        <v>401.19018996016871</v>
      </c>
      <c r="AA55" s="27">
        <f t="shared" si="41"/>
        <v>282.57676902536713</v>
      </c>
      <c r="AB55" s="27">
        <f t="shared" si="42"/>
        <v>0</v>
      </c>
      <c r="AC55" s="64">
        <f t="shared" si="43"/>
        <v>5.5000000000000002E-5</v>
      </c>
    </row>
    <row r="56" spans="1:29" ht="15" x14ac:dyDescent="0.35">
      <c r="A56" s="9" t="str">
        <f>ABC_XYZ!A56</f>
        <v>20713</v>
      </c>
      <c r="B56" s="9" t="str">
        <f>ABC_XYZ!B56</f>
        <v>JUMBO BAG OWLS</v>
      </c>
      <c r="C56" s="31" t="str">
        <f>ABC_XYZ!K56</f>
        <v>AY</v>
      </c>
      <c r="D56" s="9" t="str">
        <f>IF(AND(_xlfn.XLOOKUP(C56,BestClass,BestMethod)="Holt-Winters",ABC_XYZ!M56="No"),_xlfn.XLOOKUP(C56,BestClass,BestFlat),_xlfn.XLOOKUP(C56,BestClass,BestMethod))</f>
        <v>Holt-Winters</v>
      </c>
      <c r="E56" s="32">
        <f>ABC_XYZ!G56</f>
        <v>204.57692307692307</v>
      </c>
      <c r="F56" s="32">
        <f>ABC_XYZ!H56</f>
        <v>217.58246993202246</v>
      </c>
      <c r="G56" s="34">
        <f>ABC_XYZ!N56*CostRatio</f>
        <v>1.2044537566918958</v>
      </c>
      <c r="H56" s="20">
        <f t="shared" si="22"/>
        <v>0.95</v>
      </c>
      <c r="I56" s="33">
        <f t="shared" si="23"/>
        <v>1.6448536269514715</v>
      </c>
      <c r="J56" s="29">
        <f t="shared" si="24"/>
        <v>204.4289</v>
      </c>
      <c r="K56" s="29">
        <f t="shared" si="25"/>
        <v>620</v>
      </c>
      <c r="L56" s="29">
        <f t="shared" si="26"/>
        <v>825</v>
      </c>
      <c r="M56" s="29">
        <f t="shared" si="27"/>
        <v>10638</v>
      </c>
      <c r="N56" s="29">
        <f t="shared" si="28"/>
        <v>1880</v>
      </c>
      <c r="O56" s="29">
        <f t="shared" si="29"/>
        <v>2705</v>
      </c>
      <c r="P56" s="29">
        <f t="shared" si="30"/>
        <v>1560</v>
      </c>
      <c r="Q56" s="32">
        <f t="shared" si="31"/>
        <v>7.6254935138183875</v>
      </c>
      <c r="R56" s="29">
        <f t="shared" si="32"/>
        <v>1637</v>
      </c>
      <c r="S56" s="32">
        <f t="shared" si="33"/>
        <v>8.0018800526414751</v>
      </c>
      <c r="T56" s="27">
        <f t="shared" si="34"/>
        <v>1971.6907997046335</v>
      </c>
      <c r="U56" s="27">
        <f t="shared" si="35"/>
        <v>1878.9478604393576</v>
      </c>
      <c r="V56" s="27">
        <f t="shared" si="36"/>
        <v>92.742939265275936</v>
      </c>
      <c r="W56" s="9" t="str">
        <f t="shared" si="37"/>
        <v>OK</v>
      </c>
      <c r="X56" s="30">
        <f t="shared" si="38"/>
        <v>7.1970694290213189E-5</v>
      </c>
      <c r="Y56" s="29">
        <f t="shared" si="39"/>
        <v>0</v>
      </c>
      <c r="Z56" s="27">
        <f t="shared" si="40"/>
        <v>469.73696510983939</v>
      </c>
      <c r="AA56" s="27">
        <f t="shared" si="41"/>
        <v>282.92553191489361</v>
      </c>
      <c r="AB56" s="27">
        <f t="shared" si="42"/>
        <v>0</v>
      </c>
      <c r="AC56" s="64">
        <f t="shared" si="43"/>
        <v>5.5999999999999999E-5</v>
      </c>
    </row>
    <row r="57" spans="1:29" ht="15" x14ac:dyDescent="0.35">
      <c r="A57" s="9" t="str">
        <f>ABC_XYZ!A57</f>
        <v>22630</v>
      </c>
      <c r="B57" s="9" t="str">
        <f>ABC_XYZ!B57</f>
        <v>DOLLY GIRL LUNCH BOX</v>
      </c>
      <c r="C57" s="31" t="str">
        <f>ABC_XYZ!K57</f>
        <v>AY</v>
      </c>
      <c r="D57" s="9" t="str">
        <f>IF(AND(_xlfn.XLOOKUP(C57,BestClass,BestMethod)="Holt-Winters",ABC_XYZ!M57="No"),_xlfn.XLOOKUP(C57,BestClass,BestFlat),_xlfn.XLOOKUP(C57,BestClass,BestMethod))</f>
        <v>Holt-Winters</v>
      </c>
      <c r="E57" s="32">
        <f>ABC_XYZ!G57</f>
        <v>224.19230769230768</v>
      </c>
      <c r="F57" s="32">
        <f>ABC_XYZ!H57</f>
        <v>171.19350803862318</v>
      </c>
      <c r="G57" s="34">
        <f>ABC_XYZ!N57*CostRatio</f>
        <v>1.0937883358471594</v>
      </c>
      <c r="H57" s="20">
        <f t="shared" si="22"/>
        <v>0.95</v>
      </c>
      <c r="I57" s="33">
        <f t="shared" si="23"/>
        <v>1.6448536269514715</v>
      </c>
      <c r="J57" s="29">
        <f t="shared" si="24"/>
        <v>223.98609999999999</v>
      </c>
      <c r="K57" s="29">
        <f t="shared" si="25"/>
        <v>488</v>
      </c>
      <c r="L57" s="29">
        <f t="shared" si="26"/>
        <v>712</v>
      </c>
      <c r="M57" s="29">
        <f t="shared" si="27"/>
        <v>11658</v>
      </c>
      <c r="N57" s="29">
        <f t="shared" si="28"/>
        <v>2065</v>
      </c>
      <c r="O57" s="29">
        <f t="shared" si="29"/>
        <v>2777</v>
      </c>
      <c r="P57" s="29">
        <f t="shared" si="30"/>
        <v>1520.5</v>
      </c>
      <c r="Q57" s="32">
        <f t="shared" si="31"/>
        <v>6.7821238634414138</v>
      </c>
      <c r="R57" s="29">
        <f t="shared" si="32"/>
        <v>1794</v>
      </c>
      <c r="S57" s="32">
        <f t="shared" si="33"/>
        <v>8.0020586721564602</v>
      </c>
      <c r="T57" s="27">
        <f t="shared" si="34"/>
        <v>1962.2562745098039</v>
      </c>
      <c r="U57" s="27">
        <f t="shared" si="35"/>
        <v>1663.1051646556059</v>
      </c>
      <c r="V57" s="27">
        <f t="shared" si="36"/>
        <v>299.15110985419801</v>
      </c>
      <c r="W57" s="9" t="str">
        <f t="shared" si="37"/>
        <v>OK</v>
      </c>
      <c r="X57" s="30">
        <f t="shared" si="38"/>
        <v>5.9549454034524274E-8</v>
      </c>
      <c r="Y57" s="29">
        <f t="shared" si="39"/>
        <v>0</v>
      </c>
      <c r="Z57" s="27">
        <f t="shared" si="40"/>
        <v>415.77629116390148</v>
      </c>
      <c r="AA57" s="27">
        <f t="shared" si="41"/>
        <v>282.27602905569012</v>
      </c>
      <c r="AB57" s="27">
        <f t="shared" si="42"/>
        <v>0</v>
      </c>
      <c r="AC57" s="64">
        <f t="shared" si="43"/>
        <v>5.7000000000000003E-5</v>
      </c>
    </row>
    <row r="58" spans="1:29" ht="15" x14ac:dyDescent="0.35">
      <c r="A58" s="9" t="str">
        <f>ABC_XYZ!A58</f>
        <v>21523</v>
      </c>
      <c r="B58" s="9" t="str">
        <f>ABC_XYZ!B58</f>
        <v>DOORMAT FANCY FONT HOME SWEET HOME</v>
      </c>
      <c r="C58" s="31" t="str">
        <f>ABC_XYZ!K58</f>
        <v>AZ</v>
      </c>
      <c r="D58" s="9" t="str">
        <f>IF(AND(_xlfn.XLOOKUP(C58,BestClass,BestMethod)="Holt-Winters",ABC_XYZ!M58="No"),_xlfn.XLOOKUP(C58,BestClass,BestFlat),_xlfn.XLOOKUP(C58,BestClass,BestMethod))</f>
        <v>Naive</v>
      </c>
      <c r="E58" s="32">
        <f>ABC_XYZ!G58</f>
        <v>61.653846153846153</v>
      </c>
      <c r="F58" s="32">
        <f>ABC_XYZ!H58</f>
        <v>103.79030228138919</v>
      </c>
      <c r="G58" s="34">
        <f>ABC_XYZ!N58*CostRatio</f>
        <v>3.9796032388663964</v>
      </c>
      <c r="H58" s="20">
        <f t="shared" si="22"/>
        <v>0.95</v>
      </c>
      <c r="I58" s="33">
        <f t="shared" si="23"/>
        <v>1.6448536269514715</v>
      </c>
      <c r="J58" s="29">
        <f t="shared" si="24"/>
        <v>312</v>
      </c>
      <c r="K58" s="29">
        <f t="shared" si="25"/>
        <v>296</v>
      </c>
      <c r="L58" s="29">
        <f t="shared" si="26"/>
        <v>608</v>
      </c>
      <c r="M58" s="29">
        <f t="shared" si="27"/>
        <v>3206</v>
      </c>
      <c r="N58" s="29">
        <f t="shared" si="28"/>
        <v>568</v>
      </c>
      <c r="O58" s="29">
        <f t="shared" si="29"/>
        <v>1176</v>
      </c>
      <c r="P58" s="29">
        <f t="shared" si="30"/>
        <v>580</v>
      </c>
      <c r="Q58" s="32">
        <f t="shared" si="31"/>
        <v>9.4073611977542111</v>
      </c>
      <c r="R58" s="29">
        <f t="shared" si="32"/>
        <v>493</v>
      </c>
      <c r="S58" s="32">
        <f t="shared" si="33"/>
        <v>7.9962570180910797</v>
      </c>
      <c r="T58" s="27">
        <f t="shared" si="34"/>
        <v>1961.9443967611335</v>
      </c>
      <c r="U58" s="27">
        <f t="shared" si="35"/>
        <v>2308.1698785425101</v>
      </c>
      <c r="V58" s="27">
        <f t="shared" si="36"/>
        <v>-346.22548178137663</v>
      </c>
      <c r="W58" s="9" t="str">
        <f t="shared" si="37"/>
        <v>Reorder now</v>
      </c>
      <c r="X58" s="30">
        <f t="shared" si="38"/>
        <v>0.15700543909453202</v>
      </c>
      <c r="Y58" s="29">
        <f t="shared" si="39"/>
        <v>683</v>
      </c>
      <c r="Z58" s="27">
        <f t="shared" si="40"/>
        <v>577.04246963562753</v>
      </c>
      <c r="AA58" s="27">
        <f t="shared" si="41"/>
        <v>282.21830985915494</v>
      </c>
      <c r="AB58" s="27">
        <f t="shared" si="42"/>
        <v>457.65437246963558</v>
      </c>
      <c r="AC58" s="64">
        <f t="shared" si="43"/>
        <v>457.6544304696356</v>
      </c>
    </row>
    <row r="59" spans="1:29" ht="15" x14ac:dyDescent="0.35">
      <c r="A59" s="9" t="str">
        <f>ABC_XYZ!A59</f>
        <v>20712</v>
      </c>
      <c r="B59" s="9" t="str">
        <f>ABC_XYZ!B59</f>
        <v>JUMBO BAG WOODLAND ANIMALS</v>
      </c>
      <c r="C59" s="31" t="str">
        <f>ABC_XYZ!K59</f>
        <v>AX</v>
      </c>
      <c r="D59" s="9" t="str">
        <f>IF(AND(_xlfn.XLOOKUP(C59,BestClass,BestMethod)="Holt-Winters",ABC_XYZ!M59="No"),_xlfn.XLOOKUP(C59,BestClass,BestFlat),_xlfn.XLOOKUP(C59,BestClass,BestMethod))</f>
        <v>Moving average</v>
      </c>
      <c r="E59" s="32">
        <f>ABC_XYZ!G59</f>
        <v>179.90384615384616</v>
      </c>
      <c r="F59" s="32">
        <f>ABC_XYZ!H59</f>
        <v>121.38825404548481</v>
      </c>
      <c r="G59" s="34">
        <f>ABC_XYZ!N59*CostRatio</f>
        <v>1.3496179260031265</v>
      </c>
      <c r="H59" s="20">
        <f t="shared" si="22"/>
        <v>0.95</v>
      </c>
      <c r="I59" s="33">
        <f t="shared" si="23"/>
        <v>1.6448536269514715</v>
      </c>
      <c r="J59" s="29">
        <f t="shared" si="24"/>
        <v>630.75</v>
      </c>
      <c r="K59" s="29">
        <f t="shared" si="25"/>
        <v>346</v>
      </c>
      <c r="L59" s="29">
        <f t="shared" si="26"/>
        <v>977</v>
      </c>
      <c r="M59" s="29">
        <f t="shared" si="27"/>
        <v>9355</v>
      </c>
      <c r="N59" s="29">
        <f t="shared" si="28"/>
        <v>1666</v>
      </c>
      <c r="O59" s="29">
        <f t="shared" si="29"/>
        <v>2643</v>
      </c>
      <c r="P59" s="29">
        <f t="shared" si="30"/>
        <v>1179</v>
      </c>
      <c r="Q59" s="32">
        <f t="shared" si="31"/>
        <v>6.5535008017103147</v>
      </c>
      <c r="R59" s="29">
        <f t="shared" si="32"/>
        <v>1439</v>
      </c>
      <c r="S59" s="32">
        <f t="shared" si="33"/>
        <v>7.9987172634954566</v>
      </c>
      <c r="T59" s="27">
        <f t="shared" si="34"/>
        <v>1942.100195518499</v>
      </c>
      <c r="U59" s="27">
        <f t="shared" si="35"/>
        <v>1591.199534757686</v>
      </c>
      <c r="V59" s="27">
        <f t="shared" si="36"/>
        <v>350.90066076081303</v>
      </c>
      <c r="W59" s="9" t="str">
        <f t="shared" si="37"/>
        <v>OK</v>
      </c>
      <c r="X59" s="30">
        <f t="shared" si="38"/>
        <v>6.0467830504506992E-5</v>
      </c>
      <c r="Y59" s="29">
        <f t="shared" si="39"/>
        <v>0</v>
      </c>
      <c r="Z59" s="27">
        <f t="shared" si="40"/>
        <v>397.79988368942151</v>
      </c>
      <c r="AA59" s="27">
        <f t="shared" si="41"/>
        <v>280.76230492196879</v>
      </c>
      <c r="AB59" s="27">
        <f t="shared" si="42"/>
        <v>0</v>
      </c>
      <c r="AC59" s="64">
        <f t="shared" si="43"/>
        <v>5.8999999999999998E-5</v>
      </c>
    </row>
    <row r="60" spans="1:29" ht="15" x14ac:dyDescent="0.35">
      <c r="A60" s="9" t="str">
        <f>ABC_XYZ!A60</f>
        <v>85066</v>
      </c>
      <c r="B60" s="9" t="str">
        <f>ABC_XYZ!B60</f>
        <v>CREAM SWEETHEART MINI CHEST</v>
      </c>
      <c r="C60" s="31" t="str">
        <f>ABC_XYZ!K60</f>
        <v>AY</v>
      </c>
      <c r="D60" s="9" t="str">
        <f>IF(AND(_xlfn.XLOOKUP(C60,BestClass,BestMethod)="Holt-Winters",ABC_XYZ!M60="No"),_xlfn.XLOOKUP(C60,BestClass,BestFlat),_xlfn.XLOOKUP(C60,BestClass,BestMethod))</f>
        <v>Holt-Winters</v>
      </c>
      <c r="E60" s="32">
        <f>ABC_XYZ!G60</f>
        <v>31.673076923076923</v>
      </c>
      <c r="F60" s="32">
        <f>ABC_XYZ!H60</f>
        <v>33.173176710891077</v>
      </c>
      <c r="G60" s="34">
        <f>ABC_XYZ!N60*CostRatio</f>
        <v>7.6273673590504449</v>
      </c>
      <c r="H60" s="20">
        <f t="shared" si="22"/>
        <v>0.95</v>
      </c>
      <c r="I60" s="33">
        <f t="shared" si="23"/>
        <v>1.6448536269514715</v>
      </c>
      <c r="J60" s="29">
        <f t="shared" si="24"/>
        <v>130.80519999999999</v>
      </c>
      <c r="K60" s="29">
        <f t="shared" si="25"/>
        <v>95</v>
      </c>
      <c r="L60" s="29">
        <f t="shared" si="26"/>
        <v>226</v>
      </c>
      <c r="M60" s="29">
        <f t="shared" si="27"/>
        <v>1647</v>
      </c>
      <c r="N60" s="29">
        <f t="shared" si="28"/>
        <v>294</v>
      </c>
      <c r="O60" s="29">
        <f t="shared" si="29"/>
        <v>520</v>
      </c>
      <c r="P60" s="29">
        <f t="shared" si="30"/>
        <v>242</v>
      </c>
      <c r="Q60" s="32">
        <f t="shared" si="31"/>
        <v>7.6405585913782632</v>
      </c>
      <c r="R60" s="29">
        <f t="shared" si="32"/>
        <v>253</v>
      </c>
      <c r="S60" s="32">
        <f t="shared" si="33"/>
        <v>7.9878567091681845</v>
      </c>
      <c r="T60" s="27">
        <f t="shared" si="34"/>
        <v>1929.7239418397626</v>
      </c>
      <c r="U60" s="27">
        <f t="shared" si="35"/>
        <v>1845.8229008902076</v>
      </c>
      <c r="V60" s="27">
        <f t="shared" si="36"/>
        <v>83.901040949554954</v>
      </c>
      <c r="W60" s="9" t="str">
        <f t="shared" si="37"/>
        <v>OK</v>
      </c>
      <c r="X60" s="30">
        <f t="shared" si="38"/>
        <v>1.6722752170322708E-2</v>
      </c>
      <c r="Y60" s="29">
        <f t="shared" si="39"/>
        <v>0</v>
      </c>
      <c r="Z60" s="27">
        <f t="shared" si="40"/>
        <v>461.45572522255191</v>
      </c>
      <c r="AA60" s="27">
        <f t="shared" si="41"/>
        <v>280.10204081632651</v>
      </c>
      <c r="AB60" s="27">
        <f t="shared" si="42"/>
        <v>0</v>
      </c>
      <c r="AC60" s="64">
        <f t="shared" si="43"/>
        <v>6.0000000000000002E-5</v>
      </c>
    </row>
    <row r="61" spans="1:29" ht="15" x14ac:dyDescent="0.35">
      <c r="A61" s="9" t="str">
        <f>ABC_XYZ!A61</f>
        <v>20728</v>
      </c>
      <c r="B61" s="9" t="str">
        <f>ABC_XYZ!B61</f>
        <v>LUNCH BAG CARS BLUE</v>
      </c>
      <c r="C61" s="31" t="str">
        <f>ABC_XYZ!K61</f>
        <v>AX</v>
      </c>
      <c r="D61" s="9" t="str">
        <f>IF(AND(_xlfn.XLOOKUP(C61,BestClass,BestMethod)="Holt-Winters",ABC_XYZ!M61="No"),_xlfn.XLOOKUP(C61,BestClass,BestFlat),_xlfn.XLOOKUP(C61,BestClass,BestMethod))</f>
        <v>Moving average</v>
      </c>
      <c r="E61" s="32">
        <f>ABC_XYZ!G61</f>
        <v>219.25</v>
      </c>
      <c r="F61" s="32">
        <f>ABC_XYZ!H61</f>
        <v>120.18203105387799</v>
      </c>
      <c r="G61" s="34">
        <f>ABC_XYZ!N61*CostRatio</f>
        <v>1.1001355144210072</v>
      </c>
      <c r="H61" s="20">
        <f t="shared" si="22"/>
        <v>0.95</v>
      </c>
      <c r="I61" s="33">
        <f t="shared" si="23"/>
        <v>1.6448536269514715</v>
      </c>
      <c r="J61" s="29">
        <f t="shared" si="24"/>
        <v>578.25</v>
      </c>
      <c r="K61" s="29">
        <f t="shared" si="25"/>
        <v>343</v>
      </c>
      <c r="L61" s="29">
        <f t="shared" si="26"/>
        <v>922</v>
      </c>
      <c r="M61" s="29">
        <f t="shared" si="27"/>
        <v>11401</v>
      </c>
      <c r="N61" s="29">
        <f t="shared" si="28"/>
        <v>2037</v>
      </c>
      <c r="O61" s="29">
        <f t="shared" si="29"/>
        <v>2959</v>
      </c>
      <c r="P61" s="29">
        <f t="shared" si="30"/>
        <v>1361.5</v>
      </c>
      <c r="Q61" s="32">
        <f t="shared" si="31"/>
        <v>6.2098061573546177</v>
      </c>
      <c r="R61" s="29">
        <f t="shared" si="32"/>
        <v>1754</v>
      </c>
      <c r="S61" s="32">
        <f t="shared" si="33"/>
        <v>8</v>
      </c>
      <c r="T61" s="27">
        <f t="shared" si="34"/>
        <v>1929.6376922944467</v>
      </c>
      <c r="U61" s="27">
        <f t="shared" si="35"/>
        <v>1497.8345028842014</v>
      </c>
      <c r="V61" s="27">
        <f t="shared" si="36"/>
        <v>431.8031894102453</v>
      </c>
      <c r="W61" s="9" t="str">
        <f t="shared" si="37"/>
        <v>OK</v>
      </c>
      <c r="X61" s="30">
        <f t="shared" si="38"/>
        <v>8.1039097654667103E-9</v>
      </c>
      <c r="Y61" s="29">
        <f t="shared" si="39"/>
        <v>0</v>
      </c>
      <c r="Z61" s="27">
        <f t="shared" si="40"/>
        <v>374.45862572105034</v>
      </c>
      <c r="AA61" s="27">
        <f t="shared" si="41"/>
        <v>279.84781541482573</v>
      </c>
      <c r="AB61" s="27">
        <f t="shared" si="42"/>
        <v>0</v>
      </c>
      <c r="AC61" s="64">
        <f t="shared" si="43"/>
        <v>6.0999999999999999E-5</v>
      </c>
    </row>
    <row r="62" spans="1:29" ht="15" x14ac:dyDescent="0.35">
      <c r="A62" s="9" t="str">
        <f>ABC_XYZ!A62</f>
        <v>84029E</v>
      </c>
      <c r="B62" s="9" t="str">
        <f>ABC_XYZ!B62</f>
        <v>RED WOOLLY HOTTIE WHITE HEART.</v>
      </c>
      <c r="C62" s="31" t="str">
        <f>ABC_XYZ!K62</f>
        <v>AZ</v>
      </c>
      <c r="D62" s="9" t="str">
        <f>IF(AND(_xlfn.XLOOKUP(C62,BestClass,BestMethod)="Holt-Winters",ABC_XYZ!M62="No"),_xlfn.XLOOKUP(C62,BestClass,BestFlat),_xlfn.XLOOKUP(C62,BestClass,BestMethod))</f>
        <v>Holt-Winters</v>
      </c>
      <c r="E62" s="32">
        <f>ABC_XYZ!G62</f>
        <v>86.615384615384613</v>
      </c>
      <c r="F62" s="32">
        <f>ABC_XYZ!H62</f>
        <v>198.42034543907764</v>
      </c>
      <c r="G62" s="34">
        <f>ABC_XYZ!N62*CostRatio</f>
        <v>2.7712746386333773</v>
      </c>
      <c r="H62" s="20">
        <f t="shared" si="22"/>
        <v>0.95</v>
      </c>
      <c r="I62" s="33">
        <f t="shared" si="23"/>
        <v>1.6448536269514715</v>
      </c>
      <c r="J62" s="29">
        <f t="shared" si="24"/>
        <v>463.83279999999996</v>
      </c>
      <c r="K62" s="29">
        <f t="shared" si="25"/>
        <v>566</v>
      </c>
      <c r="L62" s="29">
        <f t="shared" si="26"/>
        <v>1030</v>
      </c>
      <c r="M62" s="29">
        <f t="shared" si="27"/>
        <v>4504</v>
      </c>
      <c r="N62" s="29">
        <f t="shared" si="28"/>
        <v>807</v>
      </c>
      <c r="O62" s="29">
        <f t="shared" si="29"/>
        <v>1837</v>
      </c>
      <c r="P62" s="29">
        <f t="shared" si="30"/>
        <v>969.5</v>
      </c>
      <c r="Q62" s="32">
        <f t="shared" si="31"/>
        <v>11.193161634103021</v>
      </c>
      <c r="R62" s="29">
        <f t="shared" si="32"/>
        <v>693</v>
      </c>
      <c r="S62" s="32">
        <f t="shared" si="33"/>
        <v>8.0008880994671401</v>
      </c>
      <c r="T62" s="27">
        <f t="shared" si="34"/>
        <v>1920.4933245729305</v>
      </c>
      <c r="U62" s="27">
        <f t="shared" si="35"/>
        <v>2686.7507621550594</v>
      </c>
      <c r="V62" s="27">
        <f t="shared" si="36"/>
        <v>-766.25743758212889</v>
      </c>
      <c r="W62" s="9" t="str">
        <f t="shared" si="37"/>
        <v>Reorder now</v>
      </c>
      <c r="X62" s="30">
        <f t="shared" si="38"/>
        <v>0.25244502315471773</v>
      </c>
      <c r="Y62" s="29">
        <f t="shared" si="39"/>
        <v>1144</v>
      </c>
      <c r="Z62" s="27">
        <f t="shared" si="40"/>
        <v>671.68769053876485</v>
      </c>
      <c r="AA62" s="27">
        <f t="shared" si="41"/>
        <v>279.05824039653038</v>
      </c>
      <c r="AB62" s="27">
        <f t="shared" si="42"/>
        <v>933.91955321944818</v>
      </c>
      <c r="AC62" s="64">
        <f t="shared" si="43"/>
        <v>933.91961521944813</v>
      </c>
    </row>
    <row r="63" spans="1:29" ht="15" x14ac:dyDescent="0.35">
      <c r="A63" s="9" t="str">
        <f>ABC_XYZ!A63</f>
        <v>21212</v>
      </c>
      <c r="B63" s="9" t="str">
        <f>ABC_XYZ!B63</f>
        <v>PACK OF 72 RETROSPOT CAKE CASES</v>
      </c>
      <c r="C63" s="31" t="str">
        <f>ABC_XYZ!K63</f>
        <v>AX</v>
      </c>
      <c r="D63" s="9" t="str">
        <f>IF(AND(_xlfn.XLOOKUP(C63,BestClass,BestMethod)="Holt-Winters",ABC_XYZ!M63="No"),_xlfn.XLOOKUP(C63,BestClass,BestFlat),_xlfn.XLOOKUP(C63,BestClass,BestMethod))</f>
        <v>Moving average</v>
      </c>
      <c r="E63" s="32">
        <f>ABC_XYZ!G63</f>
        <v>692.98076923076928</v>
      </c>
      <c r="F63" s="32">
        <f>ABC_XYZ!H63</f>
        <v>432.85194182825927</v>
      </c>
      <c r="G63" s="34">
        <f>ABC_XYZ!N63*CostRatio</f>
        <v>0.34576185250219493</v>
      </c>
      <c r="H63" s="20">
        <f t="shared" si="22"/>
        <v>0.95</v>
      </c>
      <c r="I63" s="33">
        <f t="shared" si="23"/>
        <v>1.6448536269514715</v>
      </c>
      <c r="J63" s="29">
        <f t="shared" si="24"/>
        <v>1603.5</v>
      </c>
      <c r="K63" s="29">
        <f t="shared" si="25"/>
        <v>1234</v>
      </c>
      <c r="L63" s="29">
        <f t="shared" si="26"/>
        <v>2838</v>
      </c>
      <c r="M63" s="29">
        <f t="shared" si="27"/>
        <v>36035</v>
      </c>
      <c r="N63" s="29">
        <f t="shared" si="28"/>
        <v>6457</v>
      </c>
      <c r="O63" s="29">
        <f t="shared" si="29"/>
        <v>9295</v>
      </c>
      <c r="P63" s="29">
        <f t="shared" si="30"/>
        <v>4462.5</v>
      </c>
      <c r="Q63" s="32">
        <f t="shared" si="31"/>
        <v>6.4395726377133338</v>
      </c>
      <c r="R63" s="29">
        <f t="shared" si="32"/>
        <v>5544</v>
      </c>
      <c r="S63" s="32">
        <f t="shared" si="33"/>
        <v>8.0002220063826837</v>
      </c>
      <c r="T63" s="27">
        <f t="shared" si="34"/>
        <v>1916.9037102721686</v>
      </c>
      <c r="U63" s="27">
        <f t="shared" si="35"/>
        <v>1542.9622667910448</v>
      </c>
      <c r="V63" s="27">
        <f t="shared" si="36"/>
        <v>373.94144348112377</v>
      </c>
      <c r="W63" s="9" t="str">
        <f t="shared" si="37"/>
        <v>OK</v>
      </c>
      <c r="X63" s="30">
        <f t="shared" si="38"/>
        <v>7.3630620378573042E-8</v>
      </c>
      <c r="Y63" s="29">
        <f t="shared" si="39"/>
        <v>0</v>
      </c>
      <c r="Z63" s="27">
        <f t="shared" si="40"/>
        <v>385.74056669776121</v>
      </c>
      <c r="AA63" s="27">
        <f t="shared" si="41"/>
        <v>279.038253058696</v>
      </c>
      <c r="AB63" s="27">
        <f t="shared" si="42"/>
        <v>0</v>
      </c>
      <c r="AC63" s="64">
        <f t="shared" si="43"/>
        <v>6.3E-5</v>
      </c>
    </row>
    <row r="64" spans="1:29" ht="15" x14ac:dyDescent="0.35">
      <c r="A64" s="9" t="str">
        <f>ABC_XYZ!A64</f>
        <v>21928</v>
      </c>
      <c r="B64" s="9" t="str">
        <f>ABC_XYZ!B64</f>
        <v>JUMBO BAG SCANDINAVIAN PAISLEY</v>
      </c>
      <c r="C64" s="31" t="str">
        <f>ABC_XYZ!K64</f>
        <v>AX</v>
      </c>
      <c r="D64" s="9" t="str">
        <f>IF(AND(_xlfn.XLOOKUP(C64,BestClass,BestMethod)="Holt-Winters",ABC_XYZ!M64="No"),_xlfn.XLOOKUP(C64,BestClass,BestFlat),_xlfn.XLOOKUP(C64,BestClass,BestMethod))</f>
        <v>Moving average</v>
      </c>
      <c r="E64" s="32">
        <f>ABC_XYZ!G64</f>
        <v>189.88461538461539</v>
      </c>
      <c r="F64" s="32">
        <f>ABC_XYZ!H64</f>
        <v>130.05106898056019</v>
      </c>
      <c r="G64" s="34">
        <f>ABC_XYZ!N64*CostRatio</f>
        <v>1.2111473372781063</v>
      </c>
      <c r="H64" s="20">
        <f t="shared" si="22"/>
        <v>0.95</v>
      </c>
      <c r="I64" s="33">
        <f t="shared" si="23"/>
        <v>1.6448536269514715</v>
      </c>
      <c r="J64" s="29">
        <f t="shared" si="24"/>
        <v>383.25</v>
      </c>
      <c r="K64" s="29">
        <f t="shared" si="25"/>
        <v>371</v>
      </c>
      <c r="L64" s="29">
        <f t="shared" si="26"/>
        <v>755</v>
      </c>
      <c r="M64" s="29">
        <f t="shared" si="27"/>
        <v>9874</v>
      </c>
      <c r="N64" s="29">
        <f t="shared" si="28"/>
        <v>1806</v>
      </c>
      <c r="O64" s="29">
        <f t="shared" si="29"/>
        <v>2561</v>
      </c>
      <c r="P64" s="29">
        <f t="shared" si="30"/>
        <v>1274</v>
      </c>
      <c r="Q64" s="32">
        <f t="shared" si="31"/>
        <v>6.7093376544460197</v>
      </c>
      <c r="R64" s="29">
        <f t="shared" si="32"/>
        <v>1519</v>
      </c>
      <c r="S64" s="32">
        <f t="shared" si="33"/>
        <v>7.9995948956856386</v>
      </c>
      <c r="T64" s="27">
        <f t="shared" si="34"/>
        <v>1839.7328053254435</v>
      </c>
      <c r="U64" s="27">
        <f t="shared" si="35"/>
        <v>1543.0017076923075</v>
      </c>
      <c r="V64" s="27">
        <f t="shared" si="36"/>
        <v>296.73109763313596</v>
      </c>
      <c r="W64" s="9" t="str">
        <f t="shared" si="37"/>
        <v>OK</v>
      </c>
      <c r="X64" s="30">
        <f t="shared" si="38"/>
        <v>2.3027086348825776E-7</v>
      </c>
      <c r="Y64" s="29">
        <f t="shared" si="39"/>
        <v>0</v>
      </c>
      <c r="Z64" s="27">
        <f t="shared" si="40"/>
        <v>385.75042692307687</v>
      </c>
      <c r="AA64" s="27">
        <f t="shared" si="41"/>
        <v>273.36655592469549</v>
      </c>
      <c r="AB64" s="27">
        <f t="shared" si="42"/>
        <v>0</v>
      </c>
      <c r="AC64" s="64">
        <f t="shared" si="43"/>
        <v>6.3999999999999997E-5</v>
      </c>
    </row>
    <row r="65" spans="1:29" ht="15" x14ac:dyDescent="0.35">
      <c r="A65" s="9" t="str">
        <f>ABC_XYZ!A65</f>
        <v>82494L</v>
      </c>
      <c r="B65" s="9" t="str">
        <f>ABC_XYZ!B65</f>
        <v>WOODEN FRAME ANTIQUE WHITE</v>
      </c>
      <c r="C65" s="31" t="str">
        <f>ABC_XYZ!K65</f>
        <v>AX</v>
      </c>
      <c r="D65" s="9" t="str">
        <f>IF(AND(_xlfn.XLOOKUP(C65,BestClass,BestMethod)="Holt-Winters",ABC_XYZ!M65="No"),_xlfn.XLOOKUP(C65,BestClass,BestFlat),_xlfn.XLOOKUP(C65,BestClass,BestMethod))</f>
        <v>Moving average</v>
      </c>
      <c r="E65" s="32">
        <f>ABC_XYZ!G65</f>
        <v>122</v>
      </c>
      <c r="F65" s="32">
        <f>ABC_XYZ!H65</f>
        <v>75.69702250211877</v>
      </c>
      <c r="G65" s="34">
        <f>ABC_XYZ!N65*CostRatio</f>
        <v>1.8631107457779108</v>
      </c>
      <c r="H65" s="20">
        <f t="shared" si="22"/>
        <v>0.95</v>
      </c>
      <c r="I65" s="33">
        <f t="shared" si="23"/>
        <v>1.6448536269514715</v>
      </c>
      <c r="J65" s="29">
        <f t="shared" si="24"/>
        <v>486</v>
      </c>
      <c r="K65" s="29">
        <f t="shared" si="25"/>
        <v>216</v>
      </c>
      <c r="L65" s="29">
        <f t="shared" si="26"/>
        <v>702</v>
      </c>
      <c r="M65" s="29">
        <f t="shared" si="27"/>
        <v>6344</v>
      </c>
      <c r="N65" s="29">
        <f t="shared" si="28"/>
        <v>1168</v>
      </c>
      <c r="O65" s="29">
        <f t="shared" si="29"/>
        <v>1870</v>
      </c>
      <c r="P65" s="29">
        <f t="shared" si="30"/>
        <v>800</v>
      </c>
      <c r="Q65" s="32">
        <f t="shared" si="31"/>
        <v>6.557377049180328</v>
      </c>
      <c r="R65" s="29">
        <f t="shared" si="32"/>
        <v>976</v>
      </c>
      <c r="S65" s="32">
        <f t="shared" si="33"/>
        <v>8</v>
      </c>
      <c r="T65" s="27">
        <f t="shared" si="34"/>
        <v>1818.3960878792409</v>
      </c>
      <c r="U65" s="27">
        <f t="shared" si="35"/>
        <v>1490.4885966223287</v>
      </c>
      <c r="V65" s="27">
        <f t="shared" si="36"/>
        <v>327.90749125691218</v>
      </c>
      <c r="W65" s="9" t="str">
        <f t="shared" si="37"/>
        <v>OK</v>
      </c>
      <c r="X65" s="30">
        <f t="shared" si="38"/>
        <v>9.3007623882757073E-5</v>
      </c>
      <c r="Y65" s="29">
        <f t="shared" si="39"/>
        <v>0</v>
      </c>
      <c r="Z65" s="27">
        <f t="shared" si="40"/>
        <v>372.62214915558218</v>
      </c>
      <c r="AA65" s="27">
        <f t="shared" si="41"/>
        <v>271.57534246575341</v>
      </c>
      <c r="AB65" s="27">
        <f t="shared" si="42"/>
        <v>0</v>
      </c>
      <c r="AC65" s="64">
        <f t="shared" si="43"/>
        <v>6.4999999999999994E-5</v>
      </c>
    </row>
    <row r="66" spans="1:29" ht="15" x14ac:dyDescent="0.35">
      <c r="A66" s="9" t="str">
        <f>ABC_XYZ!A66</f>
        <v>20724</v>
      </c>
      <c r="B66" s="9" t="str">
        <f>ABC_XYZ!B66</f>
        <v>RED RETROSPOT CHARLOTTE BAG</v>
      </c>
      <c r="C66" s="31" t="str">
        <f>ABC_XYZ!K66</f>
        <v>AX</v>
      </c>
      <c r="D66" s="9" t="str">
        <f>IF(AND(_xlfn.XLOOKUP(C66,BestClass,BestMethod)="Holt-Winters",ABC_XYZ!M66="No"),_xlfn.XLOOKUP(C66,BestClass,BestFlat),_xlfn.XLOOKUP(C66,BestClass,BestMethod))</f>
        <v>Moving average</v>
      </c>
      <c r="E66" s="32">
        <f>ABC_XYZ!G66</f>
        <v>317.42307692307691</v>
      </c>
      <c r="F66" s="32">
        <f>ABC_XYZ!H66</f>
        <v>158.43367464316145</v>
      </c>
      <c r="G66" s="34">
        <f>ABC_XYZ!N66*CostRatio</f>
        <v>0.71617669914519699</v>
      </c>
      <c r="H66" s="20">
        <f t="shared" si="22"/>
        <v>0.95</v>
      </c>
      <c r="I66" s="33">
        <f t="shared" si="23"/>
        <v>1.6448536269514715</v>
      </c>
      <c r="J66" s="29">
        <f t="shared" si="24"/>
        <v>1258.875</v>
      </c>
      <c r="K66" s="29">
        <f t="shared" si="25"/>
        <v>452</v>
      </c>
      <c r="L66" s="29">
        <f t="shared" si="26"/>
        <v>1711</v>
      </c>
      <c r="M66" s="29">
        <f t="shared" si="27"/>
        <v>16506</v>
      </c>
      <c r="N66" s="29">
        <f t="shared" si="28"/>
        <v>3037</v>
      </c>
      <c r="O66" s="29">
        <f t="shared" si="29"/>
        <v>4748</v>
      </c>
      <c r="P66" s="29">
        <f t="shared" si="30"/>
        <v>1970.5</v>
      </c>
      <c r="Q66" s="32">
        <f t="shared" si="31"/>
        <v>6.2078032230703988</v>
      </c>
      <c r="R66" s="29">
        <f t="shared" si="32"/>
        <v>2539</v>
      </c>
      <c r="S66" s="32">
        <f t="shared" si="33"/>
        <v>7.998788319399007</v>
      </c>
      <c r="T66" s="27">
        <f t="shared" si="34"/>
        <v>1818.3726391296552</v>
      </c>
      <c r="U66" s="27">
        <f t="shared" si="35"/>
        <v>1411.2261856656107</v>
      </c>
      <c r="V66" s="27">
        <f t="shared" si="36"/>
        <v>407.1464534640445</v>
      </c>
      <c r="W66" s="9" t="str">
        <f t="shared" si="37"/>
        <v>OK</v>
      </c>
      <c r="X66" s="30">
        <f t="shared" si="38"/>
        <v>1.5436810993918471E-6</v>
      </c>
      <c r="Y66" s="29">
        <f t="shared" si="39"/>
        <v>0</v>
      </c>
      <c r="Z66" s="27">
        <f t="shared" si="40"/>
        <v>352.80654641640268</v>
      </c>
      <c r="AA66" s="27">
        <f t="shared" si="41"/>
        <v>271.74843595653601</v>
      </c>
      <c r="AB66" s="27">
        <f t="shared" si="42"/>
        <v>0</v>
      </c>
      <c r="AC66" s="64">
        <f t="shared" si="43"/>
        <v>6.6000000000000005E-5</v>
      </c>
    </row>
    <row r="67" spans="1:29" ht="15" x14ac:dyDescent="0.35">
      <c r="A67" s="9" t="str">
        <f>ABC_XYZ!A67</f>
        <v>22659</v>
      </c>
      <c r="B67" s="9" t="str">
        <f>ABC_XYZ!B67</f>
        <v>LUNCH BOX I LOVE LONDON</v>
      </c>
      <c r="C67" s="31" t="str">
        <f>ABC_XYZ!K67</f>
        <v>AY</v>
      </c>
      <c r="D67" s="9" t="str">
        <f>IF(AND(_xlfn.XLOOKUP(C67,BestClass,BestMethod)="Holt-Winters",ABC_XYZ!M67="No"),_xlfn.XLOOKUP(C67,BestClass,BestFlat),_xlfn.XLOOKUP(C67,BestClass,BestMethod))</f>
        <v>Holt-Winters</v>
      </c>
      <c r="E67" s="32">
        <f>ABC_XYZ!G67</f>
        <v>211.86538461538461</v>
      </c>
      <c r="F67" s="32">
        <f>ABC_XYZ!H67</f>
        <v>201.95660850652303</v>
      </c>
      <c r="G67" s="34">
        <f>ABC_XYZ!N67*CostRatio</f>
        <v>1.0816485214456975</v>
      </c>
      <c r="H67" s="20">
        <f t="shared" si="22"/>
        <v>0.95</v>
      </c>
      <c r="I67" s="33">
        <f t="shared" si="23"/>
        <v>1.6448536269514715</v>
      </c>
      <c r="J67" s="29">
        <f t="shared" si="24"/>
        <v>278.72059999999999</v>
      </c>
      <c r="K67" s="29">
        <f t="shared" si="25"/>
        <v>576</v>
      </c>
      <c r="L67" s="29">
        <f t="shared" si="26"/>
        <v>855</v>
      </c>
      <c r="M67" s="29">
        <f t="shared" si="27"/>
        <v>11017</v>
      </c>
      <c r="N67" s="29">
        <f t="shared" si="28"/>
        <v>2019</v>
      </c>
      <c r="O67" s="29">
        <f t="shared" si="29"/>
        <v>2874</v>
      </c>
      <c r="P67" s="29">
        <f t="shared" si="30"/>
        <v>1585.5</v>
      </c>
      <c r="Q67" s="32">
        <f t="shared" si="31"/>
        <v>7.4835254606517205</v>
      </c>
      <c r="R67" s="29">
        <f t="shared" si="32"/>
        <v>1695</v>
      </c>
      <c r="S67" s="32">
        <f t="shared" si="33"/>
        <v>8.0003630752473445</v>
      </c>
      <c r="T67" s="27">
        <f t="shared" si="34"/>
        <v>1833.3942438504571</v>
      </c>
      <c r="U67" s="27">
        <f t="shared" si="35"/>
        <v>1714.9537307521532</v>
      </c>
      <c r="V67" s="27">
        <f t="shared" si="36"/>
        <v>118.44051309830388</v>
      </c>
      <c r="W67" s="9" t="str">
        <f t="shared" si="37"/>
        <v>OK</v>
      </c>
      <c r="X67" s="30">
        <f t="shared" si="38"/>
        <v>2.5736440751100709E-5</v>
      </c>
      <c r="Y67" s="29">
        <f t="shared" si="39"/>
        <v>0</v>
      </c>
      <c r="Z67" s="27">
        <f t="shared" si="40"/>
        <v>428.7384326880383</v>
      </c>
      <c r="AA67" s="27">
        <f t="shared" si="41"/>
        <v>272.83308568598318</v>
      </c>
      <c r="AB67" s="27">
        <f t="shared" si="42"/>
        <v>0</v>
      </c>
      <c r="AC67" s="64">
        <f t="shared" si="43"/>
        <v>6.7000000000000002E-5</v>
      </c>
    </row>
    <row r="68" spans="1:29" ht="15" x14ac:dyDescent="0.35">
      <c r="A68" s="9" t="str">
        <f>ABC_XYZ!A68</f>
        <v>48185</v>
      </c>
      <c r="B68" s="9" t="str">
        <f>ABC_XYZ!B68</f>
        <v>DOORMAT FAIRY CAKE</v>
      </c>
      <c r="C68" s="31" t="str">
        <f>ABC_XYZ!K68</f>
        <v>AZ</v>
      </c>
      <c r="D68" s="9" t="str">
        <f>IF(AND(_xlfn.XLOOKUP(C68,BestClass,BestMethod)="Holt-Winters",ABC_XYZ!M68="No"),_xlfn.XLOOKUP(C68,BestClass,BestFlat),_xlfn.XLOOKUP(C68,BestClass,BestMethod))</f>
        <v>Naive</v>
      </c>
      <c r="E68" s="32">
        <f>ABC_XYZ!G68</f>
        <v>56.019230769230766</v>
      </c>
      <c r="F68" s="32">
        <f>ABC_XYZ!H68</f>
        <v>132.95930239556137</v>
      </c>
      <c r="G68" s="34">
        <f>ABC_XYZ!N68*CostRatio</f>
        <v>3.9531301923613045</v>
      </c>
      <c r="H68" s="20">
        <f t="shared" si="22"/>
        <v>0.95</v>
      </c>
      <c r="I68" s="33">
        <f t="shared" si="23"/>
        <v>1.6448536269514715</v>
      </c>
      <c r="J68" s="29">
        <f t="shared" si="24"/>
        <v>171</v>
      </c>
      <c r="K68" s="29">
        <f t="shared" si="25"/>
        <v>379</v>
      </c>
      <c r="L68" s="29">
        <f t="shared" si="26"/>
        <v>550</v>
      </c>
      <c r="M68" s="29">
        <f t="shared" si="27"/>
        <v>2913</v>
      </c>
      <c r="N68" s="29">
        <f t="shared" si="28"/>
        <v>543</v>
      </c>
      <c r="O68" s="29">
        <f t="shared" si="29"/>
        <v>1093</v>
      </c>
      <c r="P68" s="29">
        <f t="shared" si="30"/>
        <v>650.5</v>
      </c>
      <c r="Q68" s="32">
        <f t="shared" si="31"/>
        <v>11.612083762444216</v>
      </c>
      <c r="R68" s="29">
        <f t="shared" si="32"/>
        <v>448</v>
      </c>
      <c r="S68" s="32">
        <f t="shared" si="33"/>
        <v>7.9972536903535874</v>
      </c>
      <c r="T68" s="27">
        <f t="shared" si="34"/>
        <v>1771.0023261778645</v>
      </c>
      <c r="U68" s="27">
        <f t="shared" si="35"/>
        <v>2571.5111901310283</v>
      </c>
      <c r="V68" s="27">
        <f t="shared" si="36"/>
        <v>-800.50886395316388</v>
      </c>
      <c r="W68" s="9" t="str">
        <f t="shared" si="37"/>
        <v>Reorder now</v>
      </c>
      <c r="X68" s="30">
        <f t="shared" si="38"/>
        <v>0.11452311337314647</v>
      </c>
      <c r="Y68" s="29">
        <f t="shared" si="39"/>
        <v>645</v>
      </c>
      <c r="Z68" s="27">
        <f t="shared" si="40"/>
        <v>642.87779753275709</v>
      </c>
      <c r="AA68" s="27">
        <f t="shared" si="41"/>
        <v>268.23204419889504</v>
      </c>
      <c r="AB68" s="27">
        <f t="shared" si="42"/>
        <v>403.21927962085306</v>
      </c>
      <c r="AC68" s="64">
        <f t="shared" si="43"/>
        <v>403.21934762085306</v>
      </c>
    </row>
    <row r="69" spans="1:29" ht="15" x14ac:dyDescent="0.35">
      <c r="A69" s="9" t="str">
        <f>ABC_XYZ!A69</f>
        <v>84997B</v>
      </c>
      <c r="B69" s="9" t="str">
        <f>ABC_XYZ!B69</f>
        <v>RED 3 PIECE MINI DOTS CUTLERY SET</v>
      </c>
      <c r="C69" s="31" t="str">
        <f>ABC_XYZ!K69</f>
        <v>AY</v>
      </c>
      <c r="D69" s="9" t="str">
        <f>IF(AND(_xlfn.XLOOKUP(C69,BestClass,BestMethod)="Holt-Winters",ABC_XYZ!M69="No"),_xlfn.XLOOKUP(C69,BestClass,BestFlat),_xlfn.XLOOKUP(C69,BestClass,BestMethod))</f>
        <v>Moving average</v>
      </c>
      <c r="E69" s="32">
        <f>ABC_XYZ!G69</f>
        <v>87.365384615384613</v>
      </c>
      <c r="F69" s="32">
        <f>ABC_XYZ!H69</f>
        <v>88.279420213221286</v>
      </c>
      <c r="G69" s="34">
        <f>ABC_XYZ!N69*CostRatio</f>
        <v>2.4954421352001752</v>
      </c>
      <c r="H69" s="20">
        <f t="shared" ref="H69:H100" si="44">_xlfn.XLOOKUP(LEFT(C69,1),ClassList,ClassSL)</f>
        <v>0.95</v>
      </c>
      <c r="I69" s="33">
        <f t="shared" ref="I69:I100" si="45">_xlfn.NORM.S.INV(H69)</f>
        <v>1.6448536269514715</v>
      </c>
      <c r="J69" s="29">
        <f t="shared" ref="J69:J100" si="46">SUMIFS(FutUnits,FutCode,A69,FutMethod,D69,FutHorizon,"&lt;="&amp;LeadTime)</f>
        <v>282.75</v>
      </c>
      <c r="K69" s="29">
        <f t="shared" ref="K69:K100" si="47">ROUNDUP(I69*F69*SQRT(LeadTime),0)</f>
        <v>252</v>
      </c>
      <c r="L69" s="29">
        <f t="shared" ref="L69:L100" si="48">ROUNDUP(J69,0)+K69</f>
        <v>535</v>
      </c>
      <c r="M69" s="29">
        <f t="shared" ref="M69:M100" si="49">E69*WeeksPerYear</f>
        <v>4543</v>
      </c>
      <c r="N69" s="29">
        <f t="shared" ref="N69:N100" si="50">ROUNDUP(SQRT(2*M69*OrderCost/(HoldingRate*G69)),0)</f>
        <v>854</v>
      </c>
      <c r="O69" s="29">
        <f t="shared" ref="O69:O100" si="51">L69+N69</f>
        <v>1389</v>
      </c>
      <c r="P69" s="29">
        <f t="shared" ref="P69:P100" si="52">K69+N69/2</f>
        <v>679</v>
      </c>
      <c r="Q69" s="32">
        <f t="shared" ref="Q69:Q100" si="53">P69/E69</f>
        <v>7.7719568567026194</v>
      </c>
      <c r="R69" s="29">
        <f t="shared" ref="R69:R100" si="54">ROUND(CurrentCover*E69,0)</f>
        <v>699</v>
      </c>
      <c r="S69" s="32">
        <f t="shared" ref="S69:S100" si="55">R69/E69</f>
        <v>8.0008804754567464</v>
      </c>
      <c r="T69" s="27">
        <f t="shared" ref="T69:T100" si="56">R69*G69</f>
        <v>1744.3140525049225</v>
      </c>
      <c r="U69" s="27">
        <f t="shared" ref="U69:U100" si="57">P69*G69</f>
        <v>1694.405209800919</v>
      </c>
      <c r="V69" s="27">
        <f t="shared" ref="V69:V100" si="58">T69-U69</f>
        <v>49.908842704003519</v>
      </c>
      <c r="W69" s="9" t="str">
        <f t="shared" ref="W69:W100" si="59">IF(R69&lt;=L69,"Reorder now",IF(R69&gt;O69,"Overstock","OK"))</f>
        <v>OK</v>
      </c>
      <c r="X69" s="30">
        <f t="shared" ref="X69:X100" si="60">1-_xlfn.NORM.S.DIST((R69-J69)/(F69*SQRT(LeadTime)),TRUE)</f>
        <v>3.241575961150045E-3</v>
      </c>
      <c r="Y69" s="29">
        <f t="shared" ref="Y69:Y100" si="61">IF(W69="Reorder now",O69-R69,0)</f>
        <v>0</v>
      </c>
      <c r="Z69" s="27">
        <f t="shared" ref="Z69:Z100" si="62">U69*HoldingRate</f>
        <v>423.60130245022975</v>
      </c>
      <c r="AA69" s="27">
        <f t="shared" ref="AA69:AA100" si="63">M69/N69*OrderCost</f>
        <v>265.98360655737702</v>
      </c>
      <c r="AB69" s="27">
        <f t="shared" ref="AB69:AB100" si="64">MAX(0,L69-R69)*G69</f>
        <v>0</v>
      </c>
      <c r="AC69" s="64">
        <f t="shared" ref="AC69:AC100" si="65">AB69+ROW()/1000000</f>
        <v>6.8999999999999997E-5</v>
      </c>
    </row>
    <row r="70" spans="1:29" ht="15" x14ac:dyDescent="0.35">
      <c r="A70" s="9" t="str">
        <f>ABC_XYZ!A70</f>
        <v>22501</v>
      </c>
      <c r="B70" s="9" t="str">
        <f>ABC_XYZ!B70</f>
        <v>PICNIC BASKET WICKER LARGE</v>
      </c>
      <c r="C70" s="31" t="str">
        <f>ABC_XYZ!K70</f>
        <v>AZ</v>
      </c>
      <c r="D70" s="9" t="str">
        <f>IF(AND(_xlfn.XLOOKUP(C70,BestClass,BestMethod)="Holt-Winters",ABC_XYZ!M70="No"),_xlfn.XLOOKUP(C70,BestClass,BestFlat),_xlfn.XLOOKUP(C70,BestClass,BestMethod))</f>
        <v>Naive</v>
      </c>
      <c r="E70" s="32">
        <f>ABC_XYZ!G70</f>
        <v>29.557692307692307</v>
      </c>
      <c r="F70" s="32">
        <f>ABC_XYZ!H70</f>
        <v>48.438930001272482</v>
      </c>
      <c r="G70" s="34">
        <f>ABC_XYZ!N70*CostRatio</f>
        <v>7.1962843197071376</v>
      </c>
      <c r="H70" s="20">
        <f t="shared" si="44"/>
        <v>0.95</v>
      </c>
      <c r="I70" s="33">
        <f t="shared" si="45"/>
        <v>1.6448536269514715</v>
      </c>
      <c r="J70" s="29">
        <f t="shared" si="46"/>
        <v>0</v>
      </c>
      <c r="K70" s="29">
        <f t="shared" si="47"/>
        <v>139</v>
      </c>
      <c r="L70" s="29">
        <f t="shared" si="48"/>
        <v>139</v>
      </c>
      <c r="M70" s="29">
        <f t="shared" si="49"/>
        <v>1537</v>
      </c>
      <c r="N70" s="29">
        <f t="shared" si="50"/>
        <v>293</v>
      </c>
      <c r="O70" s="29">
        <f t="shared" si="51"/>
        <v>432</v>
      </c>
      <c r="P70" s="29">
        <f t="shared" si="52"/>
        <v>285.5</v>
      </c>
      <c r="Q70" s="32">
        <f t="shared" si="53"/>
        <v>9.6590761223162005</v>
      </c>
      <c r="R70" s="29">
        <f t="shared" si="54"/>
        <v>236</v>
      </c>
      <c r="S70" s="32">
        <f t="shared" si="55"/>
        <v>7.9843851659076126</v>
      </c>
      <c r="T70" s="27">
        <f t="shared" si="56"/>
        <v>1698.3230994508845</v>
      </c>
      <c r="U70" s="27">
        <f t="shared" si="57"/>
        <v>2054.5391732763878</v>
      </c>
      <c r="V70" s="27">
        <f t="shared" si="58"/>
        <v>-356.21607382550337</v>
      </c>
      <c r="W70" s="9" t="str">
        <f t="shared" si="59"/>
        <v>OK</v>
      </c>
      <c r="X70" s="30">
        <f t="shared" si="60"/>
        <v>2.454720195276594E-3</v>
      </c>
      <c r="Y70" s="29">
        <f t="shared" si="61"/>
        <v>0</v>
      </c>
      <c r="Z70" s="27">
        <f t="shared" si="62"/>
        <v>513.63479331909696</v>
      </c>
      <c r="AA70" s="27">
        <f t="shared" si="63"/>
        <v>262.28668941979521</v>
      </c>
      <c r="AB70" s="27">
        <f t="shared" si="64"/>
        <v>0</v>
      </c>
      <c r="AC70" s="64">
        <f t="shared" si="65"/>
        <v>6.9999999999999994E-5</v>
      </c>
    </row>
    <row r="71" spans="1:29" ht="15" x14ac:dyDescent="0.35">
      <c r="A71" s="9" t="str">
        <f>ABC_XYZ!A71</f>
        <v>20914</v>
      </c>
      <c r="B71" s="9" t="str">
        <f>ABC_XYZ!B71</f>
        <v>SET/5 RED RETROSPOT LID GLASS BOWLS</v>
      </c>
      <c r="C71" s="31" t="str">
        <f>ABC_XYZ!K71</f>
        <v>AY</v>
      </c>
      <c r="D71" s="9" t="str">
        <f>IF(AND(_xlfn.XLOOKUP(C71,BestClass,BestMethod)="Holt-Winters",ABC_XYZ!M71="No"),_xlfn.XLOOKUP(C71,BestClass,BestFlat),_xlfn.XLOOKUP(C71,BestClass,BestMethod))</f>
        <v>Holt-Winters</v>
      </c>
      <c r="E71" s="32">
        <f>ABC_XYZ!G71</f>
        <v>120.5</v>
      </c>
      <c r="F71" s="32">
        <f>ABC_XYZ!H71</f>
        <v>99.615043355635294</v>
      </c>
      <c r="G71" s="34">
        <f>ABC_XYZ!N71*CostRatio</f>
        <v>1.7213443240697126</v>
      </c>
      <c r="H71" s="20">
        <f t="shared" si="44"/>
        <v>0.95</v>
      </c>
      <c r="I71" s="33">
        <f t="shared" si="45"/>
        <v>1.6448536269514715</v>
      </c>
      <c r="J71" s="29">
        <f t="shared" si="46"/>
        <v>444.2989</v>
      </c>
      <c r="K71" s="29">
        <f t="shared" si="47"/>
        <v>284</v>
      </c>
      <c r="L71" s="29">
        <f t="shared" si="48"/>
        <v>729</v>
      </c>
      <c r="M71" s="29">
        <f t="shared" si="49"/>
        <v>6266</v>
      </c>
      <c r="N71" s="29">
        <f t="shared" si="50"/>
        <v>1207</v>
      </c>
      <c r="O71" s="29">
        <f t="shared" si="51"/>
        <v>1936</v>
      </c>
      <c r="P71" s="29">
        <f t="shared" si="52"/>
        <v>887.5</v>
      </c>
      <c r="Q71" s="32">
        <f t="shared" si="53"/>
        <v>7.3651452282157672</v>
      </c>
      <c r="R71" s="29">
        <f t="shared" si="54"/>
        <v>964</v>
      </c>
      <c r="S71" s="32">
        <f t="shared" si="55"/>
        <v>8</v>
      </c>
      <c r="T71" s="27">
        <f t="shared" si="56"/>
        <v>1659.375928403203</v>
      </c>
      <c r="U71" s="27">
        <f t="shared" si="57"/>
        <v>1527.6930876118699</v>
      </c>
      <c r="V71" s="27">
        <f t="shared" si="58"/>
        <v>131.68284079133309</v>
      </c>
      <c r="W71" s="9" t="str">
        <f t="shared" si="59"/>
        <v>OK</v>
      </c>
      <c r="X71" s="30">
        <f t="shared" si="60"/>
        <v>1.297274270322557E-3</v>
      </c>
      <c r="Y71" s="29">
        <f t="shared" si="61"/>
        <v>0</v>
      </c>
      <c r="Z71" s="27">
        <f t="shared" si="62"/>
        <v>381.92327190296749</v>
      </c>
      <c r="AA71" s="27">
        <f t="shared" si="63"/>
        <v>259.56917978458989</v>
      </c>
      <c r="AB71" s="27">
        <f t="shared" si="64"/>
        <v>0</v>
      </c>
      <c r="AC71" s="64">
        <f t="shared" si="65"/>
        <v>7.1000000000000005E-5</v>
      </c>
    </row>
    <row r="72" spans="1:29" ht="15" x14ac:dyDescent="0.35">
      <c r="A72" s="9" t="str">
        <f>ABC_XYZ!A72</f>
        <v>15036</v>
      </c>
      <c r="B72" s="9" t="str">
        <f>ABC_XYZ!B72</f>
        <v>ASSORTED COLOURS SILK FAN</v>
      </c>
      <c r="C72" s="31" t="str">
        <f>ABC_XYZ!K72</f>
        <v>AY</v>
      </c>
      <c r="D72" s="9" t="str">
        <f>IF(AND(_xlfn.XLOOKUP(C72,BestClass,BestMethod)="Holt-Winters",ABC_XYZ!M72="No"),_xlfn.XLOOKUP(C72,BestClass,BestFlat),_xlfn.XLOOKUP(C72,BestClass,BestMethod))</f>
        <v>Moving average</v>
      </c>
      <c r="E72" s="32">
        <f>ABC_XYZ!G72</f>
        <v>442.26923076923077</v>
      </c>
      <c r="F72" s="32">
        <f>ABC_XYZ!H72</f>
        <v>526.98458195940236</v>
      </c>
      <c r="G72" s="34">
        <f>ABC_XYZ!N72*CostRatio</f>
        <v>0.46714339908952951</v>
      </c>
      <c r="H72" s="20">
        <f t="shared" si="44"/>
        <v>0.95</v>
      </c>
      <c r="I72" s="33">
        <f t="shared" si="45"/>
        <v>1.6448536269514715</v>
      </c>
      <c r="J72" s="29">
        <f t="shared" si="46"/>
        <v>664.125</v>
      </c>
      <c r="K72" s="29">
        <f t="shared" si="47"/>
        <v>1502</v>
      </c>
      <c r="L72" s="29">
        <f t="shared" si="48"/>
        <v>2167</v>
      </c>
      <c r="M72" s="29">
        <f t="shared" si="49"/>
        <v>22998</v>
      </c>
      <c r="N72" s="29">
        <f t="shared" si="50"/>
        <v>4438</v>
      </c>
      <c r="O72" s="29">
        <f t="shared" si="51"/>
        <v>6605</v>
      </c>
      <c r="P72" s="29">
        <f t="shared" si="52"/>
        <v>3721</v>
      </c>
      <c r="Q72" s="32">
        <f t="shared" si="53"/>
        <v>8.4134272545438726</v>
      </c>
      <c r="R72" s="29">
        <f t="shared" si="54"/>
        <v>3538</v>
      </c>
      <c r="S72" s="32">
        <f t="shared" si="55"/>
        <v>7.9996521436646661</v>
      </c>
      <c r="T72" s="27">
        <f t="shared" si="56"/>
        <v>1652.7533459787553</v>
      </c>
      <c r="U72" s="27">
        <f t="shared" si="57"/>
        <v>1738.2405880121394</v>
      </c>
      <c r="V72" s="27">
        <f t="shared" si="58"/>
        <v>-85.487242033384064</v>
      </c>
      <c r="W72" s="9" t="str">
        <f t="shared" si="59"/>
        <v>OK</v>
      </c>
      <c r="X72" s="30">
        <f t="shared" si="60"/>
        <v>8.2043882489213349E-4</v>
      </c>
      <c r="Y72" s="29">
        <f t="shared" si="61"/>
        <v>0</v>
      </c>
      <c r="Z72" s="27">
        <f t="shared" si="62"/>
        <v>434.56014700303484</v>
      </c>
      <c r="AA72" s="27">
        <f t="shared" si="63"/>
        <v>259.10319963947728</v>
      </c>
      <c r="AB72" s="27">
        <f t="shared" si="64"/>
        <v>0</v>
      </c>
      <c r="AC72" s="64">
        <f t="shared" si="65"/>
        <v>7.2000000000000002E-5</v>
      </c>
    </row>
    <row r="73" spans="1:29" ht="15" x14ac:dyDescent="0.35">
      <c r="A73" s="9" t="str">
        <f>ABC_XYZ!A73</f>
        <v>20726</v>
      </c>
      <c r="B73" s="9" t="str">
        <f>ABC_XYZ!B73</f>
        <v>LUNCH BAG WOODLAND</v>
      </c>
      <c r="C73" s="31" t="str">
        <f>ABC_XYZ!K73</f>
        <v>AX</v>
      </c>
      <c r="D73" s="9" t="str">
        <f>IF(AND(_xlfn.XLOOKUP(C73,BestClass,BestMethod)="Holt-Winters",ABC_XYZ!M73="No"),_xlfn.XLOOKUP(C73,BestClass,BestFlat),_xlfn.XLOOKUP(C73,BestClass,BestMethod))</f>
        <v>Moving average</v>
      </c>
      <c r="E73" s="32">
        <f>ABC_XYZ!G73</f>
        <v>186.90384615384616</v>
      </c>
      <c r="F73" s="32">
        <f>ABC_XYZ!H73</f>
        <v>116.6511910658177</v>
      </c>
      <c r="G73" s="34">
        <f>ABC_XYZ!N73*CostRatio</f>
        <v>1.1044493419038874</v>
      </c>
      <c r="H73" s="20">
        <f t="shared" si="44"/>
        <v>0.95</v>
      </c>
      <c r="I73" s="33">
        <f t="shared" si="45"/>
        <v>1.6448536269514715</v>
      </c>
      <c r="J73" s="29">
        <f t="shared" si="46"/>
        <v>432.375</v>
      </c>
      <c r="K73" s="29">
        <f t="shared" si="47"/>
        <v>333</v>
      </c>
      <c r="L73" s="29">
        <f t="shared" si="48"/>
        <v>766</v>
      </c>
      <c r="M73" s="29">
        <f t="shared" si="49"/>
        <v>9719</v>
      </c>
      <c r="N73" s="29">
        <f t="shared" si="50"/>
        <v>1877</v>
      </c>
      <c r="O73" s="29">
        <f t="shared" si="51"/>
        <v>2643</v>
      </c>
      <c r="P73" s="29">
        <f t="shared" si="52"/>
        <v>1271.5</v>
      </c>
      <c r="Q73" s="32">
        <f t="shared" si="53"/>
        <v>6.8029632678259082</v>
      </c>
      <c r="R73" s="29">
        <f t="shared" si="54"/>
        <v>1495</v>
      </c>
      <c r="S73" s="32">
        <f t="shared" si="55"/>
        <v>7.9987653050725385</v>
      </c>
      <c r="T73" s="27">
        <f t="shared" si="56"/>
        <v>1651.1517661463117</v>
      </c>
      <c r="U73" s="27">
        <f t="shared" si="57"/>
        <v>1404.3073382307928</v>
      </c>
      <c r="V73" s="27">
        <f t="shared" si="58"/>
        <v>246.84442791551896</v>
      </c>
      <c r="W73" s="9" t="str">
        <f t="shared" si="59"/>
        <v>OK</v>
      </c>
      <c r="X73" s="30">
        <f t="shared" si="60"/>
        <v>7.2291550856640185E-8</v>
      </c>
      <c r="Y73" s="29">
        <f t="shared" si="61"/>
        <v>0</v>
      </c>
      <c r="Z73" s="27">
        <f t="shared" si="62"/>
        <v>351.07683455769819</v>
      </c>
      <c r="AA73" s="27">
        <f t="shared" si="63"/>
        <v>258.8971763452318</v>
      </c>
      <c r="AB73" s="27">
        <f t="shared" si="64"/>
        <v>0</v>
      </c>
      <c r="AC73" s="64">
        <f t="shared" si="65"/>
        <v>7.2999999999999999E-5</v>
      </c>
    </row>
    <row r="74" spans="1:29" ht="15" x14ac:dyDescent="0.35">
      <c r="A74" s="9" t="str">
        <f>ABC_XYZ!A74</f>
        <v>22467</v>
      </c>
      <c r="B74" s="9" t="str">
        <f>ABC_XYZ!B74</f>
        <v>GUMBALL COAT RACK</v>
      </c>
      <c r="C74" s="31" t="str">
        <f>ABC_XYZ!K74</f>
        <v>AX</v>
      </c>
      <c r="D74" s="9" t="str">
        <f>IF(AND(_xlfn.XLOOKUP(C74,BestClass,BestMethod)="Holt-Winters",ABC_XYZ!M74="No"),_xlfn.XLOOKUP(C74,BestClass,BestFlat),_xlfn.XLOOKUP(C74,BestClass,BestMethod))</f>
        <v>Moving average</v>
      </c>
      <c r="E74" s="32">
        <f>ABC_XYZ!G74</f>
        <v>144.15384615384616</v>
      </c>
      <c r="F74" s="32">
        <f>ABC_XYZ!H74</f>
        <v>98.193363582187729</v>
      </c>
      <c r="G74" s="34">
        <f>ABC_XYZ!N74*CostRatio</f>
        <v>1.4235734847484485</v>
      </c>
      <c r="H74" s="20">
        <f t="shared" si="44"/>
        <v>0.95</v>
      </c>
      <c r="I74" s="33">
        <f t="shared" si="45"/>
        <v>1.6448536269514715</v>
      </c>
      <c r="J74" s="29">
        <f t="shared" si="46"/>
        <v>624</v>
      </c>
      <c r="K74" s="29">
        <f t="shared" si="47"/>
        <v>280</v>
      </c>
      <c r="L74" s="29">
        <f t="shared" si="48"/>
        <v>904</v>
      </c>
      <c r="M74" s="29">
        <f t="shared" si="49"/>
        <v>7496</v>
      </c>
      <c r="N74" s="29">
        <f t="shared" si="50"/>
        <v>1452</v>
      </c>
      <c r="O74" s="29">
        <f t="shared" si="51"/>
        <v>2356</v>
      </c>
      <c r="P74" s="29">
        <f t="shared" si="52"/>
        <v>1006</v>
      </c>
      <c r="Q74" s="32">
        <f t="shared" si="53"/>
        <v>6.9786552828175026</v>
      </c>
      <c r="R74" s="29">
        <f t="shared" si="54"/>
        <v>1153</v>
      </c>
      <c r="S74" s="32">
        <f t="shared" si="55"/>
        <v>7.9983991462113124</v>
      </c>
      <c r="T74" s="27">
        <f t="shared" si="56"/>
        <v>1641.3802279149611</v>
      </c>
      <c r="U74" s="27">
        <f t="shared" si="57"/>
        <v>1432.1149256569392</v>
      </c>
      <c r="V74" s="27">
        <f t="shared" si="58"/>
        <v>209.26530225802185</v>
      </c>
      <c r="W74" s="9" t="str">
        <f t="shared" si="59"/>
        <v>OK</v>
      </c>
      <c r="X74" s="30">
        <f t="shared" si="60"/>
        <v>9.3424629200944409E-4</v>
      </c>
      <c r="Y74" s="29">
        <f t="shared" si="61"/>
        <v>0</v>
      </c>
      <c r="Z74" s="27">
        <f t="shared" si="62"/>
        <v>358.02873141423481</v>
      </c>
      <c r="AA74" s="27">
        <f t="shared" si="63"/>
        <v>258.12672176308541</v>
      </c>
      <c r="AB74" s="27">
        <f t="shared" si="64"/>
        <v>0</v>
      </c>
      <c r="AC74" s="64">
        <f t="shared" si="65"/>
        <v>7.3999999999999996E-5</v>
      </c>
    </row>
    <row r="75" spans="1:29" ht="15" x14ac:dyDescent="0.35">
      <c r="A75" s="9" t="str">
        <f>ABC_XYZ!A75</f>
        <v>22382</v>
      </c>
      <c r="B75" s="9" t="str">
        <f>ABC_XYZ!B75</f>
        <v>LUNCH BAG SPACEBOY DESIGN</v>
      </c>
      <c r="C75" s="31" t="str">
        <f>ABC_XYZ!K75</f>
        <v>AX</v>
      </c>
      <c r="D75" s="9" t="str">
        <f>IF(AND(_xlfn.XLOOKUP(C75,BestClass,BestMethod)="Holt-Winters",ABC_XYZ!M75="No"),_xlfn.XLOOKUP(C75,BestClass,BestFlat),_xlfn.XLOOKUP(C75,BestClass,BestMethod))</f>
        <v>Moving average</v>
      </c>
      <c r="E75" s="32">
        <f>ABC_XYZ!G75</f>
        <v>196.15384615384616</v>
      </c>
      <c r="F75" s="32">
        <f>ABC_XYZ!H75</f>
        <v>98.15601519137978</v>
      </c>
      <c r="G75" s="34">
        <f>ABC_XYZ!N75*CostRatio</f>
        <v>1.0348172603533159</v>
      </c>
      <c r="H75" s="20">
        <f t="shared" si="44"/>
        <v>0.95</v>
      </c>
      <c r="I75" s="33">
        <f t="shared" si="45"/>
        <v>1.6448536269514715</v>
      </c>
      <c r="J75" s="29">
        <f t="shared" si="46"/>
        <v>790.125</v>
      </c>
      <c r="K75" s="29">
        <f t="shared" si="47"/>
        <v>280</v>
      </c>
      <c r="L75" s="29">
        <f t="shared" si="48"/>
        <v>1071</v>
      </c>
      <c r="M75" s="29">
        <f t="shared" si="49"/>
        <v>10200</v>
      </c>
      <c r="N75" s="29">
        <f t="shared" si="50"/>
        <v>1986</v>
      </c>
      <c r="O75" s="29">
        <f t="shared" si="51"/>
        <v>3057</v>
      </c>
      <c r="P75" s="29">
        <f t="shared" si="52"/>
        <v>1273</v>
      </c>
      <c r="Q75" s="32">
        <f t="shared" si="53"/>
        <v>6.489803921568627</v>
      </c>
      <c r="R75" s="29">
        <f t="shared" si="54"/>
        <v>1569</v>
      </c>
      <c r="S75" s="32">
        <f t="shared" si="55"/>
        <v>7.998823529411764</v>
      </c>
      <c r="T75" s="27">
        <f t="shared" si="56"/>
        <v>1623.6282814943527</v>
      </c>
      <c r="U75" s="27">
        <f t="shared" si="57"/>
        <v>1317.3223724297711</v>
      </c>
      <c r="V75" s="27">
        <f t="shared" si="58"/>
        <v>306.30590906458156</v>
      </c>
      <c r="W75" s="9" t="str">
        <f t="shared" si="59"/>
        <v>OK</v>
      </c>
      <c r="X75" s="30">
        <f t="shared" si="60"/>
        <v>2.310298791496912E-6</v>
      </c>
      <c r="Y75" s="29">
        <f t="shared" si="61"/>
        <v>0</v>
      </c>
      <c r="Z75" s="27">
        <f t="shared" si="62"/>
        <v>329.33059310744278</v>
      </c>
      <c r="AA75" s="27">
        <f t="shared" si="63"/>
        <v>256.79758308157102</v>
      </c>
      <c r="AB75" s="27">
        <f t="shared" si="64"/>
        <v>0</v>
      </c>
      <c r="AC75" s="64">
        <f t="shared" si="65"/>
        <v>7.4999999999999993E-5</v>
      </c>
    </row>
    <row r="76" spans="1:29" ht="15" x14ac:dyDescent="0.35">
      <c r="A76" s="9" t="str">
        <f>ABC_XYZ!A76</f>
        <v>21166</v>
      </c>
      <c r="B76" s="9" t="str">
        <f>ABC_XYZ!B76</f>
        <v>COOK WITH WINE METAL SIGN</v>
      </c>
      <c r="C76" s="31" t="str">
        <f>ABC_XYZ!K76</f>
        <v>AY</v>
      </c>
      <c r="D76" s="9" t="str">
        <f>IF(AND(_xlfn.XLOOKUP(C76,BestClass,BestMethod)="Holt-Winters",ABC_XYZ!M76="No"),_xlfn.XLOOKUP(C76,BestClass,BestFlat),_xlfn.XLOOKUP(C76,BestClass,BestMethod))</f>
        <v>Holt-Winters</v>
      </c>
      <c r="E76" s="32">
        <f>ABC_XYZ!G76</f>
        <v>169.01923076923077</v>
      </c>
      <c r="F76" s="32">
        <f>ABC_XYZ!H76</f>
        <v>156.22827571451339</v>
      </c>
      <c r="G76" s="34">
        <f>ABC_XYZ!N76*CostRatio</f>
        <v>1.20297630866426</v>
      </c>
      <c r="H76" s="20">
        <f t="shared" si="44"/>
        <v>0.95</v>
      </c>
      <c r="I76" s="33">
        <f t="shared" si="45"/>
        <v>1.6448536269514715</v>
      </c>
      <c r="J76" s="29">
        <f t="shared" si="46"/>
        <v>137.93870000000001</v>
      </c>
      <c r="K76" s="29">
        <f t="shared" si="47"/>
        <v>446</v>
      </c>
      <c r="L76" s="29">
        <f t="shared" si="48"/>
        <v>584</v>
      </c>
      <c r="M76" s="29">
        <f t="shared" si="49"/>
        <v>8789</v>
      </c>
      <c r="N76" s="29">
        <f t="shared" si="50"/>
        <v>1710</v>
      </c>
      <c r="O76" s="29">
        <f t="shared" si="51"/>
        <v>2294</v>
      </c>
      <c r="P76" s="29">
        <f t="shared" si="52"/>
        <v>1301</v>
      </c>
      <c r="Q76" s="32">
        <f t="shared" si="53"/>
        <v>7.6973489589259296</v>
      </c>
      <c r="R76" s="29">
        <f t="shared" si="54"/>
        <v>1352</v>
      </c>
      <c r="S76" s="32">
        <f t="shared" si="55"/>
        <v>7.99908977130504</v>
      </c>
      <c r="T76" s="27">
        <f t="shared" si="56"/>
        <v>1626.4239693140794</v>
      </c>
      <c r="U76" s="27">
        <f t="shared" si="57"/>
        <v>1565.0721775722022</v>
      </c>
      <c r="V76" s="27">
        <f t="shared" si="58"/>
        <v>61.35179174187715</v>
      </c>
      <c r="W76" s="9" t="str">
        <f t="shared" si="59"/>
        <v>OK</v>
      </c>
      <c r="X76" s="30">
        <f t="shared" si="60"/>
        <v>3.6179124179858135E-6</v>
      </c>
      <c r="Y76" s="29">
        <f t="shared" si="61"/>
        <v>0</v>
      </c>
      <c r="Z76" s="27">
        <f t="shared" si="62"/>
        <v>391.26804439305056</v>
      </c>
      <c r="AA76" s="27">
        <f t="shared" si="63"/>
        <v>256.98830409356725</v>
      </c>
      <c r="AB76" s="27">
        <f t="shared" si="64"/>
        <v>0</v>
      </c>
      <c r="AC76" s="64">
        <f t="shared" si="65"/>
        <v>7.6000000000000004E-5</v>
      </c>
    </row>
    <row r="77" spans="1:29" ht="15" x14ac:dyDescent="0.35">
      <c r="A77" s="9" t="str">
        <f>ABC_XYZ!A77</f>
        <v>21843</v>
      </c>
      <c r="B77" s="9" t="str">
        <f>ABC_XYZ!B77</f>
        <v>RED RETROSPOT CAKE STAND</v>
      </c>
      <c r="C77" s="31" t="str">
        <f>ABC_XYZ!K77</f>
        <v>AY</v>
      </c>
      <c r="D77" s="9" t="str">
        <f>IF(AND(_xlfn.XLOOKUP(C77,BestClass,BestMethod)="Holt-Winters",ABC_XYZ!M77="No"),_xlfn.XLOOKUP(C77,BestClass,BestFlat),_xlfn.XLOOKUP(C77,BestClass,BestMethod))</f>
        <v>Moving average</v>
      </c>
      <c r="E77" s="32">
        <f>ABC_XYZ!G77</f>
        <v>30.615384615384617</v>
      </c>
      <c r="F77" s="32">
        <f>ABC_XYZ!H77</f>
        <v>34.403119925865504</v>
      </c>
      <c r="G77" s="34">
        <f>ABC_XYZ!N77*CostRatio</f>
        <v>6.2671908237747642</v>
      </c>
      <c r="H77" s="20">
        <f t="shared" si="44"/>
        <v>0.95</v>
      </c>
      <c r="I77" s="33">
        <f t="shared" si="45"/>
        <v>1.6448536269514715</v>
      </c>
      <c r="J77" s="29">
        <f t="shared" si="46"/>
        <v>113.25</v>
      </c>
      <c r="K77" s="29">
        <f t="shared" si="47"/>
        <v>99</v>
      </c>
      <c r="L77" s="29">
        <f t="shared" si="48"/>
        <v>213</v>
      </c>
      <c r="M77" s="29">
        <f t="shared" si="49"/>
        <v>1592</v>
      </c>
      <c r="N77" s="29">
        <f t="shared" si="50"/>
        <v>319</v>
      </c>
      <c r="O77" s="29">
        <f t="shared" si="51"/>
        <v>532</v>
      </c>
      <c r="P77" s="29">
        <f t="shared" si="52"/>
        <v>258.5</v>
      </c>
      <c r="Q77" s="32">
        <f t="shared" si="53"/>
        <v>8.4434673366834172</v>
      </c>
      <c r="R77" s="29">
        <f t="shared" si="54"/>
        <v>245</v>
      </c>
      <c r="S77" s="32">
        <f t="shared" si="55"/>
        <v>8.0025125628140703</v>
      </c>
      <c r="T77" s="27">
        <f t="shared" si="56"/>
        <v>1535.4617518248172</v>
      </c>
      <c r="U77" s="27">
        <f t="shared" si="57"/>
        <v>1620.0688279457765</v>
      </c>
      <c r="V77" s="27">
        <f t="shared" si="58"/>
        <v>-84.607076120959391</v>
      </c>
      <c r="W77" s="9" t="str">
        <f t="shared" si="59"/>
        <v>OK</v>
      </c>
      <c r="X77" s="30">
        <f t="shared" si="60"/>
        <v>1.3517314875017394E-2</v>
      </c>
      <c r="Y77" s="29">
        <f t="shared" si="61"/>
        <v>0</v>
      </c>
      <c r="Z77" s="27">
        <f t="shared" si="62"/>
        <v>405.01720698644414</v>
      </c>
      <c r="AA77" s="27">
        <f t="shared" si="63"/>
        <v>249.52978056426335</v>
      </c>
      <c r="AB77" s="27">
        <f t="shared" si="64"/>
        <v>0</v>
      </c>
      <c r="AC77" s="64">
        <f t="shared" si="65"/>
        <v>7.7000000000000001E-5</v>
      </c>
    </row>
    <row r="78" spans="1:29" ht="15" x14ac:dyDescent="0.35">
      <c r="A78" s="9" t="str">
        <f>ABC_XYZ!A78</f>
        <v>22328</v>
      </c>
      <c r="B78" s="9" t="str">
        <f>ABC_XYZ!B78</f>
        <v>ROUND SNACK BOXES SET OF 4 FRUITS</v>
      </c>
      <c r="C78" s="31" t="str">
        <f>ABC_XYZ!K78</f>
        <v>AZ</v>
      </c>
      <c r="D78" s="9" t="str">
        <f>IF(AND(_xlfn.XLOOKUP(C78,BestClass,BestMethod)="Holt-Winters",ABC_XYZ!M78="No"),_xlfn.XLOOKUP(C78,BestClass,BestFlat),_xlfn.XLOOKUP(C78,BestClass,BestMethod))</f>
        <v>Naive</v>
      </c>
      <c r="E78" s="32">
        <f>ABC_XYZ!G78</f>
        <v>127.57692307692308</v>
      </c>
      <c r="F78" s="32">
        <f>ABC_XYZ!H78</f>
        <v>211.13858901380169</v>
      </c>
      <c r="G78" s="34">
        <f>ABC_XYZ!N78*CostRatio</f>
        <v>1.670066154754873</v>
      </c>
      <c r="H78" s="20">
        <f t="shared" si="44"/>
        <v>0.95</v>
      </c>
      <c r="I78" s="33">
        <f t="shared" si="45"/>
        <v>1.6448536269514715</v>
      </c>
      <c r="J78" s="29">
        <f t="shared" si="46"/>
        <v>732</v>
      </c>
      <c r="K78" s="29">
        <f t="shared" si="47"/>
        <v>602</v>
      </c>
      <c r="L78" s="29">
        <f t="shared" si="48"/>
        <v>1334</v>
      </c>
      <c r="M78" s="29">
        <f t="shared" si="49"/>
        <v>6634</v>
      </c>
      <c r="N78" s="29">
        <f t="shared" si="50"/>
        <v>1261</v>
      </c>
      <c r="O78" s="29">
        <f t="shared" si="51"/>
        <v>2595</v>
      </c>
      <c r="P78" s="29">
        <f t="shared" si="52"/>
        <v>1232.5</v>
      </c>
      <c r="Q78" s="32">
        <f t="shared" si="53"/>
        <v>9.6608381067229416</v>
      </c>
      <c r="R78" s="29">
        <f t="shared" si="54"/>
        <v>1021</v>
      </c>
      <c r="S78" s="32">
        <f t="shared" si="55"/>
        <v>8.0030147723846845</v>
      </c>
      <c r="T78" s="27">
        <f t="shared" si="56"/>
        <v>1705.1375440047252</v>
      </c>
      <c r="U78" s="27">
        <f t="shared" si="57"/>
        <v>2058.3565357353809</v>
      </c>
      <c r="V78" s="27">
        <f t="shared" si="58"/>
        <v>-353.21899173065572</v>
      </c>
      <c r="W78" s="9" t="str">
        <f t="shared" si="59"/>
        <v>Reorder now</v>
      </c>
      <c r="X78" s="30">
        <f t="shared" si="60"/>
        <v>0.21468818330520967</v>
      </c>
      <c r="Y78" s="29">
        <f t="shared" si="61"/>
        <v>1574</v>
      </c>
      <c r="Z78" s="27">
        <f t="shared" si="62"/>
        <v>514.58913393384523</v>
      </c>
      <c r="AA78" s="27">
        <f t="shared" si="63"/>
        <v>263.04520222045994</v>
      </c>
      <c r="AB78" s="27">
        <f t="shared" si="64"/>
        <v>522.73070643827521</v>
      </c>
      <c r="AC78" s="64">
        <f t="shared" si="65"/>
        <v>522.73078443827524</v>
      </c>
    </row>
    <row r="79" spans="1:29" ht="15" x14ac:dyDescent="0.35">
      <c r="A79" s="9" t="str">
        <f>ABC_XYZ!A79</f>
        <v>21485</v>
      </c>
      <c r="B79" s="9" t="str">
        <f>ABC_XYZ!B79</f>
        <v>RETROSPOT HEART HOT WATER BOTTLE</v>
      </c>
      <c r="C79" s="31" t="str">
        <f>ABC_XYZ!K79</f>
        <v>AZ</v>
      </c>
      <c r="D79" s="9" t="str">
        <f>IF(AND(_xlfn.XLOOKUP(C79,BestClass,BestMethod)="Holt-Winters",ABC_XYZ!M79="No"),_xlfn.XLOOKUP(C79,BestClass,BestFlat),_xlfn.XLOOKUP(C79,BestClass,BestMethod))</f>
        <v>Holt-Winters</v>
      </c>
      <c r="E79" s="32">
        <f>ABC_XYZ!G79</f>
        <v>64.84615384615384</v>
      </c>
      <c r="F79" s="32">
        <f>ABC_XYZ!H79</f>
        <v>97.638064060818493</v>
      </c>
      <c r="G79" s="34">
        <f>ABC_XYZ!N79*CostRatio</f>
        <v>3.0008189858490564</v>
      </c>
      <c r="H79" s="20">
        <f t="shared" si="44"/>
        <v>0.95</v>
      </c>
      <c r="I79" s="33">
        <f t="shared" si="45"/>
        <v>1.6448536269514715</v>
      </c>
      <c r="J79" s="29">
        <f t="shared" si="46"/>
        <v>489.43340000000001</v>
      </c>
      <c r="K79" s="29">
        <f t="shared" si="47"/>
        <v>279</v>
      </c>
      <c r="L79" s="29">
        <f t="shared" si="48"/>
        <v>769</v>
      </c>
      <c r="M79" s="29">
        <f t="shared" si="49"/>
        <v>3371.9999999999995</v>
      </c>
      <c r="N79" s="29">
        <f t="shared" si="50"/>
        <v>671</v>
      </c>
      <c r="O79" s="29">
        <f t="shared" si="51"/>
        <v>1440</v>
      </c>
      <c r="P79" s="29">
        <f t="shared" si="52"/>
        <v>614.5</v>
      </c>
      <c r="Q79" s="32">
        <f t="shared" si="53"/>
        <v>9.4762752075919341</v>
      </c>
      <c r="R79" s="29">
        <f t="shared" si="54"/>
        <v>519</v>
      </c>
      <c r="S79" s="32">
        <f t="shared" si="55"/>
        <v>8.0035587188612105</v>
      </c>
      <c r="T79" s="27">
        <f t="shared" si="56"/>
        <v>1557.4250536556603</v>
      </c>
      <c r="U79" s="27">
        <f t="shared" si="57"/>
        <v>1844.0032668042452</v>
      </c>
      <c r="V79" s="27">
        <f t="shared" si="58"/>
        <v>-286.57821314858484</v>
      </c>
      <c r="W79" s="9" t="str">
        <f t="shared" si="59"/>
        <v>Reorder now</v>
      </c>
      <c r="X79" s="30">
        <f t="shared" si="60"/>
        <v>0.43060571515752</v>
      </c>
      <c r="Y79" s="29">
        <f t="shared" si="61"/>
        <v>921</v>
      </c>
      <c r="Z79" s="27">
        <f t="shared" si="62"/>
        <v>461.0008167010613</v>
      </c>
      <c r="AA79" s="27">
        <f t="shared" si="63"/>
        <v>251.26676602086434</v>
      </c>
      <c r="AB79" s="27">
        <f t="shared" si="64"/>
        <v>750.2047464622641</v>
      </c>
      <c r="AC79" s="64">
        <f t="shared" si="65"/>
        <v>750.20482546226413</v>
      </c>
    </row>
    <row r="80" spans="1:29" ht="15" x14ac:dyDescent="0.35">
      <c r="A80" s="9" t="str">
        <f>ABC_XYZ!A80</f>
        <v>82486</v>
      </c>
      <c r="B80" s="9" t="str">
        <f>ABC_XYZ!B80</f>
        <v>WOOD S/3 CABINET ANT WHITE FINISH</v>
      </c>
      <c r="C80" s="31" t="str">
        <f>ABC_XYZ!K80</f>
        <v>AX</v>
      </c>
      <c r="D80" s="9" t="str">
        <f>IF(AND(_xlfn.XLOOKUP(C80,BestClass,BestMethod)="Holt-Winters",ABC_XYZ!M80="No"),_xlfn.XLOOKUP(C80,BestClass,BestFlat),_xlfn.XLOOKUP(C80,BestClass,BestMethod))</f>
        <v>Moving average</v>
      </c>
      <c r="E80" s="32">
        <f>ABC_XYZ!G80</f>
        <v>37.57692307692308</v>
      </c>
      <c r="F80" s="32">
        <f>ABC_XYZ!H80</f>
        <v>20.007200815320346</v>
      </c>
      <c r="G80" s="34">
        <f>ABC_XYZ!N80*CostRatio</f>
        <v>5.1498635014836802</v>
      </c>
      <c r="H80" s="20">
        <f t="shared" si="44"/>
        <v>0.95</v>
      </c>
      <c r="I80" s="33">
        <f t="shared" si="45"/>
        <v>1.6448536269514715</v>
      </c>
      <c r="J80" s="29">
        <f t="shared" si="46"/>
        <v>137.25</v>
      </c>
      <c r="K80" s="29">
        <f t="shared" si="47"/>
        <v>57</v>
      </c>
      <c r="L80" s="29">
        <f t="shared" si="48"/>
        <v>195</v>
      </c>
      <c r="M80" s="29">
        <f t="shared" si="49"/>
        <v>1954.0000000000002</v>
      </c>
      <c r="N80" s="29">
        <f t="shared" si="50"/>
        <v>390</v>
      </c>
      <c r="O80" s="29">
        <f t="shared" si="51"/>
        <v>585</v>
      </c>
      <c r="P80" s="29">
        <f t="shared" si="52"/>
        <v>252</v>
      </c>
      <c r="Q80" s="32">
        <f t="shared" si="53"/>
        <v>6.7062436028659151</v>
      </c>
      <c r="R80" s="29">
        <f t="shared" si="54"/>
        <v>301</v>
      </c>
      <c r="S80" s="32">
        <f t="shared" si="55"/>
        <v>8.0102354145342876</v>
      </c>
      <c r="T80" s="27">
        <f t="shared" si="56"/>
        <v>1550.1089139465878</v>
      </c>
      <c r="U80" s="27">
        <f t="shared" si="57"/>
        <v>1297.7656023738873</v>
      </c>
      <c r="V80" s="27">
        <f t="shared" si="58"/>
        <v>252.34331157270049</v>
      </c>
      <c r="W80" s="9" t="str">
        <f t="shared" si="59"/>
        <v>OK</v>
      </c>
      <c r="X80" s="30">
        <f t="shared" si="60"/>
        <v>1.1485740939454203E-6</v>
      </c>
      <c r="Y80" s="29">
        <f t="shared" si="61"/>
        <v>0</v>
      </c>
      <c r="Z80" s="27">
        <f t="shared" si="62"/>
        <v>324.44140059347183</v>
      </c>
      <c r="AA80" s="27">
        <f t="shared" si="63"/>
        <v>250.51282051282055</v>
      </c>
      <c r="AB80" s="27">
        <f t="shared" si="64"/>
        <v>0</v>
      </c>
      <c r="AC80" s="64">
        <f t="shared" si="65"/>
        <v>8.0000000000000007E-5</v>
      </c>
    </row>
    <row r="81" spans="1:29" ht="15" x14ac:dyDescent="0.35">
      <c r="A81" s="9" t="str">
        <f>ABC_XYZ!A81</f>
        <v>22384</v>
      </c>
      <c r="B81" s="9" t="str">
        <f>ABC_XYZ!B81</f>
        <v>LUNCH BAG PINK POLKADOT</v>
      </c>
      <c r="C81" s="31" t="str">
        <f>ABC_XYZ!K81</f>
        <v>AX</v>
      </c>
      <c r="D81" s="9" t="str">
        <f>IF(AND(_xlfn.XLOOKUP(C81,BestClass,BestMethod)="Holt-Winters",ABC_XYZ!M81="No"),_xlfn.XLOOKUP(C81,BestClass,BestFlat),_xlfn.XLOOKUP(C81,BestClass,BestMethod))</f>
        <v>Moving average</v>
      </c>
      <c r="E81" s="32">
        <f>ABC_XYZ!G81</f>
        <v>194.98076923076923</v>
      </c>
      <c r="F81" s="32">
        <f>ABC_XYZ!H81</f>
        <v>129.03024275143684</v>
      </c>
      <c r="G81" s="34">
        <f>ABC_XYZ!N81*CostRatio</f>
        <v>0.99093052181517827</v>
      </c>
      <c r="H81" s="20">
        <f t="shared" si="44"/>
        <v>0.95</v>
      </c>
      <c r="I81" s="33">
        <f t="shared" si="45"/>
        <v>1.6448536269514715</v>
      </c>
      <c r="J81" s="29">
        <f t="shared" si="46"/>
        <v>429.375</v>
      </c>
      <c r="K81" s="29">
        <f t="shared" si="47"/>
        <v>368</v>
      </c>
      <c r="L81" s="29">
        <f t="shared" si="48"/>
        <v>798</v>
      </c>
      <c r="M81" s="29">
        <f t="shared" si="49"/>
        <v>10139</v>
      </c>
      <c r="N81" s="29">
        <f t="shared" si="50"/>
        <v>2024</v>
      </c>
      <c r="O81" s="29">
        <f t="shared" si="51"/>
        <v>2822</v>
      </c>
      <c r="P81" s="29">
        <f t="shared" si="52"/>
        <v>1380</v>
      </c>
      <c r="Q81" s="32">
        <f t="shared" si="53"/>
        <v>7.0776210671663877</v>
      </c>
      <c r="R81" s="29">
        <f t="shared" si="54"/>
        <v>1560</v>
      </c>
      <c r="S81" s="32">
        <f t="shared" si="55"/>
        <v>8.0007890324489601</v>
      </c>
      <c r="T81" s="27">
        <f t="shared" si="56"/>
        <v>1545.8516140316781</v>
      </c>
      <c r="U81" s="27">
        <f t="shared" si="57"/>
        <v>1367.484120104946</v>
      </c>
      <c r="V81" s="27">
        <f t="shared" si="58"/>
        <v>178.3674939267321</v>
      </c>
      <c r="W81" s="9" t="str">
        <f t="shared" si="59"/>
        <v>OK</v>
      </c>
      <c r="X81" s="30">
        <f t="shared" si="60"/>
        <v>2.1070774025577776E-7</v>
      </c>
      <c r="Y81" s="29">
        <f t="shared" si="61"/>
        <v>0</v>
      </c>
      <c r="Z81" s="27">
        <f t="shared" si="62"/>
        <v>341.8710300262365</v>
      </c>
      <c r="AA81" s="27">
        <f t="shared" si="63"/>
        <v>250.46936758893281</v>
      </c>
      <c r="AB81" s="27">
        <f t="shared" si="64"/>
        <v>0</v>
      </c>
      <c r="AC81" s="64">
        <f t="shared" si="65"/>
        <v>8.1000000000000004E-5</v>
      </c>
    </row>
    <row r="82" spans="1:29" ht="15" x14ac:dyDescent="0.35">
      <c r="A82" s="9" t="str">
        <f>ABC_XYZ!A82</f>
        <v>84997C</v>
      </c>
      <c r="B82" s="9" t="str">
        <f>ABC_XYZ!B82</f>
        <v>BLUE 3 PIECE MINI DOTS CUTLERY SET</v>
      </c>
      <c r="C82" s="31" t="str">
        <f>ABC_XYZ!K82</f>
        <v>AY</v>
      </c>
      <c r="D82" s="9" t="str">
        <f>IF(AND(_xlfn.XLOOKUP(C82,BestClass,BestMethod)="Holt-Winters",ABC_XYZ!M82="No"),_xlfn.XLOOKUP(C82,BestClass,BestFlat),_xlfn.XLOOKUP(C82,BestClass,BestMethod))</f>
        <v>Moving average</v>
      </c>
      <c r="E82" s="32">
        <f>ABC_XYZ!G82</f>
        <v>77.442307692307693</v>
      </c>
      <c r="F82" s="32">
        <f>ABC_XYZ!H82</f>
        <v>85.901086176688366</v>
      </c>
      <c r="G82" s="34">
        <f>ABC_XYZ!N82*CostRatio</f>
        <v>2.4719478649453821</v>
      </c>
      <c r="H82" s="20">
        <f t="shared" si="44"/>
        <v>0.95</v>
      </c>
      <c r="I82" s="33">
        <f t="shared" si="45"/>
        <v>1.6448536269514715</v>
      </c>
      <c r="J82" s="29">
        <f t="shared" si="46"/>
        <v>356.625</v>
      </c>
      <c r="K82" s="29">
        <f t="shared" si="47"/>
        <v>245</v>
      </c>
      <c r="L82" s="29">
        <f t="shared" si="48"/>
        <v>602</v>
      </c>
      <c r="M82" s="29">
        <f t="shared" si="49"/>
        <v>4027</v>
      </c>
      <c r="N82" s="29">
        <f t="shared" si="50"/>
        <v>808</v>
      </c>
      <c r="O82" s="29">
        <f t="shared" si="51"/>
        <v>1410</v>
      </c>
      <c r="P82" s="29">
        <f t="shared" si="52"/>
        <v>649</v>
      </c>
      <c r="Q82" s="32">
        <f t="shared" si="53"/>
        <v>8.3804320834368013</v>
      </c>
      <c r="R82" s="29">
        <f t="shared" si="54"/>
        <v>620</v>
      </c>
      <c r="S82" s="32">
        <f t="shared" si="55"/>
        <v>8.0059597715420914</v>
      </c>
      <c r="T82" s="27">
        <f t="shared" si="56"/>
        <v>1532.6076762661369</v>
      </c>
      <c r="U82" s="27">
        <f t="shared" si="57"/>
        <v>1604.2941643495531</v>
      </c>
      <c r="V82" s="27">
        <f t="shared" si="58"/>
        <v>-71.68648808341618</v>
      </c>
      <c r="W82" s="9" t="str">
        <f t="shared" si="59"/>
        <v>OK</v>
      </c>
      <c r="X82" s="30">
        <f t="shared" si="60"/>
        <v>3.8349314330069495E-2</v>
      </c>
      <c r="Y82" s="29">
        <f t="shared" si="61"/>
        <v>0</v>
      </c>
      <c r="Z82" s="27">
        <f t="shared" si="62"/>
        <v>401.07354108738826</v>
      </c>
      <c r="AA82" s="27">
        <f t="shared" si="63"/>
        <v>249.19554455445544</v>
      </c>
      <c r="AB82" s="27">
        <f t="shared" si="64"/>
        <v>0</v>
      </c>
      <c r="AC82" s="64">
        <f t="shared" si="65"/>
        <v>8.2000000000000001E-5</v>
      </c>
    </row>
    <row r="83" spans="1:29" ht="15" x14ac:dyDescent="0.35">
      <c r="A83" s="9" t="str">
        <f>ABC_XYZ!A83</f>
        <v>22492</v>
      </c>
      <c r="B83" s="9" t="str">
        <f>ABC_XYZ!B83</f>
        <v>MINI PAINT SET VINTAGE</v>
      </c>
      <c r="C83" s="31" t="str">
        <f>ABC_XYZ!K83</f>
        <v>AY</v>
      </c>
      <c r="D83" s="9" t="str">
        <f>IF(AND(_xlfn.XLOOKUP(C83,BestClass,BestMethod)="Holt-Winters",ABC_XYZ!M83="No"),_xlfn.XLOOKUP(C83,BestClass,BestFlat),_xlfn.XLOOKUP(C83,BestClass,BestMethod))</f>
        <v>Holt-Winters</v>
      </c>
      <c r="E83" s="32">
        <f>ABC_XYZ!G83</f>
        <v>500.53846153846155</v>
      </c>
      <c r="F83" s="32">
        <f>ABC_XYZ!H83</f>
        <v>416.9279084501847</v>
      </c>
      <c r="G83" s="34">
        <f>ABC_XYZ!N83*CostRatio</f>
        <v>0.38116267541183646</v>
      </c>
      <c r="H83" s="20">
        <f t="shared" si="44"/>
        <v>0.95</v>
      </c>
      <c r="I83" s="33">
        <f t="shared" si="45"/>
        <v>1.6448536269514715</v>
      </c>
      <c r="J83" s="29">
        <f t="shared" si="46"/>
        <v>804.67890000000011</v>
      </c>
      <c r="K83" s="29">
        <f t="shared" si="47"/>
        <v>1188</v>
      </c>
      <c r="L83" s="29">
        <f t="shared" si="48"/>
        <v>1993</v>
      </c>
      <c r="M83" s="29">
        <f t="shared" si="49"/>
        <v>26028</v>
      </c>
      <c r="N83" s="29">
        <f t="shared" si="50"/>
        <v>5227</v>
      </c>
      <c r="O83" s="29">
        <f t="shared" si="51"/>
        <v>7220</v>
      </c>
      <c r="P83" s="29">
        <f t="shared" si="52"/>
        <v>3801.5</v>
      </c>
      <c r="Q83" s="32">
        <f t="shared" si="53"/>
        <v>7.5948209620408793</v>
      </c>
      <c r="R83" s="29">
        <f t="shared" si="54"/>
        <v>4004</v>
      </c>
      <c r="S83" s="32">
        <f t="shared" si="55"/>
        <v>7.9993852773935759</v>
      </c>
      <c r="T83" s="27">
        <f t="shared" si="56"/>
        <v>1526.1753523489931</v>
      </c>
      <c r="U83" s="27">
        <f t="shared" si="57"/>
        <v>1448.9899105780962</v>
      </c>
      <c r="V83" s="27">
        <f t="shared" si="58"/>
        <v>77.185441770896887</v>
      </c>
      <c r="W83" s="9" t="str">
        <f t="shared" si="59"/>
        <v>OK</v>
      </c>
      <c r="X83" s="30">
        <f t="shared" si="60"/>
        <v>4.7044142887919804E-6</v>
      </c>
      <c r="Y83" s="29">
        <f t="shared" si="61"/>
        <v>0</v>
      </c>
      <c r="Z83" s="27">
        <f t="shared" si="62"/>
        <v>362.24747764452405</v>
      </c>
      <c r="AA83" s="27">
        <f t="shared" si="63"/>
        <v>248.97646833747848</v>
      </c>
      <c r="AB83" s="27">
        <f t="shared" si="64"/>
        <v>0</v>
      </c>
      <c r="AC83" s="64">
        <f t="shared" si="65"/>
        <v>8.2999999999999998E-5</v>
      </c>
    </row>
    <row r="84" spans="1:29" ht="15" x14ac:dyDescent="0.35">
      <c r="A84" s="9" t="str">
        <f>ABC_XYZ!A84</f>
        <v>21754</v>
      </c>
      <c r="B84" s="9" t="str">
        <f>ABC_XYZ!B84</f>
        <v>HOME BUILDING BLOCK WORD</v>
      </c>
      <c r="C84" s="31" t="str">
        <f>ABC_XYZ!K84</f>
        <v>AX</v>
      </c>
      <c r="D84" s="9" t="str">
        <f>IF(AND(_xlfn.XLOOKUP(C84,BestClass,BestMethod)="Holt-Winters",ABC_XYZ!M84="No"),_xlfn.XLOOKUP(C84,BestClass,BestFlat),_xlfn.XLOOKUP(C84,BestClass,BestMethod))</f>
        <v>Moving average</v>
      </c>
      <c r="E84" s="32">
        <f>ABC_XYZ!G84</f>
        <v>52</v>
      </c>
      <c r="F84" s="32">
        <f>ABC_XYZ!H84</f>
        <v>28.673961680091793</v>
      </c>
      <c r="G84" s="34">
        <f>ABC_XYZ!N84*CostRatio</f>
        <v>3.6666167400881053</v>
      </c>
      <c r="H84" s="20">
        <f t="shared" si="44"/>
        <v>0.95</v>
      </c>
      <c r="I84" s="33">
        <f t="shared" si="45"/>
        <v>1.6448536269514715</v>
      </c>
      <c r="J84" s="29">
        <f t="shared" si="46"/>
        <v>135.375</v>
      </c>
      <c r="K84" s="29">
        <f t="shared" si="47"/>
        <v>82</v>
      </c>
      <c r="L84" s="29">
        <f t="shared" si="48"/>
        <v>218</v>
      </c>
      <c r="M84" s="29">
        <f t="shared" si="49"/>
        <v>2704</v>
      </c>
      <c r="N84" s="29">
        <f t="shared" si="50"/>
        <v>544</v>
      </c>
      <c r="O84" s="29">
        <f t="shared" si="51"/>
        <v>762</v>
      </c>
      <c r="P84" s="29">
        <f t="shared" si="52"/>
        <v>354</v>
      </c>
      <c r="Q84" s="32">
        <f t="shared" si="53"/>
        <v>6.8076923076923075</v>
      </c>
      <c r="R84" s="29">
        <f t="shared" si="54"/>
        <v>416</v>
      </c>
      <c r="S84" s="32">
        <f t="shared" si="55"/>
        <v>8</v>
      </c>
      <c r="T84" s="27">
        <f t="shared" si="56"/>
        <v>1525.3125638766519</v>
      </c>
      <c r="U84" s="27">
        <f t="shared" si="57"/>
        <v>1297.9823259911893</v>
      </c>
      <c r="V84" s="27">
        <f t="shared" si="58"/>
        <v>227.33023788546257</v>
      </c>
      <c r="W84" s="9" t="str">
        <f t="shared" si="59"/>
        <v>OK</v>
      </c>
      <c r="X84" s="30">
        <f t="shared" si="60"/>
        <v>8.0044498806941533E-9</v>
      </c>
      <c r="Y84" s="29">
        <f t="shared" si="61"/>
        <v>0</v>
      </c>
      <c r="Z84" s="27">
        <f t="shared" si="62"/>
        <v>324.49558149779733</v>
      </c>
      <c r="AA84" s="27">
        <f t="shared" si="63"/>
        <v>248.52941176470588</v>
      </c>
      <c r="AB84" s="27">
        <f t="shared" si="64"/>
        <v>0</v>
      </c>
      <c r="AC84" s="64">
        <f t="shared" si="65"/>
        <v>8.3999999999999995E-5</v>
      </c>
    </row>
    <row r="85" spans="1:29" ht="15" x14ac:dyDescent="0.35">
      <c r="A85" s="9" t="str">
        <f>ABC_XYZ!A85</f>
        <v>22077</v>
      </c>
      <c r="B85" s="9" t="str">
        <f>ABC_XYZ!B85</f>
        <v>6 RIBBONS RUSTIC CHARM</v>
      </c>
      <c r="C85" s="31" t="str">
        <f>ABC_XYZ!K85</f>
        <v>AX</v>
      </c>
      <c r="D85" s="9" t="str">
        <f>IF(AND(_xlfn.XLOOKUP(C85,BestClass,BestMethod)="Holt-Winters",ABC_XYZ!M85="No"),_xlfn.XLOOKUP(C85,BestClass,BestFlat),_xlfn.XLOOKUP(C85,BestClass,BestMethod))</f>
        <v>Moving average</v>
      </c>
      <c r="E85" s="32">
        <f>ABC_XYZ!G85</f>
        <v>170.59615384615384</v>
      </c>
      <c r="F85" s="32">
        <f>ABC_XYZ!H85</f>
        <v>98.97756917909895</v>
      </c>
      <c r="G85" s="34">
        <f>ABC_XYZ!N85*CostRatio</f>
        <v>1.1170039303761932</v>
      </c>
      <c r="H85" s="20">
        <f t="shared" si="44"/>
        <v>0.95</v>
      </c>
      <c r="I85" s="33">
        <f t="shared" si="45"/>
        <v>1.6448536269514715</v>
      </c>
      <c r="J85" s="29">
        <f t="shared" si="46"/>
        <v>873.75</v>
      </c>
      <c r="K85" s="29">
        <f t="shared" si="47"/>
        <v>282</v>
      </c>
      <c r="L85" s="29">
        <f t="shared" si="48"/>
        <v>1156</v>
      </c>
      <c r="M85" s="29">
        <f t="shared" si="49"/>
        <v>8871</v>
      </c>
      <c r="N85" s="29">
        <f t="shared" si="50"/>
        <v>1783</v>
      </c>
      <c r="O85" s="29">
        <f t="shared" si="51"/>
        <v>2939</v>
      </c>
      <c r="P85" s="29">
        <f t="shared" si="52"/>
        <v>1173.5</v>
      </c>
      <c r="Q85" s="32">
        <f t="shared" si="53"/>
        <v>6.8788186224777368</v>
      </c>
      <c r="R85" s="29">
        <f t="shared" si="54"/>
        <v>1365</v>
      </c>
      <c r="S85" s="32">
        <f t="shared" si="55"/>
        <v>8.0013527223537366</v>
      </c>
      <c r="T85" s="27">
        <f t="shared" si="56"/>
        <v>1524.7103649635037</v>
      </c>
      <c r="U85" s="27">
        <f t="shared" si="57"/>
        <v>1310.8041122964628</v>
      </c>
      <c r="V85" s="27">
        <f t="shared" si="58"/>
        <v>213.90625266704092</v>
      </c>
      <c r="W85" s="9" t="str">
        <f t="shared" si="59"/>
        <v>OK</v>
      </c>
      <c r="X85" s="30">
        <f t="shared" si="60"/>
        <v>2.0815507591211979E-3</v>
      </c>
      <c r="Y85" s="29">
        <f t="shared" si="61"/>
        <v>0</v>
      </c>
      <c r="Z85" s="27">
        <f t="shared" si="62"/>
        <v>327.7010280741157</v>
      </c>
      <c r="AA85" s="27">
        <f t="shared" si="63"/>
        <v>248.76612450925407</v>
      </c>
      <c r="AB85" s="27">
        <f t="shared" si="64"/>
        <v>0</v>
      </c>
      <c r="AC85" s="64">
        <f t="shared" si="65"/>
        <v>8.5000000000000006E-5</v>
      </c>
    </row>
    <row r="86" spans="1:29" ht="15" x14ac:dyDescent="0.35">
      <c r="A86" s="9" t="str">
        <f>ABC_XYZ!A86</f>
        <v>22385</v>
      </c>
      <c r="B86" s="9" t="str">
        <f>ABC_XYZ!B86</f>
        <v>JUMBO BAG SPACEBOY DESIGN</v>
      </c>
      <c r="C86" s="31" t="str">
        <f>ABC_XYZ!K86</f>
        <v>AY</v>
      </c>
      <c r="D86" s="9" t="str">
        <f>IF(AND(_xlfn.XLOOKUP(C86,BestClass,BestMethod)="Holt-Winters",ABC_XYZ!M86="No"),_xlfn.XLOOKUP(C86,BestClass,BestFlat),_xlfn.XLOOKUP(C86,BestClass,BestMethod))</f>
        <v>Holt-Winters</v>
      </c>
      <c r="E86" s="32">
        <f>ABC_XYZ!G86</f>
        <v>157.48076923076923</v>
      </c>
      <c r="F86" s="32">
        <f>ABC_XYZ!H86</f>
        <v>132.67304503111419</v>
      </c>
      <c r="G86" s="34">
        <f>ABC_XYZ!N86*CostRatio</f>
        <v>1.1808205128205127</v>
      </c>
      <c r="H86" s="20">
        <f t="shared" si="44"/>
        <v>0.95</v>
      </c>
      <c r="I86" s="33">
        <f t="shared" si="45"/>
        <v>1.6448536269514715</v>
      </c>
      <c r="J86" s="29">
        <f t="shared" si="46"/>
        <v>108.3626</v>
      </c>
      <c r="K86" s="29">
        <f t="shared" si="47"/>
        <v>378</v>
      </c>
      <c r="L86" s="29">
        <f t="shared" si="48"/>
        <v>487</v>
      </c>
      <c r="M86" s="29">
        <f t="shared" si="49"/>
        <v>8189</v>
      </c>
      <c r="N86" s="29">
        <f t="shared" si="50"/>
        <v>1666</v>
      </c>
      <c r="O86" s="29">
        <f t="shared" si="51"/>
        <v>2153</v>
      </c>
      <c r="P86" s="29">
        <f t="shared" si="52"/>
        <v>1211</v>
      </c>
      <c r="Q86" s="32">
        <f t="shared" si="53"/>
        <v>7.689827817804372</v>
      </c>
      <c r="R86" s="29">
        <f t="shared" si="54"/>
        <v>1260</v>
      </c>
      <c r="S86" s="32">
        <f t="shared" si="55"/>
        <v>8.0009769202588839</v>
      </c>
      <c r="T86" s="27">
        <f t="shared" si="56"/>
        <v>1487.833846153846</v>
      </c>
      <c r="U86" s="27">
        <f t="shared" si="57"/>
        <v>1429.973641025641</v>
      </c>
      <c r="V86" s="27">
        <f t="shared" si="58"/>
        <v>57.860205128205052</v>
      </c>
      <c r="W86" s="9" t="str">
        <f t="shared" si="59"/>
        <v>OK</v>
      </c>
      <c r="X86" s="30">
        <f t="shared" si="60"/>
        <v>2.6996078306140703E-7</v>
      </c>
      <c r="Y86" s="29">
        <f t="shared" si="61"/>
        <v>0</v>
      </c>
      <c r="Z86" s="27">
        <f t="shared" si="62"/>
        <v>357.49341025641024</v>
      </c>
      <c r="AA86" s="27">
        <f t="shared" si="63"/>
        <v>245.76830732292919</v>
      </c>
      <c r="AB86" s="27">
        <f t="shared" si="64"/>
        <v>0</v>
      </c>
      <c r="AC86" s="64">
        <f t="shared" si="65"/>
        <v>8.6000000000000003E-5</v>
      </c>
    </row>
    <row r="87" spans="1:29" ht="15" x14ac:dyDescent="0.35">
      <c r="A87" s="9" t="str">
        <f>ABC_XYZ!A87</f>
        <v>82583</v>
      </c>
      <c r="B87" s="9" t="str">
        <f>ABC_XYZ!B87</f>
        <v>HOT BATHS METAL SIGN</v>
      </c>
      <c r="C87" s="31" t="str">
        <f>ABC_XYZ!K87</f>
        <v>AY</v>
      </c>
      <c r="D87" s="9" t="str">
        <f>IF(AND(_xlfn.XLOOKUP(C87,BestClass,BestMethod)="Holt-Winters",ABC_XYZ!M87="No"),_xlfn.XLOOKUP(C87,BestClass,BestFlat),_xlfn.XLOOKUP(C87,BestClass,BestMethod))</f>
        <v>Holt-Winters</v>
      </c>
      <c r="E87" s="32">
        <f>ABC_XYZ!G87</f>
        <v>132.86538461538461</v>
      </c>
      <c r="F87" s="32">
        <f>ABC_XYZ!H87</f>
        <v>135.3621183788361</v>
      </c>
      <c r="G87" s="34">
        <f>ABC_XYZ!N87*CostRatio</f>
        <v>1.3867632144391921</v>
      </c>
      <c r="H87" s="20">
        <f t="shared" si="44"/>
        <v>0.95</v>
      </c>
      <c r="I87" s="33">
        <f t="shared" si="45"/>
        <v>1.6448536269514715</v>
      </c>
      <c r="J87" s="29">
        <f t="shared" si="46"/>
        <v>528.89499999999998</v>
      </c>
      <c r="K87" s="29">
        <f t="shared" si="47"/>
        <v>386</v>
      </c>
      <c r="L87" s="29">
        <f t="shared" si="48"/>
        <v>915</v>
      </c>
      <c r="M87" s="29">
        <f t="shared" si="49"/>
        <v>6909</v>
      </c>
      <c r="N87" s="29">
        <f t="shared" si="50"/>
        <v>1412</v>
      </c>
      <c r="O87" s="29">
        <f t="shared" si="51"/>
        <v>2327</v>
      </c>
      <c r="P87" s="29">
        <f t="shared" si="52"/>
        <v>1092</v>
      </c>
      <c r="Q87" s="32">
        <f t="shared" si="53"/>
        <v>8.2188449848024323</v>
      </c>
      <c r="R87" s="29">
        <f t="shared" si="54"/>
        <v>1063</v>
      </c>
      <c r="S87" s="32">
        <f t="shared" si="55"/>
        <v>8.0005789549862492</v>
      </c>
      <c r="T87" s="27">
        <f t="shared" si="56"/>
        <v>1474.1292969488613</v>
      </c>
      <c r="U87" s="27">
        <f t="shared" si="57"/>
        <v>1514.3454301675979</v>
      </c>
      <c r="V87" s="27">
        <f t="shared" si="58"/>
        <v>-40.216133218736559</v>
      </c>
      <c r="W87" s="9" t="str">
        <f t="shared" si="59"/>
        <v>OK</v>
      </c>
      <c r="X87" s="30">
        <f t="shared" si="60"/>
        <v>1.1360921018635284E-2</v>
      </c>
      <c r="Y87" s="29">
        <f t="shared" si="61"/>
        <v>0</v>
      </c>
      <c r="Z87" s="27">
        <f t="shared" si="62"/>
        <v>378.58635754189947</v>
      </c>
      <c r="AA87" s="27">
        <f t="shared" si="63"/>
        <v>244.6529745042493</v>
      </c>
      <c r="AB87" s="27">
        <f t="shared" si="64"/>
        <v>0</v>
      </c>
      <c r="AC87" s="64">
        <f t="shared" si="65"/>
        <v>8.7000000000000001E-5</v>
      </c>
    </row>
    <row r="88" spans="1:29" ht="15" x14ac:dyDescent="0.35">
      <c r="A88" s="9" t="str">
        <f>ABC_XYZ!A88</f>
        <v>15056BL</v>
      </c>
      <c r="B88" s="9" t="str">
        <f>ABC_XYZ!B88</f>
        <v>EDWARDIAN PARASOL BLACK</v>
      </c>
      <c r="C88" s="31" t="str">
        <f>ABC_XYZ!K88</f>
        <v>AY</v>
      </c>
      <c r="D88" s="9" t="str">
        <f>IF(AND(_xlfn.XLOOKUP(C88,BestClass,BestMethod)="Holt-Winters",ABC_XYZ!M88="No"),_xlfn.XLOOKUP(C88,BestClass,BestFlat),_xlfn.XLOOKUP(C88,BestClass,BestMethod))</f>
        <v>Holt-Winters</v>
      </c>
      <c r="E88" s="32">
        <f>ABC_XYZ!G88</f>
        <v>54.730769230769234</v>
      </c>
      <c r="F88" s="32">
        <f>ABC_XYZ!H88</f>
        <v>50.759376757486365</v>
      </c>
      <c r="G88" s="34">
        <f>ABC_XYZ!N88*CostRatio</f>
        <v>3.4363911413969337</v>
      </c>
      <c r="H88" s="20">
        <f t="shared" si="44"/>
        <v>0.95</v>
      </c>
      <c r="I88" s="33">
        <f t="shared" si="45"/>
        <v>1.6448536269514715</v>
      </c>
      <c r="J88" s="29">
        <f t="shared" si="46"/>
        <v>708.4063000000001</v>
      </c>
      <c r="K88" s="29">
        <f t="shared" si="47"/>
        <v>145</v>
      </c>
      <c r="L88" s="29">
        <f t="shared" si="48"/>
        <v>854</v>
      </c>
      <c r="M88" s="29">
        <f t="shared" si="49"/>
        <v>2846</v>
      </c>
      <c r="N88" s="29">
        <f t="shared" si="50"/>
        <v>576</v>
      </c>
      <c r="O88" s="29">
        <f t="shared" si="51"/>
        <v>1430</v>
      </c>
      <c r="P88" s="29">
        <f t="shared" si="52"/>
        <v>433</v>
      </c>
      <c r="Q88" s="32">
        <f t="shared" si="53"/>
        <v>7.9114546732255793</v>
      </c>
      <c r="R88" s="29">
        <f t="shared" si="54"/>
        <v>438</v>
      </c>
      <c r="S88" s="32">
        <f t="shared" si="55"/>
        <v>8.0028109627547437</v>
      </c>
      <c r="T88" s="27">
        <f t="shared" si="56"/>
        <v>1505.139319931857</v>
      </c>
      <c r="U88" s="27">
        <f t="shared" si="57"/>
        <v>1487.9573642248722</v>
      </c>
      <c r="V88" s="27">
        <f t="shared" si="58"/>
        <v>17.181955706984809</v>
      </c>
      <c r="W88" s="9" t="str">
        <f t="shared" si="59"/>
        <v>Reorder now</v>
      </c>
      <c r="X88" s="30">
        <f t="shared" si="60"/>
        <v>0.9989498532121891</v>
      </c>
      <c r="Y88" s="29">
        <f t="shared" si="61"/>
        <v>992</v>
      </c>
      <c r="Z88" s="27">
        <f t="shared" si="62"/>
        <v>371.98934105621805</v>
      </c>
      <c r="AA88" s="27">
        <f t="shared" si="63"/>
        <v>247.04861111111111</v>
      </c>
      <c r="AB88" s="27">
        <f t="shared" si="64"/>
        <v>1429.5387148211244</v>
      </c>
      <c r="AC88" s="64">
        <f t="shared" si="65"/>
        <v>1429.5388028211244</v>
      </c>
    </row>
    <row r="89" spans="1:29" ht="15" x14ac:dyDescent="0.35">
      <c r="A89" s="9" t="str">
        <f>ABC_XYZ!A89</f>
        <v>20719</v>
      </c>
      <c r="B89" s="9" t="str">
        <f>ABC_XYZ!B89</f>
        <v>WOODLAND CHARLOTTE BAG</v>
      </c>
      <c r="C89" s="31" t="str">
        <f>ABC_XYZ!K89</f>
        <v>AX</v>
      </c>
      <c r="D89" s="9" t="str">
        <f>IF(AND(_xlfn.XLOOKUP(C89,BestClass,BestMethod)="Holt-Winters",ABC_XYZ!M89="No"),_xlfn.XLOOKUP(C89,BestClass,BestFlat),_xlfn.XLOOKUP(C89,BestClass,BestMethod))</f>
        <v>Moving average</v>
      </c>
      <c r="E89" s="32">
        <f>ABC_XYZ!G89</f>
        <v>242.34615384615384</v>
      </c>
      <c r="F89" s="32">
        <f>ABC_XYZ!H89</f>
        <v>125.06968796499869</v>
      </c>
      <c r="G89" s="34">
        <f>ABC_XYZ!N89*CostRatio</f>
        <v>0.74610665408211407</v>
      </c>
      <c r="H89" s="20">
        <f t="shared" si="44"/>
        <v>0.95</v>
      </c>
      <c r="I89" s="33">
        <f t="shared" si="45"/>
        <v>1.6448536269514715</v>
      </c>
      <c r="J89" s="29">
        <f t="shared" si="46"/>
        <v>682.875</v>
      </c>
      <c r="K89" s="29">
        <f t="shared" si="47"/>
        <v>357</v>
      </c>
      <c r="L89" s="29">
        <f t="shared" si="48"/>
        <v>1040</v>
      </c>
      <c r="M89" s="29">
        <f t="shared" si="49"/>
        <v>12602</v>
      </c>
      <c r="N89" s="29">
        <f t="shared" si="50"/>
        <v>2600</v>
      </c>
      <c r="O89" s="29">
        <f t="shared" si="51"/>
        <v>3640</v>
      </c>
      <c r="P89" s="29">
        <f t="shared" si="52"/>
        <v>1657</v>
      </c>
      <c r="Q89" s="32">
        <f t="shared" si="53"/>
        <v>6.8373274083478819</v>
      </c>
      <c r="R89" s="29">
        <f t="shared" si="54"/>
        <v>1939</v>
      </c>
      <c r="S89" s="32">
        <f t="shared" si="55"/>
        <v>8.0009522298047937</v>
      </c>
      <c r="T89" s="27">
        <f t="shared" si="56"/>
        <v>1446.7008022652192</v>
      </c>
      <c r="U89" s="27">
        <f t="shared" si="57"/>
        <v>1236.2987258140631</v>
      </c>
      <c r="V89" s="27">
        <f t="shared" si="58"/>
        <v>210.40207645115606</v>
      </c>
      <c r="W89" s="9" t="str">
        <f t="shared" si="59"/>
        <v>OK</v>
      </c>
      <c r="X89" s="30">
        <f t="shared" si="60"/>
        <v>3.3443359193086053E-9</v>
      </c>
      <c r="Y89" s="29">
        <f t="shared" si="61"/>
        <v>0</v>
      </c>
      <c r="Z89" s="27">
        <f t="shared" si="62"/>
        <v>309.07468145351578</v>
      </c>
      <c r="AA89" s="27">
        <f t="shared" si="63"/>
        <v>242.34615384615387</v>
      </c>
      <c r="AB89" s="27">
        <f t="shared" si="64"/>
        <v>0</v>
      </c>
      <c r="AC89" s="64">
        <f t="shared" si="65"/>
        <v>8.8999999999999995E-5</v>
      </c>
    </row>
    <row r="90" spans="1:29" ht="15" x14ac:dyDescent="0.35">
      <c r="A90" s="9" t="str">
        <f>ABC_XYZ!A90</f>
        <v>84978</v>
      </c>
      <c r="B90" s="9" t="str">
        <f>ABC_XYZ!B90</f>
        <v>HANGING HEART JAR T-LIGHT HOLDER</v>
      </c>
      <c r="C90" s="31" t="str">
        <f>ABC_XYZ!K90</f>
        <v>AX</v>
      </c>
      <c r="D90" s="9" t="str">
        <f>IF(AND(_xlfn.XLOOKUP(C90,BestClass,BestMethod)="Holt-Winters",ABC_XYZ!M90="No"),_xlfn.XLOOKUP(C90,BestClass,BestFlat),_xlfn.XLOOKUP(C90,BestClass,BestMethod))</f>
        <v>Moving average</v>
      </c>
      <c r="E90" s="32">
        <f>ABC_XYZ!G90</f>
        <v>229.30769230769232</v>
      </c>
      <c r="F90" s="32">
        <f>ABC_XYZ!H90</f>
        <v>134.35489124856332</v>
      </c>
      <c r="G90" s="34">
        <f>ABC_XYZ!N90*CostRatio</f>
        <v>0.78987616764487056</v>
      </c>
      <c r="H90" s="20">
        <f t="shared" si="44"/>
        <v>0.95</v>
      </c>
      <c r="I90" s="33">
        <f t="shared" si="45"/>
        <v>1.6448536269514715</v>
      </c>
      <c r="J90" s="29">
        <f t="shared" si="46"/>
        <v>540.75</v>
      </c>
      <c r="K90" s="29">
        <f t="shared" si="47"/>
        <v>383</v>
      </c>
      <c r="L90" s="29">
        <f t="shared" si="48"/>
        <v>924</v>
      </c>
      <c r="M90" s="29">
        <f t="shared" si="49"/>
        <v>11924</v>
      </c>
      <c r="N90" s="29">
        <f t="shared" si="50"/>
        <v>2458</v>
      </c>
      <c r="O90" s="29">
        <f t="shared" si="51"/>
        <v>3382</v>
      </c>
      <c r="P90" s="29">
        <f t="shared" si="52"/>
        <v>1612</v>
      </c>
      <c r="Q90" s="32">
        <f t="shared" si="53"/>
        <v>7.0298557531029848</v>
      </c>
      <c r="R90" s="29">
        <f t="shared" si="54"/>
        <v>1834</v>
      </c>
      <c r="S90" s="32">
        <f t="shared" si="55"/>
        <v>7.9979872525997981</v>
      </c>
      <c r="T90" s="27">
        <f t="shared" si="56"/>
        <v>1448.6328914606927</v>
      </c>
      <c r="U90" s="27">
        <f t="shared" si="57"/>
        <v>1273.2803822435314</v>
      </c>
      <c r="V90" s="27">
        <f t="shared" si="58"/>
        <v>175.35250921716124</v>
      </c>
      <c r="W90" s="9" t="str">
        <f t="shared" si="59"/>
        <v>OK</v>
      </c>
      <c r="X90" s="30">
        <f t="shared" si="60"/>
        <v>1.3694428480093279E-8</v>
      </c>
      <c r="Y90" s="29">
        <f t="shared" si="61"/>
        <v>0</v>
      </c>
      <c r="Z90" s="27">
        <f t="shared" si="62"/>
        <v>318.32009556088286</v>
      </c>
      <c r="AA90" s="27">
        <f t="shared" si="63"/>
        <v>242.55492270138325</v>
      </c>
      <c r="AB90" s="27">
        <f t="shared" si="64"/>
        <v>0</v>
      </c>
      <c r="AC90" s="64">
        <f t="shared" si="65"/>
        <v>9.0000000000000006E-5</v>
      </c>
    </row>
    <row r="91" spans="1:29" ht="15" x14ac:dyDescent="0.35">
      <c r="A91" s="9" t="str">
        <f>ABC_XYZ!A91</f>
        <v>71477</v>
      </c>
      <c r="B91" s="9" t="str">
        <f>ABC_XYZ!B91</f>
        <v>COLOUR GLASS. STAR T-LIGHT HOLDER</v>
      </c>
      <c r="C91" s="31" t="str">
        <f>ABC_XYZ!K91</f>
        <v>AZ</v>
      </c>
      <c r="D91" s="9" t="str">
        <f>IF(AND(_xlfn.XLOOKUP(C91,BestClass,BestMethod)="Holt-Winters",ABC_XYZ!M91="No"),_xlfn.XLOOKUP(C91,BestClass,BestFlat),_xlfn.XLOOKUP(C91,BestClass,BestMethod))</f>
        <v>Holt-Winters</v>
      </c>
      <c r="E91" s="32">
        <f>ABC_XYZ!G91</f>
        <v>103.17307692307692</v>
      </c>
      <c r="F91" s="32">
        <f>ABC_XYZ!H91</f>
        <v>164.31792726820606</v>
      </c>
      <c r="G91" s="34">
        <f>ABC_XYZ!N91*CostRatio</f>
        <v>1.8075893912765615</v>
      </c>
      <c r="H91" s="20">
        <f t="shared" si="44"/>
        <v>0.95</v>
      </c>
      <c r="I91" s="33">
        <f t="shared" si="45"/>
        <v>1.6448536269514715</v>
      </c>
      <c r="J91" s="29">
        <f t="shared" si="46"/>
        <v>307.22559999999999</v>
      </c>
      <c r="K91" s="29">
        <f t="shared" si="47"/>
        <v>469</v>
      </c>
      <c r="L91" s="29">
        <f t="shared" si="48"/>
        <v>777</v>
      </c>
      <c r="M91" s="29">
        <f t="shared" si="49"/>
        <v>5365</v>
      </c>
      <c r="N91" s="29">
        <f t="shared" si="50"/>
        <v>1090</v>
      </c>
      <c r="O91" s="29">
        <f t="shared" si="51"/>
        <v>1867</v>
      </c>
      <c r="P91" s="29">
        <f t="shared" si="52"/>
        <v>1014</v>
      </c>
      <c r="Q91" s="32">
        <f t="shared" si="53"/>
        <v>9.8281453867660762</v>
      </c>
      <c r="R91" s="29">
        <f t="shared" si="54"/>
        <v>825</v>
      </c>
      <c r="S91" s="32">
        <f t="shared" si="55"/>
        <v>7.9962721342031688</v>
      </c>
      <c r="T91" s="27">
        <f t="shared" si="56"/>
        <v>1491.2612478031633</v>
      </c>
      <c r="U91" s="27">
        <f t="shared" si="57"/>
        <v>1832.8956427544333</v>
      </c>
      <c r="V91" s="27">
        <f t="shared" si="58"/>
        <v>-341.63439495127</v>
      </c>
      <c r="W91" s="9" t="str">
        <f t="shared" si="59"/>
        <v>OK</v>
      </c>
      <c r="X91" s="30">
        <f t="shared" si="60"/>
        <v>3.4435813639646762E-2</v>
      </c>
      <c r="Y91" s="29">
        <f t="shared" si="61"/>
        <v>0</v>
      </c>
      <c r="Z91" s="27">
        <f t="shared" si="62"/>
        <v>458.22391068860833</v>
      </c>
      <c r="AA91" s="27">
        <f t="shared" si="63"/>
        <v>246.10091743119264</v>
      </c>
      <c r="AB91" s="27">
        <f t="shared" si="64"/>
        <v>0</v>
      </c>
      <c r="AC91" s="64">
        <f t="shared" si="65"/>
        <v>9.1000000000000003E-5</v>
      </c>
    </row>
    <row r="92" spans="1:29" ht="15" x14ac:dyDescent="0.35">
      <c r="A92" s="9" t="str">
        <f>ABC_XYZ!A92</f>
        <v>22624</v>
      </c>
      <c r="B92" s="9" t="str">
        <f>ABC_XYZ!B92</f>
        <v>IVORY KITCHEN SCALES</v>
      </c>
      <c r="C92" s="31" t="str">
        <f>ABC_XYZ!K92</f>
        <v>AX</v>
      </c>
      <c r="D92" s="9" t="str">
        <f>IF(AND(_xlfn.XLOOKUP(C92,BestClass,BestMethod)="Holt-Winters",ABC_XYZ!M92="No"),_xlfn.XLOOKUP(C92,BestClass,BestFlat),_xlfn.XLOOKUP(C92,BestClass,BestMethod))</f>
        <v>Moving average</v>
      </c>
      <c r="E92" s="32">
        <f>ABC_XYZ!G92</f>
        <v>34.615384615384613</v>
      </c>
      <c r="F92" s="32">
        <f>ABC_XYZ!H92</f>
        <v>24.651415936864716</v>
      </c>
      <c r="G92" s="34">
        <f>ABC_XYZ!N92*CostRatio</f>
        <v>5.1919383599339568</v>
      </c>
      <c r="H92" s="20">
        <f t="shared" si="44"/>
        <v>0.95</v>
      </c>
      <c r="I92" s="33">
        <f t="shared" si="45"/>
        <v>1.6448536269514715</v>
      </c>
      <c r="J92" s="29">
        <f t="shared" si="46"/>
        <v>126.75</v>
      </c>
      <c r="K92" s="29">
        <f t="shared" si="47"/>
        <v>71</v>
      </c>
      <c r="L92" s="29">
        <f t="shared" si="48"/>
        <v>198</v>
      </c>
      <c r="M92" s="29">
        <f t="shared" si="49"/>
        <v>1800</v>
      </c>
      <c r="N92" s="29">
        <f t="shared" si="50"/>
        <v>373</v>
      </c>
      <c r="O92" s="29">
        <f t="shared" si="51"/>
        <v>571</v>
      </c>
      <c r="P92" s="29">
        <f t="shared" si="52"/>
        <v>257.5</v>
      </c>
      <c r="Q92" s="32">
        <f t="shared" si="53"/>
        <v>7.4388888888888891</v>
      </c>
      <c r="R92" s="29">
        <f t="shared" si="54"/>
        <v>277</v>
      </c>
      <c r="S92" s="32">
        <f t="shared" si="55"/>
        <v>8.0022222222222226</v>
      </c>
      <c r="T92" s="27">
        <f t="shared" si="56"/>
        <v>1438.1669257017061</v>
      </c>
      <c r="U92" s="27">
        <f t="shared" si="57"/>
        <v>1336.9241276829939</v>
      </c>
      <c r="V92" s="27">
        <f t="shared" si="58"/>
        <v>101.24279801871216</v>
      </c>
      <c r="W92" s="9" t="str">
        <f t="shared" si="59"/>
        <v>OK</v>
      </c>
      <c r="X92" s="30">
        <f t="shared" si="60"/>
        <v>2.1663653586911913E-4</v>
      </c>
      <c r="Y92" s="29">
        <f t="shared" si="61"/>
        <v>0</v>
      </c>
      <c r="Z92" s="27">
        <f t="shared" si="62"/>
        <v>334.23103192074848</v>
      </c>
      <c r="AA92" s="27">
        <f t="shared" si="63"/>
        <v>241.28686327077747</v>
      </c>
      <c r="AB92" s="27">
        <f t="shared" si="64"/>
        <v>0</v>
      </c>
      <c r="AC92" s="64">
        <f t="shared" si="65"/>
        <v>9.2E-5</v>
      </c>
    </row>
    <row r="93" spans="1:29" ht="15" x14ac:dyDescent="0.35">
      <c r="A93" s="9" t="str">
        <f>ABC_XYZ!A93</f>
        <v>22379</v>
      </c>
      <c r="B93" s="9" t="str">
        <f>ABC_XYZ!B93</f>
        <v>RECYCLING BAG RETROSPOT</v>
      </c>
      <c r="C93" s="31" t="str">
        <f>ABC_XYZ!K93</f>
        <v>AY</v>
      </c>
      <c r="D93" s="9" t="str">
        <f>IF(AND(_xlfn.XLOOKUP(C93,BestClass,BestMethod)="Holt-Winters",ABC_XYZ!M93="No"),_xlfn.XLOOKUP(C93,BestClass,BestFlat),_xlfn.XLOOKUP(C93,BestClass,BestMethod))</f>
        <v>Holt-Winters</v>
      </c>
      <c r="E93" s="32">
        <f>ABC_XYZ!G93</f>
        <v>131.55769230769232</v>
      </c>
      <c r="F93" s="32">
        <f>ABC_XYZ!H93</f>
        <v>144.31629389908201</v>
      </c>
      <c r="G93" s="34">
        <f>ABC_XYZ!N93*CostRatio</f>
        <v>1.3506646367986079</v>
      </c>
      <c r="H93" s="20">
        <f t="shared" si="44"/>
        <v>0.95</v>
      </c>
      <c r="I93" s="33">
        <f t="shared" si="45"/>
        <v>1.6448536269514715</v>
      </c>
      <c r="J93" s="29">
        <f t="shared" si="46"/>
        <v>105.0431</v>
      </c>
      <c r="K93" s="29">
        <f t="shared" si="47"/>
        <v>412</v>
      </c>
      <c r="L93" s="29">
        <f t="shared" si="48"/>
        <v>518</v>
      </c>
      <c r="M93" s="29">
        <f t="shared" si="49"/>
        <v>6841.0000000000009</v>
      </c>
      <c r="N93" s="29">
        <f t="shared" si="50"/>
        <v>1424</v>
      </c>
      <c r="O93" s="29">
        <f t="shared" si="51"/>
        <v>1942</v>
      </c>
      <c r="P93" s="29">
        <f t="shared" si="52"/>
        <v>1124</v>
      </c>
      <c r="Q93" s="32">
        <f t="shared" si="53"/>
        <v>8.543780149101007</v>
      </c>
      <c r="R93" s="29">
        <f t="shared" si="54"/>
        <v>1052</v>
      </c>
      <c r="S93" s="32">
        <f t="shared" si="55"/>
        <v>7.996491740973541</v>
      </c>
      <c r="T93" s="27">
        <f t="shared" si="56"/>
        <v>1420.8991979121356</v>
      </c>
      <c r="U93" s="27">
        <f t="shared" si="57"/>
        <v>1518.1470517616353</v>
      </c>
      <c r="V93" s="27">
        <f t="shared" si="58"/>
        <v>-97.247853849499734</v>
      </c>
      <c r="W93" s="9" t="str">
        <f t="shared" si="59"/>
        <v>OK</v>
      </c>
      <c r="X93" s="30">
        <f t="shared" si="60"/>
        <v>7.5814583486377707E-5</v>
      </c>
      <c r="Y93" s="29">
        <f t="shared" si="61"/>
        <v>0</v>
      </c>
      <c r="Z93" s="27">
        <f t="shared" si="62"/>
        <v>379.53676294040883</v>
      </c>
      <c r="AA93" s="27">
        <f t="shared" si="63"/>
        <v>240.20365168539328</v>
      </c>
      <c r="AB93" s="27">
        <f t="shared" si="64"/>
        <v>0</v>
      </c>
      <c r="AC93" s="64">
        <f t="shared" si="65"/>
        <v>9.2999999999999997E-5</v>
      </c>
    </row>
    <row r="94" spans="1:29" ht="15" x14ac:dyDescent="0.35">
      <c r="A94" s="9" t="str">
        <f>ABC_XYZ!A94</f>
        <v>84029G</v>
      </c>
      <c r="B94" s="9" t="str">
        <f>ABC_XYZ!B94</f>
        <v>KNITTED UNION FLAG HOT WATER BOTTLE</v>
      </c>
      <c r="C94" s="31" t="str">
        <f>ABC_XYZ!K94</f>
        <v>AZ</v>
      </c>
      <c r="D94" s="9" t="str">
        <f>IF(AND(_xlfn.XLOOKUP(C94,BestClass,BestMethod)="Holt-Winters",ABC_XYZ!M94="No"),_xlfn.XLOOKUP(C94,BestClass,BestFlat),_xlfn.XLOOKUP(C94,BestClass,BestMethod))</f>
        <v>Holt-Winters</v>
      </c>
      <c r="E94" s="32">
        <f>ABC_XYZ!G94</f>
        <v>62.67307692307692</v>
      </c>
      <c r="F94" s="32">
        <f>ABC_XYZ!H94</f>
        <v>111.5369843091442</v>
      </c>
      <c r="G94" s="34">
        <f>ABC_XYZ!N94*CostRatio</f>
        <v>2.8369825847846011</v>
      </c>
      <c r="H94" s="20">
        <f t="shared" si="44"/>
        <v>0.95</v>
      </c>
      <c r="I94" s="33">
        <f t="shared" si="45"/>
        <v>1.6448536269514715</v>
      </c>
      <c r="J94" s="29">
        <f t="shared" si="46"/>
        <v>499.60409999999996</v>
      </c>
      <c r="K94" s="29">
        <f t="shared" si="47"/>
        <v>318</v>
      </c>
      <c r="L94" s="29">
        <f t="shared" si="48"/>
        <v>818</v>
      </c>
      <c r="M94" s="29">
        <f t="shared" si="49"/>
        <v>3259</v>
      </c>
      <c r="N94" s="29">
        <f t="shared" si="50"/>
        <v>678</v>
      </c>
      <c r="O94" s="29">
        <f t="shared" si="51"/>
        <v>1496</v>
      </c>
      <c r="P94" s="29">
        <f t="shared" si="52"/>
        <v>657</v>
      </c>
      <c r="Q94" s="32">
        <f t="shared" si="53"/>
        <v>10.482970236268795</v>
      </c>
      <c r="R94" s="29">
        <f t="shared" si="54"/>
        <v>501</v>
      </c>
      <c r="S94" s="32">
        <f t="shared" si="55"/>
        <v>7.9938631482049711</v>
      </c>
      <c r="T94" s="27">
        <f t="shared" si="56"/>
        <v>1421.3282749770851</v>
      </c>
      <c r="U94" s="27">
        <f t="shared" si="57"/>
        <v>1863.897558203483</v>
      </c>
      <c r="V94" s="27">
        <f t="shared" si="58"/>
        <v>-442.56928322639783</v>
      </c>
      <c r="W94" s="9" t="str">
        <f t="shared" si="59"/>
        <v>Reorder now</v>
      </c>
      <c r="X94" s="30">
        <f t="shared" si="60"/>
        <v>0.49711742199409925</v>
      </c>
      <c r="Y94" s="29">
        <f t="shared" si="61"/>
        <v>995</v>
      </c>
      <c r="Z94" s="27">
        <f t="shared" si="62"/>
        <v>465.97438955087074</v>
      </c>
      <c r="AA94" s="27">
        <f t="shared" si="63"/>
        <v>240.33923303834808</v>
      </c>
      <c r="AB94" s="27">
        <f t="shared" si="64"/>
        <v>899.32347937671852</v>
      </c>
      <c r="AC94" s="64">
        <f t="shared" si="65"/>
        <v>899.32357337671851</v>
      </c>
    </row>
    <row r="95" spans="1:29" ht="15" x14ac:dyDescent="0.35">
      <c r="A95" s="9" t="str">
        <f>ABC_XYZ!A95</f>
        <v>21232</v>
      </c>
      <c r="B95" s="9" t="str">
        <f>ABC_XYZ!B95</f>
        <v>STRAWBERRY CERAMIC TRINKET BOX</v>
      </c>
      <c r="C95" s="31" t="str">
        <f>ABC_XYZ!K95</f>
        <v>AY</v>
      </c>
      <c r="D95" s="9" t="str">
        <f>IF(AND(_xlfn.XLOOKUP(C95,BestClass,BestMethod)="Holt-Winters",ABC_XYZ!M95="No"),_xlfn.XLOOKUP(C95,BestClass,BestFlat),_xlfn.XLOOKUP(C95,BestClass,BestMethod))</f>
        <v>Holt-Winters</v>
      </c>
      <c r="E95" s="32">
        <f>ABC_XYZ!G95</f>
        <v>211.11538461538461</v>
      </c>
      <c r="F95" s="32">
        <f>ABC_XYZ!H95</f>
        <v>164.17239311356059</v>
      </c>
      <c r="G95" s="34">
        <f>ABC_XYZ!N95*CostRatio</f>
        <v>0.82185848807533224</v>
      </c>
      <c r="H95" s="20">
        <f t="shared" si="44"/>
        <v>0.95</v>
      </c>
      <c r="I95" s="33">
        <f t="shared" si="45"/>
        <v>1.6448536269514715</v>
      </c>
      <c r="J95" s="29">
        <f t="shared" si="46"/>
        <v>938.17059999999992</v>
      </c>
      <c r="K95" s="29">
        <f t="shared" si="47"/>
        <v>468</v>
      </c>
      <c r="L95" s="29">
        <f t="shared" si="48"/>
        <v>1407</v>
      </c>
      <c r="M95" s="29">
        <f t="shared" si="49"/>
        <v>10978</v>
      </c>
      <c r="N95" s="29">
        <f t="shared" si="50"/>
        <v>2312</v>
      </c>
      <c r="O95" s="29">
        <f t="shared" si="51"/>
        <v>3719</v>
      </c>
      <c r="P95" s="29">
        <f t="shared" si="52"/>
        <v>1624</v>
      </c>
      <c r="Q95" s="32">
        <f t="shared" si="53"/>
        <v>7.6924758608125341</v>
      </c>
      <c r="R95" s="29">
        <f t="shared" si="54"/>
        <v>1689</v>
      </c>
      <c r="S95" s="32">
        <f t="shared" si="55"/>
        <v>8.0003643650938248</v>
      </c>
      <c r="T95" s="27">
        <f t="shared" si="56"/>
        <v>1388.1189863592363</v>
      </c>
      <c r="U95" s="27">
        <f t="shared" si="57"/>
        <v>1334.6981846343397</v>
      </c>
      <c r="V95" s="27">
        <f t="shared" si="58"/>
        <v>53.420801724896592</v>
      </c>
      <c r="W95" s="9" t="str">
        <f t="shared" si="59"/>
        <v>OK</v>
      </c>
      <c r="X95" s="30">
        <f t="shared" si="60"/>
        <v>4.1396098821158134E-3</v>
      </c>
      <c r="Y95" s="29">
        <f t="shared" si="61"/>
        <v>0</v>
      </c>
      <c r="Z95" s="27">
        <f t="shared" si="62"/>
        <v>333.67454615858492</v>
      </c>
      <c r="AA95" s="27">
        <f t="shared" si="63"/>
        <v>237.41349480968856</v>
      </c>
      <c r="AB95" s="27">
        <f t="shared" si="64"/>
        <v>0</v>
      </c>
      <c r="AC95" s="64">
        <f t="shared" si="65"/>
        <v>9.5000000000000005E-5</v>
      </c>
    </row>
    <row r="96" spans="1:29" ht="15" x14ac:dyDescent="0.35">
      <c r="A96" s="9" t="str">
        <f>ABC_XYZ!A96</f>
        <v>22084</v>
      </c>
      <c r="B96" s="9" t="str">
        <f>ABC_XYZ!B96</f>
        <v>PAPER CHAIN KIT EMPIRE</v>
      </c>
      <c r="C96" s="31" t="str">
        <f>ABC_XYZ!K96</f>
        <v>AZ</v>
      </c>
      <c r="D96" s="9" t="str">
        <f>IF(AND(_xlfn.XLOOKUP(C96,BestClass,BestMethod)="Holt-Winters",ABC_XYZ!M96="No"),_xlfn.XLOOKUP(C96,BestClass,BestFlat),_xlfn.XLOOKUP(C96,BestClass,BestMethod))</f>
        <v>Naive</v>
      </c>
      <c r="E96" s="32">
        <f>ABC_XYZ!G96</f>
        <v>98.65384615384616</v>
      </c>
      <c r="F96" s="32">
        <f>ABC_XYZ!H96</f>
        <v>189.0374882019473</v>
      </c>
      <c r="G96" s="34">
        <f>ABC_XYZ!N96*CostRatio</f>
        <v>1.7473220534512592</v>
      </c>
      <c r="H96" s="20">
        <f t="shared" si="44"/>
        <v>0.95</v>
      </c>
      <c r="I96" s="33">
        <f t="shared" si="45"/>
        <v>1.6448536269514715</v>
      </c>
      <c r="J96" s="29">
        <f t="shared" si="46"/>
        <v>0</v>
      </c>
      <c r="K96" s="29">
        <f t="shared" si="47"/>
        <v>539</v>
      </c>
      <c r="L96" s="29">
        <f t="shared" si="48"/>
        <v>539</v>
      </c>
      <c r="M96" s="29">
        <f t="shared" si="49"/>
        <v>5130</v>
      </c>
      <c r="N96" s="29">
        <f t="shared" si="50"/>
        <v>1084</v>
      </c>
      <c r="O96" s="29">
        <f t="shared" si="51"/>
        <v>1623</v>
      </c>
      <c r="P96" s="29">
        <f t="shared" si="52"/>
        <v>1081</v>
      </c>
      <c r="Q96" s="32">
        <f t="shared" si="53"/>
        <v>10.957504873294345</v>
      </c>
      <c r="R96" s="29">
        <f t="shared" si="54"/>
        <v>789</v>
      </c>
      <c r="S96" s="32">
        <f t="shared" si="55"/>
        <v>7.9976608187134497</v>
      </c>
      <c r="T96" s="27">
        <f t="shared" si="56"/>
        <v>1378.6371001730436</v>
      </c>
      <c r="U96" s="27">
        <f t="shared" si="57"/>
        <v>1888.8551397808112</v>
      </c>
      <c r="V96" s="27">
        <f t="shared" si="58"/>
        <v>-510.21803960776765</v>
      </c>
      <c r="W96" s="9" t="str">
        <f t="shared" si="59"/>
        <v>OK</v>
      </c>
      <c r="X96" s="30">
        <f t="shared" si="60"/>
        <v>7.9821585462048761E-3</v>
      </c>
      <c r="Y96" s="29">
        <f t="shared" si="61"/>
        <v>0</v>
      </c>
      <c r="Z96" s="27">
        <f t="shared" si="62"/>
        <v>472.2137849452028</v>
      </c>
      <c r="AA96" s="27">
        <f t="shared" si="63"/>
        <v>236.62361623616235</v>
      </c>
      <c r="AB96" s="27">
        <f t="shared" si="64"/>
        <v>0</v>
      </c>
      <c r="AC96" s="64">
        <f t="shared" si="65"/>
        <v>9.6000000000000002E-5</v>
      </c>
    </row>
    <row r="97" spans="1:29" ht="15" x14ac:dyDescent="0.35">
      <c r="A97" s="9" t="str">
        <f>ABC_XYZ!A97</f>
        <v>84078A</v>
      </c>
      <c r="B97" s="9" t="str">
        <f>ABC_XYZ!B97</f>
        <v>SET/4 WHITE RETRO STORAGE CUBES</v>
      </c>
      <c r="C97" s="31" t="str">
        <f>ABC_XYZ!K97</f>
        <v>AY</v>
      </c>
      <c r="D97" s="9" t="str">
        <f>IF(AND(_xlfn.XLOOKUP(C97,BestClass,BestMethod)="Holt-Winters",ABC_XYZ!M97="No"),_xlfn.XLOOKUP(C97,BestClass,BestFlat),_xlfn.XLOOKUP(C97,BestClass,BestMethod))</f>
        <v>Holt-Winters</v>
      </c>
      <c r="E97" s="32">
        <f>ABC_XYZ!G97</f>
        <v>7.4038461538461542</v>
      </c>
      <c r="F97" s="32">
        <f>ABC_XYZ!H97</f>
        <v>8.8478636291139043</v>
      </c>
      <c r="G97" s="34">
        <f>ABC_XYZ!N97*CostRatio</f>
        <v>23.62713658536585</v>
      </c>
      <c r="H97" s="20">
        <f t="shared" si="44"/>
        <v>0.95</v>
      </c>
      <c r="I97" s="33">
        <f t="shared" si="45"/>
        <v>1.6448536269514715</v>
      </c>
      <c r="J97" s="29">
        <f t="shared" si="46"/>
        <v>0</v>
      </c>
      <c r="K97" s="29">
        <f t="shared" si="47"/>
        <v>26</v>
      </c>
      <c r="L97" s="29">
        <f t="shared" si="48"/>
        <v>26</v>
      </c>
      <c r="M97" s="29">
        <f t="shared" si="49"/>
        <v>385</v>
      </c>
      <c r="N97" s="29">
        <f t="shared" si="50"/>
        <v>81</v>
      </c>
      <c r="O97" s="29">
        <f t="shared" si="51"/>
        <v>107</v>
      </c>
      <c r="P97" s="29">
        <f t="shared" si="52"/>
        <v>66.5</v>
      </c>
      <c r="Q97" s="32">
        <f t="shared" si="53"/>
        <v>8.9818181818181806</v>
      </c>
      <c r="R97" s="29">
        <f t="shared" si="54"/>
        <v>59</v>
      </c>
      <c r="S97" s="32">
        <f t="shared" si="55"/>
        <v>7.9688311688311684</v>
      </c>
      <c r="T97" s="27">
        <f t="shared" si="56"/>
        <v>1394.0010585365851</v>
      </c>
      <c r="U97" s="27">
        <f t="shared" si="57"/>
        <v>1571.2045829268291</v>
      </c>
      <c r="V97" s="27">
        <f t="shared" si="58"/>
        <v>-177.20352439024396</v>
      </c>
      <c r="W97" s="9" t="str">
        <f t="shared" si="59"/>
        <v>OK</v>
      </c>
      <c r="X97" s="30">
        <f t="shared" si="60"/>
        <v>5.90755138534238E-5</v>
      </c>
      <c r="Y97" s="29">
        <f t="shared" si="61"/>
        <v>0</v>
      </c>
      <c r="Z97" s="27">
        <f t="shared" si="62"/>
        <v>392.80114573170727</v>
      </c>
      <c r="AA97" s="27">
        <f t="shared" si="63"/>
        <v>237.6543209876543</v>
      </c>
      <c r="AB97" s="27">
        <f t="shared" si="64"/>
        <v>0</v>
      </c>
      <c r="AC97" s="64">
        <f t="shared" si="65"/>
        <v>9.7E-5</v>
      </c>
    </row>
    <row r="98" spans="1:29" ht="15" x14ac:dyDescent="0.35">
      <c r="A98" s="9" t="str">
        <f>ABC_XYZ!A98</f>
        <v>22507</v>
      </c>
      <c r="B98" s="9" t="str">
        <f>ABC_XYZ!B98</f>
        <v>MEMO BOARD RETROSPOT  DESIGN</v>
      </c>
      <c r="C98" s="31" t="str">
        <f>ABC_XYZ!K98</f>
        <v>AZ</v>
      </c>
      <c r="D98" s="9" t="str">
        <f>IF(AND(_xlfn.XLOOKUP(C98,BestClass,BestMethod)="Holt-Winters",ABC_XYZ!M98="No"),_xlfn.XLOOKUP(C98,BestClass,BestFlat),_xlfn.XLOOKUP(C98,BestClass,BestMethod))</f>
        <v>Holt-Winters</v>
      </c>
      <c r="E98" s="32">
        <f>ABC_XYZ!G98</f>
        <v>56.153846153846153</v>
      </c>
      <c r="F98" s="32">
        <f>ABC_XYZ!H98</f>
        <v>90.04233963027346</v>
      </c>
      <c r="G98" s="34">
        <f>ABC_XYZ!N98*CostRatio</f>
        <v>2.8512750256235049</v>
      </c>
      <c r="H98" s="20">
        <f t="shared" si="44"/>
        <v>0.95</v>
      </c>
      <c r="I98" s="33">
        <f t="shared" si="45"/>
        <v>1.6448536269514715</v>
      </c>
      <c r="J98" s="29">
        <f t="shared" si="46"/>
        <v>90.395600000000002</v>
      </c>
      <c r="K98" s="29">
        <f t="shared" si="47"/>
        <v>257</v>
      </c>
      <c r="L98" s="29">
        <f t="shared" si="48"/>
        <v>348</v>
      </c>
      <c r="M98" s="29">
        <f t="shared" si="49"/>
        <v>2920</v>
      </c>
      <c r="N98" s="29">
        <f t="shared" si="50"/>
        <v>641</v>
      </c>
      <c r="O98" s="29">
        <f t="shared" si="51"/>
        <v>989</v>
      </c>
      <c r="P98" s="29">
        <f t="shared" si="52"/>
        <v>577.5</v>
      </c>
      <c r="Q98" s="32">
        <f t="shared" si="53"/>
        <v>10.284246575342467</v>
      </c>
      <c r="R98" s="29">
        <f t="shared" si="54"/>
        <v>449</v>
      </c>
      <c r="S98" s="32">
        <f t="shared" si="55"/>
        <v>7.9958904109589044</v>
      </c>
      <c r="T98" s="27">
        <f t="shared" si="56"/>
        <v>1280.2224865049536</v>
      </c>
      <c r="U98" s="27">
        <f t="shared" si="57"/>
        <v>1646.611327297574</v>
      </c>
      <c r="V98" s="27">
        <f t="shared" si="58"/>
        <v>-366.38884079262039</v>
      </c>
      <c r="W98" s="9" t="str">
        <f t="shared" si="59"/>
        <v>OK</v>
      </c>
      <c r="X98" s="30">
        <f t="shared" si="60"/>
        <v>1.0742065901617859E-2</v>
      </c>
      <c r="Y98" s="29">
        <f t="shared" si="61"/>
        <v>0</v>
      </c>
      <c r="Z98" s="27">
        <f t="shared" si="62"/>
        <v>411.6528318243935</v>
      </c>
      <c r="AA98" s="27">
        <f t="shared" si="63"/>
        <v>227.76911076443059</v>
      </c>
      <c r="AB98" s="27">
        <f t="shared" si="64"/>
        <v>0</v>
      </c>
      <c r="AC98" s="64">
        <f t="shared" si="65"/>
        <v>9.7999999999999997E-5</v>
      </c>
    </row>
    <row r="99" spans="1:29" ht="15" x14ac:dyDescent="0.35">
      <c r="A99" s="9" t="str">
        <f>ABC_XYZ!A99</f>
        <v>48184</v>
      </c>
      <c r="B99" s="9" t="str">
        <f>ABC_XYZ!B99</f>
        <v>DOORMAT ENGLISH ROSE</v>
      </c>
      <c r="C99" s="31" t="str">
        <f>ABC_XYZ!K99</f>
        <v>AZ</v>
      </c>
      <c r="D99" s="9" t="str">
        <f>IF(AND(_xlfn.XLOOKUP(C99,BestClass,BestMethod)="Holt-Winters",ABC_XYZ!M99="No"),_xlfn.XLOOKUP(C99,BestClass,BestFlat),_xlfn.XLOOKUP(C99,BestClass,BestMethod))</f>
        <v>Naive</v>
      </c>
      <c r="E99" s="32">
        <f>ABC_XYZ!G99</f>
        <v>37.96153846153846</v>
      </c>
      <c r="F99" s="32">
        <f>ABC_XYZ!H99</f>
        <v>54.568525560990302</v>
      </c>
      <c r="G99" s="34">
        <f>ABC_XYZ!N99*CostRatio</f>
        <v>4.2073212121212116</v>
      </c>
      <c r="H99" s="20">
        <f t="shared" si="44"/>
        <v>0.95</v>
      </c>
      <c r="I99" s="33">
        <f t="shared" si="45"/>
        <v>1.6448536269514715</v>
      </c>
      <c r="J99" s="29">
        <f t="shared" si="46"/>
        <v>252</v>
      </c>
      <c r="K99" s="29">
        <f t="shared" si="47"/>
        <v>156</v>
      </c>
      <c r="L99" s="29">
        <f t="shared" si="48"/>
        <v>408</v>
      </c>
      <c r="M99" s="29">
        <f t="shared" si="49"/>
        <v>1974</v>
      </c>
      <c r="N99" s="29">
        <f t="shared" si="50"/>
        <v>434</v>
      </c>
      <c r="O99" s="29">
        <f t="shared" si="51"/>
        <v>842</v>
      </c>
      <c r="P99" s="29">
        <f t="shared" si="52"/>
        <v>373</v>
      </c>
      <c r="Q99" s="32">
        <f t="shared" si="53"/>
        <v>9.8257345491388044</v>
      </c>
      <c r="R99" s="29">
        <f t="shared" si="54"/>
        <v>304</v>
      </c>
      <c r="S99" s="32">
        <f t="shared" si="55"/>
        <v>8.0081053698074971</v>
      </c>
      <c r="T99" s="27">
        <f t="shared" si="56"/>
        <v>1279.0256484848483</v>
      </c>
      <c r="U99" s="27">
        <f t="shared" si="57"/>
        <v>1569.3308121212119</v>
      </c>
      <c r="V99" s="27">
        <f t="shared" si="58"/>
        <v>-290.30516363636366</v>
      </c>
      <c r="W99" s="9" t="str">
        <f t="shared" si="59"/>
        <v>Reorder now</v>
      </c>
      <c r="X99" s="30">
        <f t="shared" si="60"/>
        <v>0.29109982879208207</v>
      </c>
      <c r="Y99" s="29">
        <f t="shared" si="61"/>
        <v>538</v>
      </c>
      <c r="Z99" s="27">
        <f t="shared" si="62"/>
        <v>392.33270303030298</v>
      </c>
      <c r="AA99" s="27">
        <f t="shared" si="63"/>
        <v>227.41935483870969</v>
      </c>
      <c r="AB99" s="27">
        <f t="shared" si="64"/>
        <v>437.56140606060603</v>
      </c>
      <c r="AC99" s="64">
        <f t="shared" si="65"/>
        <v>437.56150506060601</v>
      </c>
    </row>
    <row r="100" spans="1:29" ht="15" x14ac:dyDescent="0.35">
      <c r="A100" s="9" t="str">
        <f>ABC_XYZ!A100</f>
        <v>22622</v>
      </c>
      <c r="B100" s="9" t="str">
        <f>ABC_XYZ!B100</f>
        <v>BOX OF VINTAGE ALPHABET BLOCKS</v>
      </c>
      <c r="C100" s="31" t="str">
        <f>ABC_XYZ!K100</f>
        <v>BZ</v>
      </c>
      <c r="D100" s="9" t="str">
        <f>IF(AND(_xlfn.XLOOKUP(C100,BestClass,BestMethod)="Holt-Winters",ABC_XYZ!M100="No"),_xlfn.XLOOKUP(C100,BestClass,BestFlat),_xlfn.XLOOKUP(C100,BestClass,BestMethod))</f>
        <v>Holt-Winters</v>
      </c>
      <c r="E100" s="32">
        <f>ABC_XYZ!G100</f>
        <v>25.73076923076923</v>
      </c>
      <c r="F100" s="32">
        <f>ABC_XYZ!H100</f>
        <v>44.435066255404323</v>
      </c>
      <c r="G100" s="34">
        <f>ABC_XYZ!N100*CostRatio</f>
        <v>6.1697054034048859</v>
      </c>
      <c r="H100" s="20">
        <f t="shared" si="44"/>
        <v>0.95</v>
      </c>
      <c r="I100" s="33">
        <f t="shared" si="45"/>
        <v>1.6448536269514715</v>
      </c>
      <c r="J100" s="29">
        <f t="shared" si="46"/>
        <v>49.343499999999999</v>
      </c>
      <c r="K100" s="29">
        <f t="shared" si="47"/>
        <v>127</v>
      </c>
      <c r="L100" s="29">
        <f t="shared" si="48"/>
        <v>177</v>
      </c>
      <c r="M100" s="29">
        <f t="shared" si="49"/>
        <v>1338</v>
      </c>
      <c r="N100" s="29">
        <f t="shared" si="50"/>
        <v>295</v>
      </c>
      <c r="O100" s="29">
        <f t="shared" si="51"/>
        <v>472</v>
      </c>
      <c r="P100" s="29">
        <f t="shared" si="52"/>
        <v>274.5</v>
      </c>
      <c r="Q100" s="32">
        <f t="shared" si="53"/>
        <v>10.668161434977579</v>
      </c>
      <c r="R100" s="29">
        <f t="shared" si="54"/>
        <v>206</v>
      </c>
      <c r="S100" s="32">
        <f t="shared" si="55"/>
        <v>8.0059790732436475</v>
      </c>
      <c r="T100" s="27">
        <f t="shared" si="56"/>
        <v>1270.9593131014065</v>
      </c>
      <c r="U100" s="27">
        <f t="shared" si="57"/>
        <v>1693.5841332346413</v>
      </c>
      <c r="V100" s="27">
        <f t="shared" si="58"/>
        <v>-422.62482013323483</v>
      </c>
      <c r="W100" s="9" t="str">
        <f t="shared" si="59"/>
        <v>OK</v>
      </c>
      <c r="X100" s="30">
        <f t="shared" si="60"/>
        <v>2.0902448950268604E-2</v>
      </c>
      <c r="Y100" s="29">
        <f t="shared" si="61"/>
        <v>0</v>
      </c>
      <c r="Z100" s="27">
        <f t="shared" si="62"/>
        <v>423.39603330866032</v>
      </c>
      <c r="AA100" s="27">
        <f t="shared" si="63"/>
        <v>226.77966101694915</v>
      </c>
      <c r="AB100" s="27">
        <f t="shared" si="64"/>
        <v>0</v>
      </c>
      <c r="AC100" s="64">
        <f t="shared" si="65"/>
        <v>1E-4</v>
      </c>
    </row>
    <row r="101" spans="1:29" ht="15" x14ac:dyDescent="0.35">
      <c r="A101" s="9" t="str">
        <f>ABC_XYZ!A101</f>
        <v>85152</v>
      </c>
      <c r="B101" s="9" t="str">
        <f>ABC_XYZ!B101</f>
        <v>HAND OVER THE CHOCOLATE   SIGN</v>
      </c>
      <c r="C101" s="31" t="str">
        <f>ABC_XYZ!K101</f>
        <v>BY</v>
      </c>
      <c r="D101" s="9" t="str">
        <f>IF(AND(_xlfn.XLOOKUP(C101,BestClass,BestMethod)="Holt-Winters",ABC_XYZ!M101="No"),_xlfn.XLOOKUP(C101,BestClass,BestFlat),_xlfn.XLOOKUP(C101,BestClass,BestMethod))</f>
        <v>SES</v>
      </c>
      <c r="E101" s="32">
        <f>ABC_XYZ!G101</f>
        <v>136.38461538461539</v>
      </c>
      <c r="F101" s="32">
        <f>ABC_XYZ!H101</f>
        <v>124.18394860853006</v>
      </c>
      <c r="G101" s="34">
        <f>ABC_XYZ!N101*CostRatio</f>
        <v>1.1581600558659217</v>
      </c>
      <c r="H101" s="20">
        <f t="shared" ref="H101:H132" si="66">_xlfn.XLOOKUP(LEFT(C101,1),ClassList,ClassSL)</f>
        <v>0.95</v>
      </c>
      <c r="I101" s="33">
        <f t="shared" ref="I101:I132" si="67">_xlfn.NORM.S.INV(H101)</f>
        <v>1.6448536269514715</v>
      </c>
      <c r="J101" s="29">
        <f t="shared" ref="J101:J132" si="68">SUMIFS(FutUnits,FutCode,A101,FutMethod,D101,FutHorizon,"&lt;="&amp;LeadTime)</f>
        <v>447.56909999999993</v>
      </c>
      <c r="K101" s="29">
        <f t="shared" ref="K101:K132" si="69">ROUNDUP(I101*F101*SQRT(LeadTime),0)</f>
        <v>354</v>
      </c>
      <c r="L101" s="29">
        <f t="shared" ref="L101:L132" si="70">ROUNDUP(J101,0)+K101</f>
        <v>802</v>
      </c>
      <c r="M101" s="29">
        <f t="shared" ref="M101:M132" si="71">E101*WeeksPerYear</f>
        <v>7092</v>
      </c>
      <c r="N101" s="29">
        <f t="shared" ref="N101:N132" si="72">ROUNDUP(SQRT(2*M101*OrderCost/(HoldingRate*G101)),0)</f>
        <v>1566</v>
      </c>
      <c r="O101" s="29">
        <f t="shared" ref="O101:O132" si="73">L101+N101</f>
        <v>2368</v>
      </c>
      <c r="P101" s="29">
        <f t="shared" ref="P101:P132" si="74">K101+N101/2</f>
        <v>1137</v>
      </c>
      <c r="Q101" s="32">
        <f t="shared" ref="Q101:Q132" si="75">P101/E101</f>
        <v>8.3367174280879865</v>
      </c>
      <c r="R101" s="29">
        <f t="shared" ref="R101:R132" si="76">ROUND(CurrentCover*E101,0)</f>
        <v>1091</v>
      </c>
      <c r="S101" s="32">
        <f t="shared" ref="S101:S132" si="77">R101/E101</f>
        <v>7.9994359842075573</v>
      </c>
      <c r="T101" s="27">
        <f t="shared" ref="T101:T132" si="78">R101*G101</f>
        <v>1263.5526209497207</v>
      </c>
      <c r="U101" s="27">
        <f t="shared" ref="U101:U132" si="79">P101*G101</f>
        <v>1316.8279835195531</v>
      </c>
      <c r="V101" s="27">
        <f t="shared" ref="V101:V132" si="80">T101-U101</f>
        <v>-53.275362569832396</v>
      </c>
      <c r="W101" s="9" t="str">
        <f t="shared" ref="W101:W132" si="81">IF(R101&lt;=L101,"Reorder now",IF(R101&gt;O101,"Overstock","OK"))</f>
        <v>OK</v>
      </c>
      <c r="X101" s="30">
        <f t="shared" ref="X101:X132" si="82">1-_xlfn.NORM.S.DIST((R101-J101)/(F101*SQRT(LeadTime)),TRUE)</f>
        <v>1.3884656488121205E-3</v>
      </c>
      <c r="Y101" s="29">
        <f t="shared" ref="Y101:Y132" si="83">IF(W101="Reorder now",O101-R101,0)</f>
        <v>0</v>
      </c>
      <c r="Z101" s="27">
        <f t="shared" ref="Z101:Z132" si="84">U101*HoldingRate</f>
        <v>329.20699587988827</v>
      </c>
      <c r="AA101" s="27">
        <f t="shared" ref="AA101:AA132" si="85">M101/N101*OrderCost</f>
        <v>226.43678160919541</v>
      </c>
      <c r="AB101" s="27">
        <f t="shared" ref="AB101:AB132" si="86">MAX(0,L101-R101)*G101</f>
        <v>0</v>
      </c>
      <c r="AC101" s="64">
        <f t="shared" ref="AC101:AC132" si="87">AB101+ROW()/1000000</f>
        <v>1.01E-4</v>
      </c>
    </row>
    <row r="102" spans="1:29" ht="15" x14ac:dyDescent="0.35">
      <c r="A102" s="9" t="str">
        <f>ABC_XYZ!A102</f>
        <v>22625</v>
      </c>
      <c r="B102" s="9" t="str">
        <f>ABC_XYZ!B102</f>
        <v>RED KITCHEN SCALES</v>
      </c>
      <c r="C102" s="31" t="str">
        <f>ABC_XYZ!K102</f>
        <v>BY</v>
      </c>
      <c r="D102" s="9" t="str">
        <f>IF(AND(_xlfn.XLOOKUP(C102,BestClass,BestMethod)="Holt-Winters",ABC_XYZ!M102="No"),_xlfn.XLOOKUP(C102,BestClass,BestFlat),_xlfn.XLOOKUP(C102,BestClass,BestMethod))</f>
        <v>Holt-Winters</v>
      </c>
      <c r="E102" s="32">
        <f>ABC_XYZ!G102</f>
        <v>29.615384615384617</v>
      </c>
      <c r="F102" s="32">
        <f>ABC_XYZ!H102</f>
        <v>23.55731753942057</v>
      </c>
      <c r="G102" s="34">
        <f>ABC_XYZ!N102*CostRatio</f>
        <v>5.2091562099871958</v>
      </c>
      <c r="H102" s="20">
        <f t="shared" si="66"/>
        <v>0.95</v>
      </c>
      <c r="I102" s="33">
        <f t="shared" si="67"/>
        <v>1.6448536269514715</v>
      </c>
      <c r="J102" s="29">
        <f t="shared" si="68"/>
        <v>29.204899999999999</v>
      </c>
      <c r="K102" s="29">
        <f t="shared" si="69"/>
        <v>68</v>
      </c>
      <c r="L102" s="29">
        <f t="shared" si="70"/>
        <v>98</v>
      </c>
      <c r="M102" s="29">
        <f t="shared" si="71"/>
        <v>1540</v>
      </c>
      <c r="N102" s="29">
        <f t="shared" si="72"/>
        <v>344</v>
      </c>
      <c r="O102" s="29">
        <f t="shared" si="73"/>
        <v>442</v>
      </c>
      <c r="P102" s="29">
        <f t="shared" si="74"/>
        <v>240</v>
      </c>
      <c r="Q102" s="32">
        <f t="shared" si="75"/>
        <v>8.103896103896103</v>
      </c>
      <c r="R102" s="29">
        <f t="shared" si="76"/>
        <v>237</v>
      </c>
      <c r="S102" s="32">
        <f t="shared" si="77"/>
        <v>8.0025974025974023</v>
      </c>
      <c r="T102" s="27">
        <f t="shared" si="78"/>
        <v>1234.5700217669653</v>
      </c>
      <c r="U102" s="27">
        <f t="shared" si="79"/>
        <v>1250.1974903969269</v>
      </c>
      <c r="V102" s="27">
        <f t="shared" si="80"/>
        <v>-15.627468629961641</v>
      </c>
      <c r="W102" s="9" t="str">
        <f t="shared" si="81"/>
        <v>OK</v>
      </c>
      <c r="X102" s="30">
        <f t="shared" si="82"/>
        <v>1.76491873005169E-7</v>
      </c>
      <c r="Y102" s="29">
        <f t="shared" si="83"/>
        <v>0</v>
      </c>
      <c r="Z102" s="27">
        <f t="shared" si="84"/>
        <v>312.54937259923173</v>
      </c>
      <c r="AA102" s="27">
        <f t="shared" si="85"/>
        <v>223.83720930232559</v>
      </c>
      <c r="AB102" s="27">
        <f t="shared" si="86"/>
        <v>0</v>
      </c>
      <c r="AC102" s="64">
        <f t="shared" si="87"/>
        <v>1.02E-4</v>
      </c>
    </row>
    <row r="103" spans="1:29" ht="15" x14ac:dyDescent="0.35">
      <c r="A103" s="9" t="str">
        <f>ABC_XYZ!A103</f>
        <v>21930</v>
      </c>
      <c r="B103" s="9" t="str">
        <f>ABC_XYZ!B103</f>
        <v>JUMBO STORAGE BAG SKULLS</v>
      </c>
      <c r="C103" s="31" t="str">
        <f>ABC_XYZ!K103</f>
        <v>BX</v>
      </c>
      <c r="D103" s="9" t="str">
        <f>IF(AND(_xlfn.XLOOKUP(C103,BestClass,BestMethod)="Holt-Winters",ABC_XYZ!M103="No"),_xlfn.XLOOKUP(C103,BestClass,BestFlat),_xlfn.XLOOKUP(C103,BestClass,BestMethod))</f>
        <v>SES</v>
      </c>
      <c r="E103" s="32">
        <f>ABC_XYZ!G103</f>
        <v>117.57692307692308</v>
      </c>
      <c r="F103" s="32">
        <f>ABC_XYZ!H103</f>
        <v>81.367080628192326</v>
      </c>
      <c r="G103" s="34">
        <f>ABC_XYZ!N103*CostRatio</f>
        <v>1.3083325159391859</v>
      </c>
      <c r="H103" s="20">
        <f t="shared" si="66"/>
        <v>0.95</v>
      </c>
      <c r="I103" s="33">
        <f t="shared" si="67"/>
        <v>1.6448536269514715</v>
      </c>
      <c r="J103" s="29">
        <f t="shared" si="68"/>
        <v>405.47130000000004</v>
      </c>
      <c r="K103" s="29">
        <f t="shared" si="69"/>
        <v>232</v>
      </c>
      <c r="L103" s="29">
        <f t="shared" si="70"/>
        <v>638</v>
      </c>
      <c r="M103" s="29">
        <f t="shared" si="71"/>
        <v>6114</v>
      </c>
      <c r="N103" s="29">
        <f t="shared" si="72"/>
        <v>1368</v>
      </c>
      <c r="O103" s="29">
        <f t="shared" si="73"/>
        <v>2006</v>
      </c>
      <c r="P103" s="29">
        <f t="shared" si="74"/>
        <v>916</v>
      </c>
      <c r="Q103" s="32">
        <f t="shared" si="75"/>
        <v>7.7906444226365714</v>
      </c>
      <c r="R103" s="29">
        <f t="shared" si="76"/>
        <v>941</v>
      </c>
      <c r="S103" s="32">
        <f t="shared" si="77"/>
        <v>8.003271180896304</v>
      </c>
      <c r="T103" s="27">
        <f t="shared" si="78"/>
        <v>1231.1408974987739</v>
      </c>
      <c r="U103" s="27">
        <f t="shared" si="79"/>
        <v>1198.4325846002941</v>
      </c>
      <c r="V103" s="27">
        <f t="shared" si="80"/>
        <v>32.70831289847979</v>
      </c>
      <c r="W103" s="9" t="str">
        <f t="shared" si="81"/>
        <v>OK</v>
      </c>
      <c r="X103" s="30">
        <f t="shared" si="82"/>
        <v>7.2374123527563228E-5</v>
      </c>
      <c r="Y103" s="29">
        <f t="shared" si="83"/>
        <v>0</v>
      </c>
      <c r="Z103" s="27">
        <f t="shared" si="84"/>
        <v>299.60814615007354</v>
      </c>
      <c r="AA103" s="27">
        <f t="shared" si="85"/>
        <v>223.46491228070175</v>
      </c>
      <c r="AB103" s="27">
        <f t="shared" si="86"/>
        <v>0</v>
      </c>
      <c r="AC103" s="64">
        <f t="shared" si="87"/>
        <v>1.03E-4</v>
      </c>
    </row>
    <row r="104" spans="1:29" ht="15" x14ac:dyDescent="0.35">
      <c r="A104" s="9" t="str">
        <f>ABC_XYZ!A104</f>
        <v>22083</v>
      </c>
      <c r="B104" s="9" t="str">
        <f>ABC_XYZ!B104</f>
        <v>PAPER CHAIN KIT RETROSPOT</v>
      </c>
      <c r="C104" s="31" t="str">
        <f>ABC_XYZ!K104</f>
        <v>BX</v>
      </c>
      <c r="D104" s="9" t="str">
        <f>IF(AND(_xlfn.XLOOKUP(C104,BestClass,BestMethod)="Holt-Winters",ABC_XYZ!M104="No"),_xlfn.XLOOKUP(C104,BestClass,BestFlat),_xlfn.XLOOKUP(C104,BestClass,BestMethod))</f>
        <v>SES</v>
      </c>
      <c r="E104" s="32">
        <f>ABC_XYZ!G104</f>
        <v>84.230769230769226</v>
      </c>
      <c r="F104" s="32">
        <f>ABC_XYZ!H104</f>
        <v>47.171200662540926</v>
      </c>
      <c r="G104" s="34">
        <f>ABC_XYZ!N104*CostRatio</f>
        <v>1.8216214625311296</v>
      </c>
      <c r="H104" s="20">
        <f t="shared" si="66"/>
        <v>0.95</v>
      </c>
      <c r="I104" s="33">
        <f t="shared" si="67"/>
        <v>1.6448536269514715</v>
      </c>
      <c r="J104" s="29">
        <f t="shared" si="68"/>
        <v>314.91809999999998</v>
      </c>
      <c r="K104" s="29">
        <f t="shared" si="69"/>
        <v>135</v>
      </c>
      <c r="L104" s="29">
        <f t="shared" si="70"/>
        <v>450</v>
      </c>
      <c r="M104" s="29">
        <f t="shared" si="71"/>
        <v>4380</v>
      </c>
      <c r="N104" s="29">
        <f t="shared" si="72"/>
        <v>981</v>
      </c>
      <c r="O104" s="29">
        <f t="shared" si="73"/>
        <v>1431</v>
      </c>
      <c r="P104" s="29">
        <f t="shared" si="74"/>
        <v>625.5</v>
      </c>
      <c r="Q104" s="32">
        <f t="shared" si="75"/>
        <v>7.4260273972602739</v>
      </c>
      <c r="R104" s="29">
        <f t="shared" si="76"/>
        <v>674</v>
      </c>
      <c r="S104" s="32">
        <f t="shared" si="77"/>
        <v>8.0018264840182649</v>
      </c>
      <c r="T104" s="27">
        <f t="shared" si="78"/>
        <v>1227.7728657459813</v>
      </c>
      <c r="U104" s="27">
        <f t="shared" si="79"/>
        <v>1139.4242248132216</v>
      </c>
      <c r="V104" s="27">
        <f t="shared" si="80"/>
        <v>88.348640932759736</v>
      </c>
      <c r="W104" s="9" t="str">
        <f t="shared" si="81"/>
        <v>OK</v>
      </c>
      <c r="X104" s="30">
        <f t="shared" si="82"/>
        <v>5.539391916054015E-6</v>
      </c>
      <c r="Y104" s="29">
        <f t="shared" si="83"/>
        <v>0</v>
      </c>
      <c r="Z104" s="27">
        <f t="shared" si="84"/>
        <v>284.8560562033054</v>
      </c>
      <c r="AA104" s="27">
        <f t="shared" si="85"/>
        <v>223.24159021406729</v>
      </c>
      <c r="AB104" s="27">
        <f t="shared" si="86"/>
        <v>0</v>
      </c>
      <c r="AC104" s="64">
        <f t="shared" si="87"/>
        <v>1.0399999999999999E-4</v>
      </c>
    </row>
    <row r="105" spans="1:29" ht="15" x14ac:dyDescent="0.35">
      <c r="A105" s="9" t="str">
        <f>ABC_XYZ!A105</f>
        <v>82483</v>
      </c>
      <c r="B105" s="9" t="str">
        <f>ABC_XYZ!B105</f>
        <v>WOOD 2 DRAWER CABINET WHITE FINISH</v>
      </c>
      <c r="C105" s="31" t="str">
        <f>ABC_XYZ!K105</f>
        <v>BY</v>
      </c>
      <c r="D105" s="9" t="str">
        <f>IF(AND(_xlfn.XLOOKUP(C105,BestClass,BestMethod)="Holt-Winters",ABC_XYZ!M105="No"),_xlfn.XLOOKUP(C105,BestClass,BestFlat),_xlfn.XLOOKUP(C105,BestClass,BestMethod))</f>
        <v>Holt-Winters</v>
      </c>
      <c r="E105" s="32">
        <f>ABC_XYZ!G105</f>
        <v>40.57692307692308</v>
      </c>
      <c r="F105" s="32">
        <f>ABC_XYZ!H105</f>
        <v>33.968466434555673</v>
      </c>
      <c r="G105" s="34">
        <f>ABC_XYZ!N105*CostRatio</f>
        <v>3.7843610013175226</v>
      </c>
      <c r="H105" s="20">
        <f t="shared" si="66"/>
        <v>0.95</v>
      </c>
      <c r="I105" s="33">
        <f t="shared" si="67"/>
        <v>1.6448536269514715</v>
      </c>
      <c r="J105" s="29">
        <f t="shared" si="68"/>
        <v>148.32080000000002</v>
      </c>
      <c r="K105" s="29">
        <f t="shared" si="69"/>
        <v>97</v>
      </c>
      <c r="L105" s="29">
        <f t="shared" si="70"/>
        <v>246</v>
      </c>
      <c r="M105" s="29">
        <f t="shared" si="71"/>
        <v>2110</v>
      </c>
      <c r="N105" s="29">
        <f t="shared" si="72"/>
        <v>473</v>
      </c>
      <c r="O105" s="29">
        <f t="shared" si="73"/>
        <v>719</v>
      </c>
      <c r="P105" s="29">
        <f t="shared" si="74"/>
        <v>333.5</v>
      </c>
      <c r="Q105" s="32">
        <f t="shared" si="75"/>
        <v>8.2189573459715639</v>
      </c>
      <c r="R105" s="29">
        <f t="shared" si="76"/>
        <v>325</v>
      </c>
      <c r="S105" s="32">
        <f t="shared" si="77"/>
        <v>8.0094786729857805</v>
      </c>
      <c r="T105" s="27">
        <f t="shared" si="78"/>
        <v>1229.9173254281948</v>
      </c>
      <c r="U105" s="27">
        <f t="shared" si="79"/>
        <v>1262.0843939393937</v>
      </c>
      <c r="V105" s="27">
        <f t="shared" si="80"/>
        <v>-32.167068511198977</v>
      </c>
      <c r="W105" s="9" t="str">
        <f t="shared" si="81"/>
        <v>OK</v>
      </c>
      <c r="X105" s="30">
        <f t="shared" si="82"/>
        <v>1.3368588384585767E-3</v>
      </c>
      <c r="Y105" s="29">
        <f t="shared" si="83"/>
        <v>0</v>
      </c>
      <c r="Z105" s="27">
        <f t="shared" si="84"/>
        <v>315.52109848484844</v>
      </c>
      <c r="AA105" s="27">
        <f t="shared" si="85"/>
        <v>223.04439746300213</v>
      </c>
      <c r="AB105" s="27">
        <f t="shared" si="86"/>
        <v>0</v>
      </c>
      <c r="AC105" s="64">
        <f t="shared" si="87"/>
        <v>1.05E-4</v>
      </c>
    </row>
    <row r="106" spans="1:29" ht="15" x14ac:dyDescent="0.35">
      <c r="A106" s="9" t="str">
        <f>ABC_XYZ!A106</f>
        <v>22551</v>
      </c>
      <c r="B106" s="9" t="str">
        <f>ABC_XYZ!B106</f>
        <v>PLASTERS IN TIN SPACEBOY</v>
      </c>
      <c r="C106" s="31" t="str">
        <f>ABC_XYZ!K106</f>
        <v>BY</v>
      </c>
      <c r="D106" s="9" t="str">
        <f>IF(AND(_xlfn.XLOOKUP(C106,BestClass,BestMethod)="Holt-Winters",ABC_XYZ!M106="No"),_xlfn.XLOOKUP(C106,BestClass,BestFlat),_xlfn.XLOOKUP(C106,BestClass,BestMethod))</f>
        <v>Holt-Winters</v>
      </c>
      <c r="E106" s="32">
        <f>ABC_XYZ!G106</f>
        <v>150.26923076923077</v>
      </c>
      <c r="F106" s="32">
        <f>ABC_XYZ!H106</f>
        <v>113.52344758831921</v>
      </c>
      <c r="G106" s="34">
        <f>ABC_XYZ!N106*CostRatio</f>
        <v>1.0090587785286242</v>
      </c>
      <c r="H106" s="20">
        <f t="shared" si="66"/>
        <v>0.95</v>
      </c>
      <c r="I106" s="33">
        <f t="shared" si="67"/>
        <v>1.6448536269514715</v>
      </c>
      <c r="J106" s="29">
        <f t="shared" si="68"/>
        <v>242.83669999999998</v>
      </c>
      <c r="K106" s="29">
        <f t="shared" si="69"/>
        <v>324</v>
      </c>
      <c r="L106" s="29">
        <f t="shared" si="70"/>
        <v>567</v>
      </c>
      <c r="M106" s="29">
        <f t="shared" si="71"/>
        <v>7814</v>
      </c>
      <c r="N106" s="29">
        <f t="shared" si="72"/>
        <v>1760</v>
      </c>
      <c r="O106" s="29">
        <f t="shared" si="73"/>
        <v>2327</v>
      </c>
      <c r="P106" s="29">
        <f t="shared" si="74"/>
        <v>1204</v>
      </c>
      <c r="Q106" s="32">
        <f t="shared" si="75"/>
        <v>8.0122856411568968</v>
      </c>
      <c r="R106" s="29">
        <f t="shared" si="76"/>
        <v>1202</v>
      </c>
      <c r="S106" s="32">
        <f t="shared" si="77"/>
        <v>7.9989761965702586</v>
      </c>
      <c r="T106" s="27">
        <f t="shared" si="78"/>
        <v>1212.8886517914063</v>
      </c>
      <c r="U106" s="27">
        <f t="shared" si="79"/>
        <v>1214.9067693484635</v>
      </c>
      <c r="V106" s="27">
        <f t="shared" si="80"/>
        <v>-2.0181175570571668</v>
      </c>
      <c r="W106" s="9" t="str">
        <f t="shared" si="81"/>
        <v>OK</v>
      </c>
      <c r="X106" s="30">
        <f t="shared" si="82"/>
        <v>5.3569559399502253E-7</v>
      </c>
      <c r="Y106" s="29">
        <f t="shared" si="83"/>
        <v>0</v>
      </c>
      <c r="Z106" s="27">
        <f t="shared" si="84"/>
        <v>303.72669233711588</v>
      </c>
      <c r="AA106" s="27">
        <f t="shared" si="85"/>
        <v>221.98863636363635</v>
      </c>
      <c r="AB106" s="27">
        <f t="shared" si="86"/>
        <v>0</v>
      </c>
      <c r="AC106" s="64">
        <f t="shared" si="87"/>
        <v>1.06E-4</v>
      </c>
    </row>
    <row r="107" spans="1:29" ht="15" x14ac:dyDescent="0.35">
      <c r="A107" s="9" t="str">
        <f>ABC_XYZ!A107</f>
        <v>84077</v>
      </c>
      <c r="B107" s="9" t="str">
        <f>ABC_XYZ!B107</f>
        <v>WORLD WAR 2 GLIDERS ASSTD DESIGNS</v>
      </c>
      <c r="C107" s="31" t="str">
        <f>ABC_XYZ!K107</f>
        <v>BY</v>
      </c>
      <c r="D107" s="9" t="str">
        <f>IF(AND(_xlfn.XLOOKUP(C107,BestClass,BestMethod)="Holt-Winters",ABC_XYZ!M107="No"),_xlfn.XLOOKUP(C107,BestClass,BestFlat),_xlfn.XLOOKUP(C107,BestClass,BestMethod))</f>
        <v>Holt-Winters</v>
      </c>
      <c r="E107" s="32">
        <f>ABC_XYZ!G107</f>
        <v>1004.5</v>
      </c>
      <c r="F107" s="32">
        <f>ABC_XYZ!H107</f>
        <v>1010.5245289103138</v>
      </c>
      <c r="G107" s="34">
        <f>ABC_XYZ!N107*CostRatio</f>
        <v>0.15033461840775536</v>
      </c>
      <c r="H107" s="20">
        <f t="shared" si="66"/>
        <v>0.95</v>
      </c>
      <c r="I107" s="33">
        <f t="shared" si="67"/>
        <v>1.6448536269514715</v>
      </c>
      <c r="J107" s="29">
        <f t="shared" si="68"/>
        <v>1710.3887999999997</v>
      </c>
      <c r="K107" s="29">
        <f t="shared" si="69"/>
        <v>2879</v>
      </c>
      <c r="L107" s="29">
        <f t="shared" si="70"/>
        <v>4590</v>
      </c>
      <c r="M107" s="29">
        <f t="shared" si="71"/>
        <v>52234</v>
      </c>
      <c r="N107" s="29">
        <f t="shared" si="72"/>
        <v>11790</v>
      </c>
      <c r="O107" s="29">
        <f t="shared" si="73"/>
        <v>16380</v>
      </c>
      <c r="P107" s="29">
        <f t="shared" si="74"/>
        <v>8774</v>
      </c>
      <c r="Q107" s="32">
        <f t="shared" si="75"/>
        <v>8.7346938775510203</v>
      </c>
      <c r="R107" s="29">
        <f t="shared" si="76"/>
        <v>8036</v>
      </c>
      <c r="S107" s="32">
        <f t="shared" si="77"/>
        <v>8</v>
      </c>
      <c r="T107" s="27">
        <f t="shared" si="78"/>
        <v>1208.0889935247221</v>
      </c>
      <c r="U107" s="27">
        <f t="shared" si="79"/>
        <v>1319.0359419096455</v>
      </c>
      <c r="V107" s="27">
        <f t="shared" si="80"/>
        <v>-110.94694838492342</v>
      </c>
      <c r="W107" s="9" t="str">
        <f t="shared" si="81"/>
        <v>OK</v>
      </c>
      <c r="X107" s="30">
        <f t="shared" si="82"/>
        <v>1.5072132559879048E-4</v>
      </c>
      <c r="Y107" s="29">
        <f t="shared" si="83"/>
        <v>0</v>
      </c>
      <c r="Z107" s="27">
        <f t="shared" si="84"/>
        <v>329.75898547741139</v>
      </c>
      <c r="AA107" s="27">
        <f t="shared" si="85"/>
        <v>221.51823579304497</v>
      </c>
      <c r="AB107" s="27">
        <f t="shared" si="86"/>
        <v>0</v>
      </c>
      <c r="AC107" s="64">
        <f t="shared" si="87"/>
        <v>1.07E-4</v>
      </c>
    </row>
    <row r="108" spans="1:29" ht="15" x14ac:dyDescent="0.35">
      <c r="A108" s="9" t="str">
        <f>ABC_XYZ!A108</f>
        <v>21524</v>
      </c>
      <c r="B108" s="9" t="str">
        <f>ABC_XYZ!B108</f>
        <v>DOORMAT SPOTTY HOME SWEET HOME</v>
      </c>
      <c r="C108" s="31" t="str">
        <f>ABC_XYZ!K108</f>
        <v>BY</v>
      </c>
      <c r="D108" s="9" t="str">
        <f>IF(AND(_xlfn.XLOOKUP(C108,BestClass,BestMethod)="Holt-Winters",ABC_XYZ!M108="No"),_xlfn.XLOOKUP(C108,BestClass,BestFlat),_xlfn.XLOOKUP(C108,BestClass,BestMethod))</f>
        <v>SES</v>
      </c>
      <c r="E108" s="32">
        <f>ABC_XYZ!G108</f>
        <v>32.634615384615387</v>
      </c>
      <c r="F108" s="32">
        <f>ABC_XYZ!H108</f>
        <v>25.891954118692251</v>
      </c>
      <c r="G108" s="34">
        <f>ABC_XYZ!N108*CostRatio</f>
        <v>4.6419847328244277</v>
      </c>
      <c r="H108" s="20">
        <f t="shared" si="66"/>
        <v>0.95</v>
      </c>
      <c r="I108" s="33">
        <f t="shared" si="67"/>
        <v>1.6448536269514715</v>
      </c>
      <c r="J108" s="29">
        <f t="shared" si="68"/>
        <v>113.59199999999998</v>
      </c>
      <c r="K108" s="29">
        <f t="shared" si="69"/>
        <v>74</v>
      </c>
      <c r="L108" s="29">
        <f t="shared" si="70"/>
        <v>188</v>
      </c>
      <c r="M108" s="29">
        <f t="shared" si="71"/>
        <v>1697</v>
      </c>
      <c r="N108" s="29">
        <f t="shared" si="72"/>
        <v>383</v>
      </c>
      <c r="O108" s="29">
        <f t="shared" si="73"/>
        <v>571</v>
      </c>
      <c r="P108" s="29">
        <f t="shared" si="74"/>
        <v>265.5</v>
      </c>
      <c r="Q108" s="32">
        <f t="shared" si="75"/>
        <v>8.1355332940483205</v>
      </c>
      <c r="R108" s="29">
        <f t="shared" si="76"/>
        <v>261</v>
      </c>
      <c r="S108" s="32">
        <f t="shared" si="77"/>
        <v>7.9976428992339414</v>
      </c>
      <c r="T108" s="27">
        <f t="shared" si="78"/>
        <v>1211.5580152671757</v>
      </c>
      <c r="U108" s="27">
        <f t="shared" si="79"/>
        <v>1232.4469465648856</v>
      </c>
      <c r="V108" s="27">
        <f t="shared" si="80"/>
        <v>-20.88893129770986</v>
      </c>
      <c r="W108" s="9" t="str">
        <f t="shared" si="81"/>
        <v>OK</v>
      </c>
      <c r="X108" s="30">
        <f t="shared" si="82"/>
        <v>5.0636005000803674E-4</v>
      </c>
      <c r="Y108" s="29">
        <f t="shared" si="83"/>
        <v>0</v>
      </c>
      <c r="Z108" s="27">
        <f t="shared" si="84"/>
        <v>308.1117366412214</v>
      </c>
      <c r="AA108" s="27">
        <f t="shared" si="85"/>
        <v>221.54046997389031</v>
      </c>
      <c r="AB108" s="27">
        <f t="shared" si="86"/>
        <v>0</v>
      </c>
      <c r="AC108" s="64">
        <f t="shared" si="87"/>
        <v>1.08E-4</v>
      </c>
    </row>
    <row r="109" spans="1:29" ht="15" x14ac:dyDescent="0.35">
      <c r="A109" s="9" t="str">
        <f>ABC_XYZ!A109</f>
        <v>22554</v>
      </c>
      <c r="B109" s="9" t="str">
        <f>ABC_XYZ!B109</f>
        <v>PLASTERS IN TIN WOODLAND ANIMALS</v>
      </c>
      <c r="C109" s="31" t="str">
        <f>ABC_XYZ!K109</f>
        <v>BX</v>
      </c>
      <c r="D109" s="9" t="str">
        <f>IF(AND(_xlfn.XLOOKUP(C109,BestClass,BestMethod)="Holt-Winters",ABC_XYZ!M109="No"),_xlfn.XLOOKUP(C109,BestClass,BestFlat),_xlfn.XLOOKUP(C109,BestClass,BestMethod))</f>
        <v>SES</v>
      </c>
      <c r="E109" s="32">
        <f>ABC_XYZ!G109</f>
        <v>148.11538461538461</v>
      </c>
      <c r="F109" s="32">
        <f>ABC_XYZ!H109</f>
        <v>105.20468450133598</v>
      </c>
      <c r="G109" s="34">
        <f>ABC_XYZ!N109*CostRatio</f>
        <v>1.0207248738843617</v>
      </c>
      <c r="H109" s="20">
        <f t="shared" si="66"/>
        <v>0.95</v>
      </c>
      <c r="I109" s="33">
        <f t="shared" si="67"/>
        <v>1.6448536269514715</v>
      </c>
      <c r="J109" s="29">
        <f t="shared" si="68"/>
        <v>686.53919999999994</v>
      </c>
      <c r="K109" s="29">
        <f t="shared" si="69"/>
        <v>300</v>
      </c>
      <c r="L109" s="29">
        <f t="shared" si="70"/>
        <v>987</v>
      </c>
      <c r="M109" s="29">
        <f t="shared" si="71"/>
        <v>7702</v>
      </c>
      <c r="N109" s="29">
        <f t="shared" si="72"/>
        <v>1738</v>
      </c>
      <c r="O109" s="29">
        <f t="shared" si="73"/>
        <v>2725</v>
      </c>
      <c r="P109" s="29">
        <f t="shared" si="74"/>
        <v>1169</v>
      </c>
      <c r="Q109" s="32">
        <f t="shared" si="75"/>
        <v>7.8924954557257854</v>
      </c>
      <c r="R109" s="29">
        <f t="shared" si="76"/>
        <v>1185</v>
      </c>
      <c r="S109" s="32">
        <f t="shared" si="77"/>
        <v>8.0005193456245127</v>
      </c>
      <c r="T109" s="27">
        <f t="shared" si="78"/>
        <v>1209.5589755529686</v>
      </c>
      <c r="U109" s="27">
        <f t="shared" si="79"/>
        <v>1193.2273775708188</v>
      </c>
      <c r="V109" s="27">
        <f t="shared" si="80"/>
        <v>16.331597982149788</v>
      </c>
      <c r="W109" s="9" t="str">
        <f t="shared" si="81"/>
        <v>OK</v>
      </c>
      <c r="X109" s="30">
        <f t="shared" si="82"/>
        <v>3.1143636297900068E-3</v>
      </c>
      <c r="Y109" s="29">
        <f t="shared" si="83"/>
        <v>0</v>
      </c>
      <c r="Z109" s="27">
        <f t="shared" si="84"/>
        <v>298.3068443927047</v>
      </c>
      <c r="AA109" s="27">
        <f t="shared" si="85"/>
        <v>221.5765247410817</v>
      </c>
      <c r="AB109" s="27">
        <f t="shared" si="86"/>
        <v>0</v>
      </c>
      <c r="AC109" s="64">
        <f t="shared" si="87"/>
        <v>1.0900000000000001E-4</v>
      </c>
    </row>
    <row r="110" spans="1:29" ht="15" x14ac:dyDescent="0.35">
      <c r="A110" s="9" t="str">
        <f>ABC_XYZ!A110</f>
        <v>22558</v>
      </c>
      <c r="B110" s="9" t="str">
        <f>ABC_XYZ!B110</f>
        <v>CLOTHES PEGS RETROSPOT PACK 24</v>
      </c>
      <c r="C110" s="31" t="str">
        <f>ABC_XYZ!K110</f>
        <v>BX</v>
      </c>
      <c r="D110" s="9" t="str">
        <f>IF(AND(_xlfn.XLOOKUP(C110,BestClass,BestMethod)="Holt-Winters",ABC_XYZ!M110="No"),_xlfn.XLOOKUP(C110,BestClass,BestFlat),_xlfn.XLOOKUP(C110,BestClass,BestMethod))</f>
        <v>SES</v>
      </c>
      <c r="E110" s="32">
        <f>ABC_XYZ!G110</f>
        <v>164.69230769230768</v>
      </c>
      <c r="F110" s="32">
        <f>ABC_XYZ!H110</f>
        <v>113.69955911783363</v>
      </c>
      <c r="G110" s="34">
        <f>ABC_XYZ!N110*CostRatio</f>
        <v>0.91316443927948854</v>
      </c>
      <c r="H110" s="20">
        <f t="shared" si="66"/>
        <v>0.95</v>
      </c>
      <c r="I110" s="33">
        <f t="shared" si="67"/>
        <v>1.6448536269514715</v>
      </c>
      <c r="J110" s="29">
        <f t="shared" si="68"/>
        <v>367.74810000000002</v>
      </c>
      <c r="K110" s="29">
        <f t="shared" si="69"/>
        <v>324</v>
      </c>
      <c r="L110" s="29">
        <f t="shared" si="70"/>
        <v>692</v>
      </c>
      <c r="M110" s="29">
        <f t="shared" si="71"/>
        <v>8564</v>
      </c>
      <c r="N110" s="29">
        <f t="shared" si="72"/>
        <v>1937</v>
      </c>
      <c r="O110" s="29">
        <f t="shared" si="73"/>
        <v>2629</v>
      </c>
      <c r="P110" s="29">
        <f t="shared" si="74"/>
        <v>1292.5</v>
      </c>
      <c r="Q110" s="32">
        <f t="shared" si="75"/>
        <v>7.8479682391405889</v>
      </c>
      <c r="R110" s="29">
        <f t="shared" si="76"/>
        <v>1318</v>
      </c>
      <c r="S110" s="32">
        <f t="shared" si="77"/>
        <v>8.0028024287716022</v>
      </c>
      <c r="T110" s="27">
        <f t="shared" si="78"/>
        <v>1203.550730970366</v>
      </c>
      <c r="U110" s="27">
        <f t="shared" si="79"/>
        <v>1180.2650377687389</v>
      </c>
      <c r="V110" s="27">
        <f t="shared" si="80"/>
        <v>23.285693201627055</v>
      </c>
      <c r="W110" s="9" t="str">
        <f t="shared" si="81"/>
        <v>OK</v>
      </c>
      <c r="X110" s="30">
        <f t="shared" si="82"/>
        <v>6.9915754197236168E-7</v>
      </c>
      <c r="Y110" s="29">
        <f t="shared" si="83"/>
        <v>0</v>
      </c>
      <c r="Z110" s="27">
        <f t="shared" si="84"/>
        <v>295.06625944218473</v>
      </c>
      <c r="AA110" s="27">
        <f t="shared" si="85"/>
        <v>221.06350025813114</v>
      </c>
      <c r="AB110" s="27">
        <f t="shared" si="86"/>
        <v>0</v>
      </c>
      <c r="AC110" s="64">
        <f t="shared" si="87"/>
        <v>1.1E-4</v>
      </c>
    </row>
    <row r="111" spans="1:29" ht="15" x14ac:dyDescent="0.35">
      <c r="A111" s="9" t="str">
        <f>ABC_XYZ!A111</f>
        <v>22171</v>
      </c>
      <c r="B111" s="9" t="str">
        <f>ABC_XYZ!B111</f>
        <v>3 HOOK PHOTO SHELF ANTIQUE WHITE</v>
      </c>
      <c r="C111" s="31" t="str">
        <f>ABC_XYZ!K111</f>
        <v>BZ</v>
      </c>
      <c r="D111" s="9" t="str">
        <f>IF(AND(_xlfn.XLOOKUP(C111,BestClass,BestMethod)="Holt-Winters",ABC_XYZ!M111="No"),_xlfn.XLOOKUP(C111,BestClass,BestFlat),_xlfn.XLOOKUP(C111,BestClass,BestMethod))</f>
        <v>SES</v>
      </c>
      <c r="E111" s="32">
        <f>ABC_XYZ!G111</f>
        <v>33.884615384615387</v>
      </c>
      <c r="F111" s="32">
        <f>ABC_XYZ!H111</f>
        <v>54.951191835690842</v>
      </c>
      <c r="G111" s="34">
        <f>ABC_XYZ!N111*CostRatio</f>
        <v>4.5387003329633737</v>
      </c>
      <c r="H111" s="20">
        <f t="shared" si="66"/>
        <v>0.95</v>
      </c>
      <c r="I111" s="33">
        <f t="shared" si="67"/>
        <v>1.6448536269514715</v>
      </c>
      <c r="J111" s="29">
        <f t="shared" si="68"/>
        <v>88.010400000000004</v>
      </c>
      <c r="K111" s="29">
        <f t="shared" si="69"/>
        <v>157</v>
      </c>
      <c r="L111" s="29">
        <f t="shared" si="70"/>
        <v>246</v>
      </c>
      <c r="M111" s="29">
        <f t="shared" si="71"/>
        <v>1762</v>
      </c>
      <c r="N111" s="29">
        <f t="shared" si="72"/>
        <v>395</v>
      </c>
      <c r="O111" s="29">
        <f t="shared" si="73"/>
        <v>641</v>
      </c>
      <c r="P111" s="29">
        <f t="shared" si="74"/>
        <v>354.5</v>
      </c>
      <c r="Q111" s="32">
        <f t="shared" si="75"/>
        <v>10.461975028376845</v>
      </c>
      <c r="R111" s="29">
        <f t="shared" si="76"/>
        <v>271</v>
      </c>
      <c r="S111" s="32">
        <f t="shared" si="77"/>
        <v>7.9977298524404077</v>
      </c>
      <c r="T111" s="27">
        <f t="shared" si="78"/>
        <v>1229.9877902330743</v>
      </c>
      <c r="U111" s="27">
        <f t="shared" si="79"/>
        <v>1608.9692680355161</v>
      </c>
      <c r="V111" s="27">
        <f t="shared" si="80"/>
        <v>-378.98147780244176</v>
      </c>
      <c r="W111" s="9" t="str">
        <f t="shared" si="81"/>
        <v>OK</v>
      </c>
      <c r="X111" s="30">
        <f t="shared" si="82"/>
        <v>2.7265228176565959E-2</v>
      </c>
      <c r="Y111" s="29">
        <f t="shared" si="83"/>
        <v>0</v>
      </c>
      <c r="Z111" s="27">
        <f t="shared" si="84"/>
        <v>402.24231700887901</v>
      </c>
      <c r="AA111" s="27">
        <f t="shared" si="85"/>
        <v>223.03797468354429</v>
      </c>
      <c r="AB111" s="27">
        <f t="shared" si="86"/>
        <v>0</v>
      </c>
      <c r="AC111" s="64">
        <f t="shared" si="87"/>
        <v>1.11E-4</v>
      </c>
    </row>
    <row r="112" spans="1:29" ht="15" x14ac:dyDescent="0.35">
      <c r="A112" s="9" t="str">
        <f>ABC_XYZ!A112</f>
        <v>22499</v>
      </c>
      <c r="B112" s="9" t="str">
        <f>ABC_XYZ!B112</f>
        <v>WOODEN UNION JACK BUNTING</v>
      </c>
      <c r="C112" s="31" t="str">
        <f>ABC_XYZ!K112</f>
        <v>BZ</v>
      </c>
      <c r="D112" s="9" t="str">
        <f>IF(AND(_xlfn.XLOOKUP(C112,BestClass,BestMethod)="Holt-Winters",ABC_XYZ!M112="No"),_xlfn.XLOOKUP(C112,BestClass,BestFlat),_xlfn.XLOOKUP(C112,BestClass,BestMethod))</f>
        <v>SES</v>
      </c>
      <c r="E112" s="32">
        <f>ABC_XYZ!G112</f>
        <v>39.53846153846154</v>
      </c>
      <c r="F112" s="32">
        <f>ABC_XYZ!H112</f>
        <v>55.111459802007559</v>
      </c>
      <c r="G112" s="34">
        <f>ABC_XYZ!N112*CostRatio</f>
        <v>3.6639961165048538</v>
      </c>
      <c r="H112" s="20">
        <f t="shared" si="66"/>
        <v>0.95</v>
      </c>
      <c r="I112" s="33">
        <f t="shared" si="67"/>
        <v>1.6448536269514715</v>
      </c>
      <c r="J112" s="29">
        <f t="shared" si="68"/>
        <v>40.184100000000001</v>
      </c>
      <c r="K112" s="29">
        <f t="shared" si="69"/>
        <v>158</v>
      </c>
      <c r="L112" s="29">
        <f t="shared" si="70"/>
        <v>199</v>
      </c>
      <c r="M112" s="29">
        <f t="shared" si="71"/>
        <v>2056</v>
      </c>
      <c r="N112" s="29">
        <f t="shared" si="72"/>
        <v>474</v>
      </c>
      <c r="O112" s="29">
        <f t="shared" si="73"/>
        <v>673</v>
      </c>
      <c r="P112" s="29">
        <f t="shared" si="74"/>
        <v>395</v>
      </c>
      <c r="Q112" s="32">
        <f t="shared" si="75"/>
        <v>9.9902723735408561</v>
      </c>
      <c r="R112" s="29">
        <f t="shared" si="76"/>
        <v>316</v>
      </c>
      <c r="S112" s="32">
        <f t="shared" si="77"/>
        <v>7.9922178988326849</v>
      </c>
      <c r="T112" s="27">
        <f t="shared" si="78"/>
        <v>1157.8227728155339</v>
      </c>
      <c r="U112" s="27">
        <f t="shared" si="79"/>
        <v>1447.2784660194172</v>
      </c>
      <c r="V112" s="27">
        <f t="shared" si="80"/>
        <v>-289.45569320388336</v>
      </c>
      <c r="W112" s="9" t="str">
        <f t="shared" si="81"/>
        <v>OK</v>
      </c>
      <c r="X112" s="30">
        <f t="shared" si="82"/>
        <v>1.9295176622710075E-3</v>
      </c>
      <c r="Y112" s="29">
        <f t="shared" si="83"/>
        <v>0</v>
      </c>
      <c r="Z112" s="27">
        <f t="shared" si="84"/>
        <v>361.81961650485431</v>
      </c>
      <c r="AA112" s="27">
        <f t="shared" si="85"/>
        <v>216.8776371308017</v>
      </c>
      <c r="AB112" s="27">
        <f t="shared" si="86"/>
        <v>0</v>
      </c>
      <c r="AC112" s="64">
        <f t="shared" si="87"/>
        <v>1.12E-4</v>
      </c>
    </row>
    <row r="113" spans="1:29" ht="15" x14ac:dyDescent="0.35">
      <c r="A113" s="9" t="str">
        <f>ABC_XYZ!A113</f>
        <v>22427</v>
      </c>
      <c r="B113" s="9" t="str">
        <f>ABC_XYZ!B113</f>
        <v>ENAMEL FLOWER JUG CREAM</v>
      </c>
      <c r="C113" s="31" t="str">
        <f>ABC_XYZ!K113</f>
        <v>BY</v>
      </c>
      <c r="D113" s="9" t="str">
        <f>IF(AND(_xlfn.XLOOKUP(C113,BestClass,BestMethod)="Holt-Winters",ABC_XYZ!M113="No"),_xlfn.XLOOKUP(C113,BestClass,BestFlat),_xlfn.XLOOKUP(C113,BestClass,BestMethod))</f>
        <v>SES</v>
      </c>
      <c r="E113" s="32">
        <f>ABC_XYZ!G113</f>
        <v>39.884615384615387</v>
      </c>
      <c r="F113" s="32">
        <f>ABC_XYZ!H113</f>
        <v>29.988660501474548</v>
      </c>
      <c r="G113" s="34">
        <f>ABC_XYZ!N113*CostRatio</f>
        <v>3.60836346336822</v>
      </c>
      <c r="H113" s="20">
        <f t="shared" si="66"/>
        <v>0.95</v>
      </c>
      <c r="I113" s="33">
        <f t="shared" si="67"/>
        <v>1.6448536269514715</v>
      </c>
      <c r="J113" s="29">
        <f t="shared" si="68"/>
        <v>24.2211</v>
      </c>
      <c r="K113" s="29">
        <f t="shared" si="69"/>
        <v>86</v>
      </c>
      <c r="L113" s="29">
        <f t="shared" si="70"/>
        <v>111</v>
      </c>
      <c r="M113" s="29">
        <f t="shared" si="71"/>
        <v>2074</v>
      </c>
      <c r="N113" s="29">
        <f t="shared" si="72"/>
        <v>480</v>
      </c>
      <c r="O113" s="29">
        <f t="shared" si="73"/>
        <v>591</v>
      </c>
      <c r="P113" s="29">
        <f t="shared" si="74"/>
        <v>326</v>
      </c>
      <c r="Q113" s="32">
        <f t="shared" si="75"/>
        <v>8.1735776277724206</v>
      </c>
      <c r="R113" s="29">
        <f t="shared" si="76"/>
        <v>319</v>
      </c>
      <c r="S113" s="32">
        <f t="shared" si="77"/>
        <v>7.9980713596914175</v>
      </c>
      <c r="T113" s="27">
        <f t="shared" si="78"/>
        <v>1151.0679448144622</v>
      </c>
      <c r="U113" s="27">
        <f t="shared" si="79"/>
        <v>1176.3264890580397</v>
      </c>
      <c r="V113" s="27">
        <f t="shared" si="80"/>
        <v>-25.258544243577489</v>
      </c>
      <c r="W113" s="9" t="str">
        <f t="shared" si="81"/>
        <v>OK</v>
      </c>
      <c r="X113" s="30">
        <f t="shared" si="82"/>
        <v>6.9276430147979795E-9</v>
      </c>
      <c r="Y113" s="29">
        <f t="shared" si="83"/>
        <v>0</v>
      </c>
      <c r="Z113" s="27">
        <f t="shared" si="84"/>
        <v>294.08162226450992</v>
      </c>
      <c r="AA113" s="27">
        <f t="shared" si="85"/>
        <v>216.04166666666669</v>
      </c>
      <c r="AB113" s="27">
        <f t="shared" si="86"/>
        <v>0</v>
      </c>
      <c r="AC113" s="64">
        <f t="shared" si="87"/>
        <v>1.13E-4</v>
      </c>
    </row>
    <row r="114" spans="1:29" ht="15" x14ac:dyDescent="0.35">
      <c r="A114" s="9" t="str">
        <f>ABC_XYZ!A114</f>
        <v>20750</v>
      </c>
      <c r="B114" s="9" t="str">
        <f>ABC_XYZ!B114</f>
        <v>RED RETROSPOT MINI CASES</v>
      </c>
      <c r="C114" s="31" t="str">
        <f>ABC_XYZ!K114</f>
        <v>BX</v>
      </c>
      <c r="D114" s="9" t="str">
        <f>IF(AND(_xlfn.XLOOKUP(C114,BestClass,BestMethod)="Holt-Winters",ABC_XYZ!M114="No"),_xlfn.XLOOKUP(C114,BestClass,BestFlat),_xlfn.XLOOKUP(C114,BestClass,BestMethod))</f>
        <v>SES</v>
      </c>
      <c r="E114" s="32">
        <f>ABC_XYZ!G114</f>
        <v>32.57692307692308</v>
      </c>
      <c r="F114" s="32">
        <f>ABC_XYZ!H114</f>
        <v>21.202428785998535</v>
      </c>
      <c r="G114" s="34">
        <f>ABC_XYZ!N114*CostRatio</f>
        <v>4.3283011764705881</v>
      </c>
      <c r="H114" s="20">
        <f t="shared" si="66"/>
        <v>0.95</v>
      </c>
      <c r="I114" s="33">
        <f t="shared" si="67"/>
        <v>1.6448536269514715</v>
      </c>
      <c r="J114" s="29">
        <f t="shared" si="68"/>
        <v>103.32899999999999</v>
      </c>
      <c r="K114" s="29">
        <f t="shared" si="69"/>
        <v>61</v>
      </c>
      <c r="L114" s="29">
        <f t="shared" si="70"/>
        <v>165</v>
      </c>
      <c r="M114" s="29">
        <f t="shared" si="71"/>
        <v>1694.0000000000002</v>
      </c>
      <c r="N114" s="29">
        <f t="shared" si="72"/>
        <v>396</v>
      </c>
      <c r="O114" s="29">
        <f t="shared" si="73"/>
        <v>561</v>
      </c>
      <c r="P114" s="29">
        <f t="shared" si="74"/>
        <v>259</v>
      </c>
      <c r="Q114" s="32">
        <f t="shared" si="75"/>
        <v>7.9504132231404947</v>
      </c>
      <c r="R114" s="29">
        <f t="shared" si="76"/>
        <v>261</v>
      </c>
      <c r="S114" s="32">
        <f t="shared" si="77"/>
        <v>8.0118063754427382</v>
      </c>
      <c r="T114" s="27">
        <f t="shared" si="78"/>
        <v>1129.6866070588235</v>
      </c>
      <c r="U114" s="27">
        <f t="shared" si="79"/>
        <v>1121.0300047058822</v>
      </c>
      <c r="V114" s="27">
        <f t="shared" si="80"/>
        <v>8.6566023529412632</v>
      </c>
      <c r="W114" s="9" t="str">
        <f t="shared" si="81"/>
        <v>OK</v>
      </c>
      <c r="X114" s="30">
        <f t="shared" si="82"/>
        <v>8.7962217608650306E-6</v>
      </c>
      <c r="Y114" s="29">
        <f t="shared" si="83"/>
        <v>0</v>
      </c>
      <c r="Z114" s="27">
        <f t="shared" si="84"/>
        <v>280.25750117647056</v>
      </c>
      <c r="AA114" s="27">
        <f t="shared" si="85"/>
        <v>213.88888888888891</v>
      </c>
      <c r="AB114" s="27">
        <f t="shared" si="86"/>
        <v>0</v>
      </c>
      <c r="AC114" s="64">
        <f t="shared" si="87"/>
        <v>1.1400000000000001E-4</v>
      </c>
    </row>
    <row r="115" spans="1:29" ht="15" x14ac:dyDescent="0.35">
      <c r="A115" s="9" t="str">
        <f>ABC_XYZ!A115</f>
        <v>21755</v>
      </c>
      <c r="B115" s="9" t="str">
        <f>ABC_XYZ!B115</f>
        <v>LOVE BUILDING BLOCK WORD</v>
      </c>
      <c r="C115" s="31" t="str">
        <f>ABC_XYZ!K115</f>
        <v>BX</v>
      </c>
      <c r="D115" s="9" t="str">
        <f>IF(AND(_xlfn.XLOOKUP(C115,BestClass,BestMethod)="Holt-Winters",ABC_XYZ!M115="No"),_xlfn.XLOOKUP(C115,BestClass,BestFlat),_xlfn.XLOOKUP(C115,BestClass,BestMethod))</f>
        <v>SES</v>
      </c>
      <c r="E115" s="32">
        <f>ABC_XYZ!G115</f>
        <v>37.96153846153846</v>
      </c>
      <c r="F115" s="32">
        <f>ABC_XYZ!H115</f>
        <v>23.915670093436638</v>
      </c>
      <c r="G115" s="34">
        <f>ABC_XYZ!N115*CostRatio</f>
        <v>3.7052203219315891</v>
      </c>
      <c r="H115" s="20">
        <f t="shared" si="66"/>
        <v>0.95</v>
      </c>
      <c r="I115" s="33">
        <f t="shared" si="67"/>
        <v>1.6448536269514715</v>
      </c>
      <c r="J115" s="29">
        <f t="shared" si="68"/>
        <v>97.587299999999999</v>
      </c>
      <c r="K115" s="29">
        <f t="shared" si="69"/>
        <v>69</v>
      </c>
      <c r="L115" s="29">
        <f t="shared" si="70"/>
        <v>167</v>
      </c>
      <c r="M115" s="29">
        <f t="shared" si="71"/>
        <v>1974</v>
      </c>
      <c r="N115" s="29">
        <f t="shared" si="72"/>
        <v>462</v>
      </c>
      <c r="O115" s="29">
        <f t="shared" si="73"/>
        <v>629</v>
      </c>
      <c r="P115" s="29">
        <f t="shared" si="74"/>
        <v>300</v>
      </c>
      <c r="Q115" s="32">
        <f t="shared" si="75"/>
        <v>7.9027355623100304</v>
      </c>
      <c r="R115" s="29">
        <f t="shared" si="76"/>
        <v>304</v>
      </c>
      <c r="S115" s="32">
        <f t="shared" si="77"/>
        <v>8.0081053698074971</v>
      </c>
      <c r="T115" s="27">
        <f t="shared" si="78"/>
        <v>1126.3869778672031</v>
      </c>
      <c r="U115" s="27">
        <f t="shared" si="79"/>
        <v>1111.5660965794768</v>
      </c>
      <c r="V115" s="27">
        <f t="shared" si="80"/>
        <v>14.820881287726252</v>
      </c>
      <c r="W115" s="9" t="str">
        <f t="shared" si="81"/>
        <v>OK</v>
      </c>
      <c r="X115" s="30">
        <f t="shared" si="82"/>
        <v>3.1298618752284568E-7</v>
      </c>
      <c r="Y115" s="29">
        <f t="shared" si="83"/>
        <v>0</v>
      </c>
      <c r="Z115" s="27">
        <f t="shared" si="84"/>
        <v>277.89152414486921</v>
      </c>
      <c r="AA115" s="27">
        <f t="shared" si="85"/>
        <v>213.63636363636363</v>
      </c>
      <c r="AB115" s="27">
        <f t="shared" si="86"/>
        <v>0</v>
      </c>
      <c r="AC115" s="64">
        <f t="shared" si="87"/>
        <v>1.15E-4</v>
      </c>
    </row>
    <row r="116" spans="1:29" ht="15" x14ac:dyDescent="0.35">
      <c r="A116" s="9" t="str">
        <f>ABC_XYZ!A116</f>
        <v>20971</v>
      </c>
      <c r="B116" s="9" t="str">
        <f>ABC_XYZ!B116</f>
        <v>PINK BLUE FELT CRAFT TRINKET BOX</v>
      </c>
      <c r="C116" s="31" t="str">
        <f>ABC_XYZ!K116</f>
        <v>BZ</v>
      </c>
      <c r="D116" s="9" t="str">
        <f>IF(AND(_xlfn.XLOOKUP(C116,BestClass,BestMethod)="Holt-Winters",ABC_XYZ!M116="No"),_xlfn.XLOOKUP(C116,BestClass,BestFlat),_xlfn.XLOOKUP(C116,BestClass,BestMethod))</f>
        <v>Holt-Winters</v>
      </c>
      <c r="E116" s="32">
        <f>ABC_XYZ!G116</f>
        <v>183.25</v>
      </c>
      <c r="F116" s="32">
        <f>ABC_XYZ!H116</f>
        <v>427.44851197794208</v>
      </c>
      <c r="G116" s="34">
        <f>ABC_XYZ!N116*CostRatio</f>
        <v>0.75191336405529952</v>
      </c>
      <c r="H116" s="20">
        <f t="shared" si="66"/>
        <v>0.95</v>
      </c>
      <c r="I116" s="33">
        <f t="shared" si="67"/>
        <v>1.6448536269514715</v>
      </c>
      <c r="J116" s="29">
        <f t="shared" si="68"/>
        <v>770.7251</v>
      </c>
      <c r="K116" s="29">
        <f t="shared" si="69"/>
        <v>1218</v>
      </c>
      <c r="L116" s="29">
        <f t="shared" si="70"/>
        <v>1989</v>
      </c>
      <c r="M116" s="29">
        <f t="shared" si="71"/>
        <v>9529</v>
      </c>
      <c r="N116" s="29">
        <f t="shared" si="72"/>
        <v>2252</v>
      </c>
      <c r="O116" s="29">
        <f t="shared" si="73"/>
        <v>4241</v>
      </c>
      <c r="P116" s="29">
        <f t="shared" si="74"/>
        <v>2344</v>
      </c>
      <c r="Q116" s="32">
        <f t="shared" si="75"/>
        <v>12.791268758526604</v>
      </c>
      <c r="R116" s="29">
        <f t="shared" si="76"/>
        <v>1466</v>
      </c>
      <c r="S116" s="32">
        <f t="shared" si="77"/>
        <v>8</v>
      </c>
      <c r="T116" s="27">
        <f t="shared" si="78"/>
        <v>1102.3049917050691</v>
      </c>
      <c r="U116" s="27">
        <f t="shared" si="79"/>
        <v>1762.4849253456221</v>
      </c>
      <c r="V116" s="27">
        <f t="shared" si="80"/>
        <v>-660.17993364055292</v>
      </c>
      <c r="W116" s="9" t="str">
        <f t="shared" si="81"/>
        <v>Reorder now</v>
      </c>
      <c r="X116" s="30">
        <f t="shared" si="82"/>
        <v>0.17383955016249675</v>
      </c>
      <c r="Y116" s="29">
        <f t="shared" si="83"/>
        <v>2775</v>
      </c>
      <c r="Z116" s="27">
        <f t="shared" si="84"/>
        <v>440.62123133640551</v>
      </c>
      <c r="AA116" s="27">
        <f t="shared" si="85"/>
        <v>211.56749555950265</v>
      </c>
      <c r="AB116" s="27">
        <f t="shared" si="86"/>
        <v>393.25068940092166</v>
      </c>
      <c r="AC116" s="64">
        <f t="shared" si="87"/>
        <v>393.25080540092165</v>
      </c>
    </row>
    <row r="117" spans="1:29" ht="15" x14ac:dyDescent="0.35">
      <c r="A117" s="9" t="str">
        <f>ABC_XYZ!A117</f>
        <v>22158</v>
      </c>
      <c r="B117" s="9" t="str">
        <f>ABC_XYZ!B117</f>
        <v>3 HEARTS HANGING DECORATION RUSTIC</v>
      </c>
      <c r="C117" s="31" t="str">
        <f>ABC_XYZ!K117</f>
        <v>BZ</v>
      </c>
      <c r="D117" s="9" t="str">
        <f>IF(AND(_xlfn.XLOOKUP(C117,BestClass,BestMethod)="Holt-Winters",ABC_XYZ!M117="No"),_xlfn.XLOOKUP(C117,BestClass,BestFlat),_xlfn.XLOOKUP(C117,BestClass,BestMethod))</f>
        <v>Holt-Winters</v>
      </c>
      <c r="E117" s="32">
        <f>ABC_XYZ!G117</f>
        <v>67.807692307692307</v>
      </c>
      <c r="F117" s="32">
        <f>ABC_XYZ!H117</f>
        <v>123.08056320031767</v>
      </c>
      <c r="G117" s="34">
        <f>ABC_XYZ!N117*CostRatio</f>
        <v>2.0690350480497455</v>
      </c>
      <c r="H117" s="20">
        <f t="shared" si="66"/>
        <v>0.95</v>
      </c>
      <c r="I117" s="33">
        <f t="shared" si="67"/>
        <v>1.6448536269514715</v>
      </c>
      <c r="J117" s="29">
        <f t="shared" si="68"/>
        <v>279.00819999999999</v>
      </c>
      <c r="K117" s="29">
        <f t="shared" si="69"/>
        <v>351</v>
      </c>
      <c r="L117" s="29">
        <f t="shared" si="70"/>
        <v>631</v>
      </c>
      <c r="M117" s="29">
        <f t="shared" si="71"/>
        <v>3526</v>
      </c>
      <c r="N117" s="29">
        <f t="shared" si="72"/>
        <v>826</v>
      </c>
      <c r="O117" s="29">
        <f t="shared" si="73"/>
        <v>1457</v>
      </c>
      <c r="P117" s="29">
        <f t="shared" si="74"/>
        <v>764</v>
      </c>
      <c r="Q117" s="32">
        <f t="shared" si="75"/>
        <v>11.267158252977879</v>
      </c>
      <c r="R117" s="29">
        <f t="shared" si="76"/>
        <v>542</v>
      </c>
      <c r="S117" s="32">
        <f t="shared" si="77"/>
        <v>7.9931934203062962</v>
      </c>
      <c r="T117" s="27">
        <f t="shared" si="78"/>
        <v>1121.416996042962</v>
      </c>
      <c r="U117" s="27">
        <f t="shared" si="79"/>
        <v>1580.7427767100055</v>
      </c>
      <c r="V117" s="27">
        <f t="shared" si="80"/>
        <v>-459.32578066704355</v>
      </c>
      <c r="W117" s="9" t="str">
        <f t="shared" si="81"/>
        <v>Reorder now</v>
      </c>
      <c r="X117" s="30">
        <f t="shared" si="82"/>
        <v>0.1086666011355778</v>
      </c>
      <c r="Y117" s="29">
        <f t="shared" si="83"/>
        <v>915</v>
      </c>
      <c r="Z117" s="27">
        <f t="shared" si="84"/>
        <v>395.18569417750138</v>
      </c>
      <c r="AA117" s="27">
        <f t="shared" si="85"/>
        <v>213.43825665859563</v>
      </c>
      <c r="AB117" s="27">
        <f t="shared" si="86"/>
        <v>184.14411927642735</v>
      </c>
      <c r="AC117" s="64">
        <f t="shared" si="87"/>
        <v>184.14423627642734</v>
      </c>
    </row>
    <row r="118" spans="1:29" ht="15" x14ac:dyDescent="0.35">
      <c r="A118" s="9" t="str">
        <f>ABC_XYZ!A118</f>
        <v>22607</v>
      </c>
      <c r="B118" s="9" t="str">
        <f>ABC_XYZ!B118</f>
        <v>WOODEN ROUNDERS GARDEN SET</v>
      </c>
      <c r="C118" s="31" t="str">
        <f>ABC_XYZ!K118</f>
        <v>BZ</v>
      </c>
      <c r="D118" s="9" t="str">
        <f>IF(AND(_xlfn.XLOOKUP(C118,BestClass,BestMethod)="Holt-Winters",ABC_XYZ!M118="No"),_xlfn.XLOOKUP(C118,BestClass,BestFlat),_xlfn.XLOOKUP(C118,BestClass,BestMethod))</f>
        <v>SES</v>
      </c>
      <c r="E118" s="32">
        <f>ABC_XYZ!G118</f>
        <v>24.73076923076923</v>
      </c>
      <c r="F118" s="32">
        <f>ABC_XYZ!H118</f>
        <v>31.171955334830724</v>
      </c>
      <c r="G118" s="34">
        <f>ABC_XYZ!N118*CostRatio</f>
        <v>5.6437488372093023</v>
      </c>
      <c r="H118" s="20">
        <f t="shared" si="66"/>
        <v>0.95</v>
      </c>
      <c r="I118" s="33">
        <f t="shared" si="67"/>
        <v>1.6448536269514715</v>
      </c>
      <c r="J118" s="29">
        <f t="shared" si="68"/>
        <v>35.785200000000003</v>
      </c>
      <c r="K118" s="29">
        <f t="shared" si="69"/>
        <v>89</v>
      </c>
      <c r="L118" s="29">
        <f t="shared" si="70"/>
        <v>125</v>
      </c>
      <c r="M118" s="29">
        <f t="shared" si="71"/>
        <v>1286</v>
      </c>
      <c r="N118" s="29">
        <f t="shared" si="72"/>
        <v>302</v>
      </c>
      <c r="O118" s="29">
        <f t="shared" si="73"/>
        <v>427</v>
      </c>
      <c r="P118" s="29">
        <f t="shared" si="74"/>
        <v>240</v>
      </c>
      <c r="Q118" s="32">
        <f t="shared" si="75"/>
        <v>9.7045101088646977</v>
      </c>
      <c r="R118" s="29">
        <f t="shared" si="76"/>
        <v>198</v>
      </c>
      <c r="S118" s="32">
        <f t="shared" si="77"/>
        <v>8.0062208398133752</v>
      </c>
      <c r="T118" s="27">
        <f t="shared" si="78"/>
        <v>1117.462269767442</v>
      </c>
      <c r="U118" s="27">
        <f t="shared" si="79"/>
        <v>1354.4997209302326</v>
      </c>
      <c r="V118" s="27">
        <f t="shared" si="80"/>
        <v>-237.0374511627906</v>
      </c>
      <c r="W118" s="9" t="str">
        <f t="shared" si="81"/>
        <v>OK</v>
      </c>
      <c r="X118" s="30">
        <f t="shared" si="82"/>
        <v>1.3302825648534577E-3</v>
      </c>
      <c r="Y118" s="29">
        <f t="shared" si="83"/>
        <v>0</v>
      </c>
      <c r="Z118" s="27">
        <f t="shared" si="84"/>
        <v>338.62493023255814</v>
      </c>
      <c r="AA118" s="27">
        <f t="shared" si="85"/>
        <v>212.91390728476819</v>
      </c>
      <c r="AB118" s="27">
        <f t="shared" si="86"/>
        <v>0</v>
      </c>
      <c r="AC118" s="64">
        <f t="shared" si="87"/>
        <v>1.18E-4</v>
      </c>
    </row>
    <row r="119" spans="1:29" ht="15" x14ac:dyDescent="0.35">
      <c r="A119" s="9" t="str">
        <f>ABC_XYZ!A119</f>
        <v>48188</v>
      </c>
      <c r="B119" s="9" t="str">
        <f>ABC_XYZ!B119</f>
        <v>DOORMAT WELCOME PUPPIES</v>
      </c>
      <c r="C119" s="31" t="str">
        <f>ABC_XYZ!K119</f>
        <v>BZ</v>
      </c>
      <c r="D119" s="9" t="str">
        <f>IF(AND(_xlfn.XLOOKUP(C119,BestClass,BestMethod)="Holt-Winters",ABC_XYZ!M119="No"),_xlfn.XLOOKUP(C119,BestClass,BestFlat),_xlfn.XLOOKUP(C119,BestClass,BestMethod))</f>
        <v>SES</v>
      </c>
      <c r="E119" s="32">
        <f>ABC_XYZ!G119</f>
        <v>39.615384615384613</v>
      </c>
      <c r="F119" s="32">
        <f>ABC_XYZ!H119</f>
        <v>100.93351604216254</v>
      </c>
      <c r="G119" s="34">
        <f>ABC_XYZ!N119*CostRatio</f>
        <v>3.521191860465116</v>
      </c>
      <c r="H119" s="20">
        <f t="shared" si="66"/>
        <v>0.95</v>
      </c>
      <c r="I119" s="33">
        <f t="shared" si="67"/>
        <v>1.6448536269514715</v>
      </c>
      <c r="J119" s="29">
        <f t="shared" si="68"/>
        <v>120.5163</v>
      </c>
      <c r="K119" s="29">
        <f t="shared" si="69"/>
        <v>288</v>
      </c>
      <c r="L119" s="29">
        <f t="shared" si="70"/>
        <v>409</v>
      </c>
      <c r="M119" s="29">
        <f t="shared" si="71"/>
        <v>2060</v>
      </c>
      <c r="N119" s="29">
        <f t="shared" si="72"/>
        <v>484</v>
      </c>
      <c r="O119" s="29">
        <f t="shared" si="73"/>
        <v>893</v>
      </c>
      <c r="P119" s="29">
        <f t="shared" si="74"/>
        <v>530</v>
      </c>
      <c r="Q119" s="32">
        <f t="shared" si="75"/>
        <v>13.378640776699029</v>
      </c>
      <c r="R119" s="29">
        <f t="shared" si="76"/>
        <v>317</v>
      </c>
      <c r="S119" s="32">
        <f t="shared" si="77"/>
        <v>8.0019417475728165</v>
      </c>
      <c r="T119" s="27">
        <f t="shared" si="78"/>
        <v>1116.2178197674418</v>
      </c>
      <c r="U119" s="27">
        <f t="shared" si="79"/>
        <v>1866.2316860465114</v>
      </c>
      <c r="V119" s="27">
        <f t="shared" si="80"/>
        <v>-750.01386627906959</v>
      </c>
      <c r="W119" s="9" t="str">
        <f t="shared" si="81"/>
        <v>Reorder now</v>
      </c>
      <c r="X119" s="30">
        <f t="shared" si="82"/>
        <v>0.13052617371489372</v>
      </c>
      <c r="Y119" s="29">
        <f t="shared" si="83"/>
        <v>576</v>
      </c>
      <c r="Z119" s="27">
        <f t="shared" si="84"/>
        <v>466.55792151162785</v>
      </c>
      <c r="AA119" s="27">
        <f t="shared" si="85"/>
        <v>212.80991735537191</v>
      </c>
      <c r="AB119" s="27">
        <f t="shared" si="86"/>
        <v>323.9496511627907</v>
      </c>
      <c r="AC119" s="64">
        <f t="shared" si="87"/>
        <v>323.94977016279068</v>
      </c>
    </row>
    <row r="120" spans="1:29" ht="15" x14ac:dyDescent="0.35">
      <c r="A120" s="9" t="str">
        <f>ABC_XYZ!A120</f>
        <v>47590B</v>
      </c>
      <c r="B120" s="9" t="str">
        <f>ABC_XYZ!B120</f>
        <v>PINK HAPPY BIRTHDAY BUNTING</v>
      </c>
      <c r="C120" s="31" t="str">
        <f>ABC_XYZ!K120</f>
        <v>BY</v>
      </c>
      <c r="D120" s="9" t="str">
        <f>IF(AND(_xlfn.XLOOKUP(C120,BestClass,BestMethod)="Holt-Winters",ABC_XYZ!M120="No"),_xlfn.XLOOKUP(C120,BestClass,BestFlat),_xlfn.XLOOKUP(C120,BestClass,BestMethod))</f>
        <v>SES</v>
      </c>
      <c r="E120" s="32">
        <f>ABC_XYZ!G120</f>
        <v>44.480769230769234</v>
      </c>
      <c r="F120" s="32">
        <f>ABC_XYZ!H120</f>
        <v>41.281667765659961</v>
      </c>
      <c r="G120" s="34">
        <f>ABC_XYZ!N120*CostRatio</f>
        <v>3.1271620350577165</v>
      </c>
      <c r="H120" s="20">
        <f t="shared" si="66"/>
        <v>0.95</v>
      </c>
      <c r="I120" s="33">
        <f t="shared" si="67"/>
        <v>1.6448536269514715</v>
      </c>
      <c r="J120" s="29">
        <f t="shared" si="68"/>
        <v>96.529200000000003</v>
      </c>
      <c r="K120" s="29">
        <f t="shared" si="69"/>
        <v>118</v>
      </c>
      <c r="L120" s="29">
        <f t="shared" si="70"/>
        <v>215</v>
      </c>
      <c r="M120" s="29">
        <f t="shared" si="71"/>
        <v>2313</v>
      </c>
      <c r="N120" s="29">
        <f t="shared" si="72"/>
        <v>544</v>
      </c>
      <c r="O120" s="29">
        <f t="shared" si="73"/>
        <v>759</v>
      </c>
      <c r="P120" s="29">
        <f t="shared" si="74"/>
        <v>390</v>
      </c>
      <c r="Q120" s="32">
        <f t="shared" si="75"/>
        <v>8.767833981841763</v>
      </c>
      <c r="R120" s="29">
        <f t="shared" si="76"/>
        <v>356</v>
      </c>
      <c r="S120" s="32">
        <f t="shared" si="77"/>
        <v>8.0034587116299178</v>
      </c>
      <c r="T120" s="27">
        <f t="shared" si="78"/>
        <v>1113.2696844805471</v>
      </c>
      <c r="U120" s="27">
        <f t="shared" si="79"/>
        <v>1219.5931936725094</v>
      </c>
      <c r="V120" s="27">
        <f t="shared" si="80"/>
        <v>-106.32350919196233</v>
      </c>
      <c r="W120" s="9" t="str">
        <f t="shared" si="81"/>
        <v>OK</v>
      </c>
      <c r="X120" s="30">
        <f t="shared" si="82"/>
        <v>1.4233586710377111E-4</v>
      </c>
      <c r="Y120" s="29">
        <f t="shared" si="83"/>
        <v>0</v>
      </c>
      <c r="Z120" s="27">
        <f t="shared" si="84"/>
        <v>304.89829841812735</v>
      </c>
      <c r="AA120" s="27">
        <f t="shared" si="85"/>
        <v>212.59191176470588</v>
      </c>
      <c r="AB120" s="27">
        <f t="shared" si="86"/>
        <v>0</v>
      </c>
      <c r="AC120" s="64">
        <f t="shared" si="87"/>
        <v>1.2E-4</v>
      </c>
    </row>
    <row r="121" spans="1:29" ht="15" x14ac:dyDescent="0.35">
      <c r="A121" s="9" t="str">
        <f>ABC_XYZ!A121</f>
        <v>21977</v>
      </c>
      <c r="B121" s="9" t="str">
        <f>ABC_XYZ!B121</f>
        <v>PACK OF 60 PINK PAISLEY CAKE CASES</v>
      </c>
      <c r="C121" s="31" t="str">
        <f>ABC_XYZ!K121</f>
        <v>BY</v>
      </c>
      <c r="D121" s="9" t="str">
        <f>IF(AND(_xlfn.XLOOKUP(C121,BestClass,BestMethod)="Holt-Winters",ABC_XYZ!M121="No"),_xlfn.XLOOKUP(C121,BestClass,BestFlat),_xlfn.XLOOKUP(C121,BestClass,BestMethod))</f>
        <v>SES</v>
      </c>
      <c r="E121" s="32">
        <f>ABC_XYZ!G121</f>
        <v>470.92307692307691</v>
      </c>
      <c r="F121" s="32">
        <f>ABC_XYZ!H121</f>
        <v>461.03433780303629</v>
      </c>
      <c r="G121" s="34">
        <f>ABC_XYZ!N121*CostRatio</f>
        <v>0.29491678168385155</v>
      </c>
      <c r="H121" s="20">
        <f t="shared" si="66"/>
        <v>0.95</v>
      </c>
      <c r="I121" s="33">
        <f t="shared" si="67"/>
        <v>1.6448536269514715</v>
      </c>
      <c r="J121" s="29">
        <f t="shared" si="68"/>
        <v>1395.9749999999999</v>
      </c>
      <c r="K121" s="29">
        <f t="shared" si="69"/>
        <v>1314</v>
      </c>
      <c r="L121" s="29">
        <f t="shared" si="70"/>
        <v>2710</v>
      </c>
      <c r="M121" s="29">
        <f t="shared" si="71"/>
        <v>24488</v>
      </c>
      <c r="N121" s="29">
        <f t="shared" si="72"/>
        <v>5764</v>
      </c>
      <c r="O121" s="29">
        <f t="shared" si="73"/>
        <v>8474</v>
      </c>
      <c r="P121" s="29">
        <f t="shared" si="74"/>
        <v>4196</v>
      </c>
      <c r="Q121" s="32">
        <f t="shared" si="75"/>
        <v>8.9101600784057506</v>
      </c>
      <c r="R121" s="29">
        <f t="shared" si="76"/>
        <v>3767</v>
      </c>
      <c r="S121" s="32">
        <f t="shared" si="77"/>
        <v>7.9991832734400523</v>
      </c>
      <c r="T121" s="27">
        <f t="shared" si="78"/>
        <v>1110.9515166030687</v>
      </c>
      <c r="U121" s="27">
        <f t="shared" si="79"/>
        <v>1237.470815945441</v>
      </c>
      <c r="V121" s="27">
        <f t="shared" si="80"/>
        <v>-126.51929934237228</v>
      </c>
      <c r="W121" s="9" t="str">
        <f t="shared" si="81"/>
        <v>OK</v>
      </c>
      <c r="X121" s="30">
        <f t="shared" si="82"/>
        <v>1.4927886023491377E-3</v>
      </c>
      <c r="Y121" s="29">
        <f t="shared" si="83"/>
        <v>0</v>
      </c>
      <c r="Z121" s="27">
        <f t="shared" si="84"/>
        <v>309.36770398636025</v>
      </c>
      <c r="AA121" s="27">
        <f t="shared" si="85"/>
        <v>212.42192921582236</v>
      </c>
      <c r="AB121" s="27">
        <f t="shared" si="86"/>
        <v>0</v>
      </c>
      <c r="AC121" s="64">
        <f t="shared" si="87"/>
        <v>1.21E-4</v>
      </c>
    </row>
    <row r="122" spans="1:29" ht="15" x14ac:dyDescent="0.35">
      <c r="A122" s="9" t="str">
        <f>ABC_XYZ!A122</f>
        <v>22568</v>
      </c>
      <c r="B122" s="9" t="str">
        <f>ABC_XYZ!B122</f>
        <v>FELTCRAFT CUSHION OWL</v>
      </c>
      <c r="C122" s="31" t="str">
        <f>ABC_XYZ!K122</f>
        <v>BY</v>
      </c>
      <c r="D122" s="9" t="str">
        <f>IF(AND(_xlfn.XLOOKUP(C122,BestClass,BestMethod)="Holt-Winters",ABC_XYZ!M122="No"),_xlfn.XLOOKUP(C122,BestClass,BestFlat),_xlfn.XLOOKUP(C122,BestClass,BestMethod))</f>
        <v>Holt-Winters</v>
      </c>
      <c r="E122" s="32">
        <f>ABC_XYZ!G122</f>
        <v>62.5</v>
      </c>
      <c r="F122" s="32">
        <f>ABC_XYZ!H122</f>
        <v>72.729555445459155</v>
      </c>
      <c r="G122" s="34">
        <f>ABC_XYZ!N122*CostRatio</f>
        <v>2.2071584507042252</v>
      </c>
      <c r="H122" s="20">
        <f t="shared" si="66"/>
        <v>0.95</v>
      </c>
      <c r="I122" s="33">
        <f t="shared" si="67"/>
        <v>1.6448536269514715</v>
      </c>
      <c r="J122" s="29">
        <f t="shared" si="68"/>
        <v>172.54580000000001</v>
      </c>
      <c r="K122" s="29">
        <f t="shared" si="69"/>
        <v>208</v>
      </c>
      <c r="L122" s="29">
        <f t="shared" si="70"/>
        <v>381</v>
      </c>
      <c r="M122" s="29">
        <f t="shared" si="71"/>
        <v>3250</v>
      </c>
      <c r="N122" s="29">
        <f t="shared" si="72"/>
        <v>768</v>
      </c>
      <c r="O122" s="29">
        <f t="shared" si="73"/>
        <v>1149</v>
      </c>
      <c r="P122" s="29">
        <f t="shared" si="74"/>
        <v>592</v>
      </c>
      <c r="Q122" s="32">
        <f t="shared" si="75"/>
        <v>9.4719999999999995</v>
      </c>
      <c r="R122" s="29">
        <f t="shared" si="76"/>
        <v>500</v>
      </c>
      <c r="S122" s="32">
        <f t="shared" si="77"/>
        <v>8</v>
      </c>
      <c r="T122" s="27">
        <f t="shared" si="78"/>
        <v>1103.5792253521126</v>
      </c>
      <c r="U122" s="27">
        <f t="shared" si="79"/>
        <v>1306.6378028169013</v>
      </c>
      <c r="V122" s="27">
        <f t="shared" si="80"/>
        <v>-203.05857746478864</v>
      </c>
      <c r="W122" s="9" t="str">
        <f t="shared" si="81"/>
        <v>OK</v>
      </c>
      <c r="X122" s="30">
        <f t="shared" si="82"/>
        <v>4.6688645695511788E-3</v>
      </c>
      <c r="Y122" s="29">
        <f t="shared" si="83"/>
        <v>0</v>
      </c>
      <c r="Z122" s="27">
        <f t="shared" si="84"/>
        <v>326.65945070422532</v>
      </c>
      <c r="AA122" s="27">
        <f t="shared" si="85"/>
        <v>211.58854166666666</v>
      </c>
      <c r="AB122" s="27">
        <f t="shared" si="86"/>
        <v>0</v>
      </c>
      <c r="AC122" s="64">
        <f t="shared" si="87"/>
        <v>1.22E-4</v>
      </c>
    </row>
    <row r="123" spans="1:29" ht="15" x14ac:dyDescent="0.35">
      <c r="A123" s="9" t="str">
        <f>ABC_XYZ!A123</f>
        <v>22087</v>
      </c>
      <c r="B123" s="9" t="str">
        <f>ABC_XYZ!B123</f>
        <v>PAPER BUNTING WHITE LACE</v>
      </c>
      <c r="C123" s="31" t="str">
        <f>ABC_XYZ!K123</f>
        <v>BZ</v>
      </c>
      <c r="D123" s="9" t="str">
        <f>IF(AND(_xlfn.XLOOKUP(C123,BestClass,BestMethod)="Holt-Winters",ABC_XYZ!M123="No"),_xlfn.XLOOKUP(C123,BestClass,BestFlat),_xlfn.XLOOKUP(C123,BestClass,BestMethod))</f>
        <v>SES</v>
      </c>
      <c r="E123" s="32">
        <f>ABC_XYZ!G123</f>
        <v>78</v>
      </c>
      <c r="F123" s="32">
        <f>ABC_XYZ!H123</f>
        <v>119.32949933593414</v>
      </c>
      <c r="G123" s="34">
        <f>ABC_XYZ!N123*CostRatio</f>
        <v>1.7424474624731949</v>
      </c>
      <c r="H123" s="20">
        <f t="shared" si="66"/>
        <v>0.95</v>
      </c>
      <c r="I123" s="33">
        <f t="shared" si="67"/>
        <v>1.6448536269514715</v>
      </c>
      <c r="J123" s="29">
        <f t="shared" si="68"/>
        <v>714.24389999999994</v>
      </c>
      <c r="K123" s="29">
        <f t="shared" si="69"/>
        <v>340</v>
      </c>
      <c r="L123" s="29">
        <f t="shared" si="70"/>
        <v>1055</v>
      </c>
      <c r="M123" s="29">
        <f t="shared" si="71"/>
        <v>4056</v>
      </c>
      <c r="N123" s="29">
        <f t="shared" si="72"/>
        <v>965</v>
      </c>
      <c r="O123" s="29">
        <f t="shared" si="73"/>
        <v>2020</v>
      </c>
      <c r="P123" s="29">
        <f t="shared" si="74"/>
        <v>822.5</v>
      </c>
      <c r="Q123" s="32">
        <f t="shared" si="75"/>
        <v>10.544871794871796</v>
      </c>
      <c r="R123" s="29">
        <f t="shared" si="76"/>
        <v>624</v>
      </c>
      <c r="S123" s="32">
        <f t="shared" si="77"/>
        <v>8</v>
      </c>
      <c r="T123" s="27">
        <f t="shared" si="78"/>
        <v>1087.2872165832737</v>
      </c>
      <c r="U123" s="27">
        <f t="shared" si="79"/>
        <v>1433.1630378842028</v>
      </c>
      <c r="V123" s="27">
        <f t="shared" si="80"/>
        <v>-345.87582130092915</v>
      </c>
      <c r="W123" s="9" t="str">
        <f t="shared" si="81"/>
        <v>Reorder now</v>
      </c>
      <c r="X123" s="30">
        <f t="shared" si="82"/>
        <v>0.6688086312462751</v>
      </c>
      <c r="Y123" s="29">
        <f t="shared" si="83"/>
        <v>1396</v>
      </c>
      <c r="Z123" s="27">
        <f t="shared" si="84"/>
        <v>358.29075947105071</v>
      </c>
      <c r="AA123" s="27">
        <f t="shared" si="85"/>
        <v>210.15544041450775</v>
      </c>
      <c r="AB123" s="27">
        <f t="shared" si="86"/>
        <v>750.99485632594701</v>
      </c>
      <c r="AC123" s="64">
        <f t="shared" si="87"/>
        <v>750.99497932594704</v>
      </c>
    </row>
    <row r="124" spans="1:29" ht="15" x14ac:dyDescent="0.35">
      <c r="A124" s="9" t="str">
        <f>ABC_XYZ!A124</f>
        <v>21790</v>
      </c>
      <c r="B124" s="9" t="str">
        <f>ABC_XYZ!B124</f>
        <v>VINTAGE SNAP CARDS</v>
      </c>
      <c r="C124" s="31" t="str">
        <f>ABC_XYZ!K124</f>
        <v>BY</v>
      </c>
      <c r="D124" s="9" t="str">
        <f>IF(AND(_xlfn.XLOOKUP(C124,BestClass,BestMethod)="Holt-Winters",ABC_XYZ!M124="No"),_xlfn.XLOOKUP(C124,BestClass,BestFlat),_xlfn.XLOOKUP(C124,BestClass,BestMethod))</f>
        <v>Holt-Winters</v>
      </c>
      <c r="E124" s="32">
        <f>ABC_XYZ!G124</f>
        <v>262.59615384615387</v>
      </c>
      <c r="F124" s="32">
        <f>ABC_XYZ!H124</f>
        <v>203.79384620155469</v>
      </c>
      <c r="G124" s="34">
        <f>ABC_XYZ!N124*CostRatio</f>
        <v>0.51489074896280651</v>
      </c>
      <c r="H124" s="20">
        <f t="shared" si="66"/>
        <v>0.95</v>
      </c>
      <c r="I124" s="33">
        <f t="shared" si="67"/>
        <v>1.6448536269514715</v>
      </c>
      <c r="J124" s="29">
        <f t="shared" si="68"/>
        <v>848.09670000000006</v>
      </c>
      <c r="K124" s="29">
        <f t="shared" si="69"/>
        <v>581</v>
      </c>
      <c r="L124" s="29">
        <f t="shared" si="70"/>
        <v>1430</v>
      </c>
      <c r="M124" s="29">
        <f t="shared" si="71"/>
        <v>13655.000000000002</v>
      </c>
      <c r="N124" s="29">
        <f t="shared" si="72"/>
        <v>3258</v>
      </c>
      <c r="O124" s="29">
        <f t="shared" si="73"/>
        <v>4688</v>
      </c>
      <c r="P124" s="29">
        <f t="shared" si="74"/>
        <v>2210</v>
      </c>
      <c r="Q124" s="32">
        <f t="shared" si="75"/>
        <v>8.4159648480410105</v>
      </c>
      <c r="R124" s="29">
        <f t="shared" si="76"/>
        <v>2101</v>
      </c>
      <c r="S124" s="32">
        <f t="shared" si="77"/>
        <v>8.0008787989747336</v>
      </c>
      <c r="T124" s="27">
        <f t="shared" si="78"/>
        <v>1081.7854635708566</v>
      </c>
      <c r="U124" s="27">
        <f t="shared" si="79"/>
        <v>1137.9085552078025</v>
      </c>
      <c r="V124" s="27">
        <f t="shared" si="80"/>
        <v>-56.123091636945901</v>
      </c>
      <c r="W124" s="9" t="str">
        <f t="shared" si="81"/>
        <v>OK</v>
      </c>
      <c r="X124" s="30">
        <f t="shared" si="82"/>
        <v>1.9298964383318573E-4</v>
      </c>
      <c r="Y124" s="29">
        <f t="shared" si="83"/>
        <v>0</v>
      </c>
      <c r="Z124" s="27">
        <f t="shared" si="84"/>
        <v>284.47713880195062</v>
      </c>
      <c r="AA124" s="27">
        <f t="shared" si="85"/>
        <v>209.56108041743403</v>
      </c>
      <c r="AB124" s="27">
        <f t="shared" si="86"/>
        <v>0</v>
      </c>
      <c r="AC124" s="64">
        <f t="shared" si="87"/>
        <v>1.2400000000000001E-4</v>
      </c>
    </row>
    <row r="125" spans="1:29" ht="15" x14ac:dyDescent="0.35">
      <c r="A125" s="9" t="str">
        <f>ABC_XYZ!A125</f>
        <v>22149</v>
      </c>
      <c r="B125" s="9" t="str">
        <f>ABC_XYZ!B125</f>
        <v>FELTCRAFT 6 FLOWER FRIENDS</v>
      </c>
      <c r="C125" s="31" t="str">
        <f>ABC_XYZ!K125</f>
        <v>BZ</v>
      </c>
      <c r="D125" s="9" t="str">
        <f>IF(AND(_xlfn.XLOOKUP(C125,BestClass,BestMethod)="Holt-Winters",ABC_XYZ!M125="No"),_xlfn.XLOOKUP(C125,BestClass,BestFlat),_xlfn.XLOOKUP(C125,BestClass,BestMethod))</f>
        <v>Holt-Winters</v>
      </c>
      <c r="E125" s="32">
        <f>ABC_XYZ!G125</f>
        <v>108.51923076923077</v>
      </c>
      <c r="F125" s="32">
        <f>ABC_XYZ!H125</f>
        <v>166.29320790541962</v>
      </c>
      <c r="G125" s="34">
        <f>ABC_XYZ!N125*CostRatio</f>
        <v>1.2256814554739868</v>
      </c>
      <c r="H125" s="20">
        <f t="shared" si="66"/>
        <v>0.95</v>
      </c>
      <c r="I125" s="33">
        <f t="shared" si="67"/>
        <v>1.6448536269514715</v>
      </c>
      <c r="J125" s="29">
        <f t="shared" si="68"/>
        <v>250.5993</v>
      </c>
      <c r="K125" s="29">
        <f t="shared" si="69"/>
        <v>474</v>
      </c>
      <c r="L125" s="29">
        <f t="shared" si="70"/>
        <v>725</v>
      </c>
      <c r="M125" s="29">
        <f t="shared" si="71"/>
        <v>5643</v>
      </c>
      <c r="N125" s="29">
        <f t="shared" si="72"/>
        <v>1358</v>
      </c>
      <c r="O125" s="29">
        <f t="shared" si="73"/>
        <v>2083</v>
      </c>
      <c r="P125" s="29">
        <f t="shared" si="74"/>
        <v>1153</v>
      </c>
      <c r="Q125" s="32">
        <f t="shared" si="75"/>
        <v>10.624844940634414</v>
      </c>
      <c r="R125" s="29">
        <f t="shared" si="76"/>
        <v>868</v>
      </c>
      <c r="S125" s="32">
        <f t="shared" si="77"/>
        <v>7.998582314371788</v>
      </c>
      <c r="T125" s="27">
        <f t="shared" si="78"/>
        <v>1063.8915033514206</v>
      </c>
      <c r="U125" s="27">
        <f t="shared" si="79"/>
        <v>1413.2107181615067</v>
      </c>
      <c r="V125" s="27">
        <f t="shared" si="80"/>
        <v>-349.31921481008612</v>
      </c>
      <c r="W125" s="9" t="str">
        <f t="shared" si="81"/>
        <v>OK</v>
      </c>
      <c r="X125" s="30">
        <f t="shared" si="82"/>
        <v>1.6034804821055237E-2</v>
      </c>
      <c r="Y125" s="29">
        <f t="shared" si="83"/>
        <v>0</v>
      </c>
      <c r="Z125" s="27">
        <f t="shared" si="84"/>
        <v>353.30267954037669</v>
      </c>
      <c r="AA125" s="27">
        <f t="shared" si="85"/>
        <v>207.76877761413846</v>
      </c>
      <c r="AB125" s="27">
        <f t="shared" si="86"/>
        <v>0</v>
      </c>
      <c r="AC125" s="64">
        <f t="shared" si="87"/>
        <v>1.25E-4</v>
      </c>
    </row>
    <row r="126" spans="1:29" ht="15" x14ac:dyDescent="0.35">
      <c r="A126" s="9" t="str">
        <f>ABC_XYZ!A126</f>
        <v>22424</v>
      </c>
      <c r="B126" s="9" t="str">
        <f>ABC_XYZ!B126</f>
        <v>ENAMEL BREAD BIN CREAM</v>
      </c>
      <c r="C126" s="31" t="str">
        <f>ABC_XYZ!K126</f>
        <v>BX</v>
      </c>
      <c r="D126" s="9" t="str">
        <f>IF(AND(_xlfn.XLOOKUP(C126,BestClass,BestMethod)="Holt-Winters",ABC_XYZ!M126="No"),_xlfn.XLOOKUP(C126,BestClass,BestFlat),_xlfn.XLOOKUP(C126,BestClass,BestMethod))</f>
        <v>SES</v>
      </c>
      <c r="E126" s="32">
        <f>ABC_XYZ!G126</f>
        <v>15.865384615384615</v>
      </c>
      <c r="F126" s="32">
        <f>ABC_XYZ!H126</f>
        <v>9.3662490580700375</v>
      </c>
      <c r="G126" s="34">
        <f>ABC_XYZ!N126*CostRatio</f>
        <v>8.429421856639248</v>
      </c>
      <c r="H126" s="20">
        <f t="shared" si="66"/>
        <v>0.95</v>
      </c>
      <c r="I126" s="33">
        <f t="shared" si="67"/>
        <v>1.6448536269514715</v>
      </c>
      <c r="J126" s="29">
        <f t="shared" si="68"/>
        <v>50.427000000000007</v>
      </c>
      <c r="K126" s="29">
        <f t="shared" si="69"/>
        <v>27</v>
      </c>
      <c r="L126" s="29">
        <f t="shared" si="70"/>
        <v>78</v>
      </c>
      <c r="M126" s="29">
        <f t="shared" si="71"/>
        <v>825</v>
      </c>
      <c r="N126" s="29">
        <f t="shared" si="72"/>
        <v>198</v>
      </c>
      <c r="O126" s="29">
        <f t="shared" si="73"/>
        <v>276</v>
      </c>
      <c r="P126" s="29">
        <f t="shared" si="74"/>
        <v>126</v>
      </c>
      <c r="Q126" s="32">
        <f t="shared" si="75"/>
        <v>7.9418181818181823</v>
      </c>
      <c r="R126" s="29">
        <f t="shared" si="76"/>
        <v>127</v>
      </c>
      <c r="S126" s="32">
        <f t="shared" si="77"/>
        <v>8.0048484848484858</v>
      </c>
      <c r="T126" s="27">
        <f t="shared" si="78"/>
        <v>1070.5365757931845</v>
      </c>
      <c r="U126" s="27">
        <f t="shared" si="79"/>
        <v>1062.1071539365453</v>
      </c>
      <c r="V126" s="27">
        <f t="shared" si="80"/>
        <v>8.4294218566392374</v>
      </c>
      <c r="W126" s="9" t="str">
        <f t="shared" si="81"/>
        <v>OK</v>
      </c>
      <c r="X126" s="30">
        <f t="shared" si="82"/>
        <v>1.1787611946534327E-6</v>
      </c>
      <c r="Y126" s="29">
        <f t="shared" si="83"/>
        <v>0</v>
      </c>
      <c r="Z126" s="27">
        <f t="shared" si="84"/>
        <v>265.52678848413632</v>
      </c>
      <c r="AA126" s="27">
        <f t="shared" si="85"/>
        <v>208.33333333333334</v>
      </c>
      <c r="AB126" s="27">
        <f t="shared" si="86"/>
        <v>0</v>
      </c>
      <c r="AC126" s="64">
        <f t="shared" si="87"/>
        <v>1.26E-4</v>
      </c>
    </row>
    <row r="127" spans="1:29" ht="15" x14ac:dyDescent="0.35">
      <c r="A127" s="9" t="str">
        <f>ABC_XYZ!A127</f>
        <v>22188</v>
      </c>
      <c r="B127" s="9" t="str">
        <f>ABC_XYZ!B127</f>
        <v>BLACK HEART CARD HOLDER</v>
      </c>
      <c r="C127" s="31" t="str">
        <f>ABC_XYZ!K127</f>
        <v>BZ</v>
      </c>
      <c r="D127" s="9" t="str">
        <f>IF(AND(_xlfn.XLOOKUP(C127,BestClass,BestMethod)="Holt-Winters",ABC_XYZ!M127="No"),_xlfn.XLOOKUP(C127,BestClass,BestFlat),_xlfn.XLOOKUP(C127,BestClass,BestMethod))</f>
        <v>Holt-Winters</v>
      </c>
      <c r="E127" s="32">
        <f>ABC_XYZ!G127</f>
        <v>86.942307692307693</v>
      </c>
      <c r="F127" s="32">
        <f>ABC_XYZ!H127</f>
        <v>293.93219262482427</v>
      </c>
      <c r="G127" s="34">
        <f>ABC_XYZ!N127*CostRatio</f>
        <v>1.5412568015925681</v>
      </c>
      <c r="H127" s="20">
        <f t="shared" si="66"/>
        <v>0.95</v>
      </c>
      <c r="I127" s="33">
        <f t="shared" si="67"/>
        <v>1.6448536269514715</v>
      </c>
      <c r="J127" s="29">
        <f t="shared" si="68"/>
        <v>230.63570000000001</v>
      </c>
      <c r="K127" s="29">
        <f t="shared" si="69"/>
        <v>838</v>
      </c>
      <c r="L127" s="29">
        <f t="shared" si="70"/>
        <v>1069</v>
      </c>
      <c r="M127" s="29">
        <f t="shared" si="71"/>
        <v>4521</v>
      </c>
      <c r="N127" s="29">
        <f t="shared" si="72"/>
        <v>1084</v>
      </c>
      <c r="O127" s="29">
        <f t="shared" si="73"/>
        <v>2153</v>
      </c>
      <c r="P127" s="29">
        <f t="shared" si="74"/>
        <v>1380</v>
      </c>
      <c r="Q127" s="32">
        <f t="shared" si="75"/>
        <v>15.872594558725945</v>
      </c>
      <c r="R127" s="29">
        <f t="shared" si="76"/>
        <v>696</v>
      </c>
      <c r="S127" s="32">
        <f t="shared" si="77"/>
        <v>8.005308560053086</v>
      </c>
      <c r="T127" s="27">
        <f t="shared" si="78"/>
        <v>1072.7147339084274</v>
      </c>
      <c r="U127" s="27">
        <f t="shared" si="79"/>
        <v>2126.9343861977441</v>
      </c>
      <c r="V127" s="27">
        <f t="shared" si="80"/>
        <v>-1054.2196522893166</v>
      </c>
      <c r="W127" s="9" t="str">
        <f t="shared" si="81"/>
        <v>Reorder now</v>
      </c>
      <c r="X127" s="30">
        <f t="shared" si="82"/>
        <v>0.18033681081534003</v>
      </c>
      <c r="Y127" s="29">
        <f t="shared" si="83"/>
        <v>1457</v>
      </c>
      <c r="Z127" s="27">
        <f t="shared" si="84"/>
        <v>531.73359654943602</v>
      </c>
      <c r="AA127" s="27">
        <f t="shared" si="85"/>
        <v>208.53321033210332</v>
      </c>
      <c r="AB127" s="27">
        <f t="shared" si="86"/>
        <v>574.8887869940279</v>
      </c>
      <c r="AC127" s="64">
        <f t="shared" si="87"/>
        <v>574.88891399402792</v>
      </c>
    </row>
    <row r="128" spans="1:29" ht="15" x14ac:dyDescent="0.35">
      <c r="A128" s="9" t="str">
        <f>ABC_XYZ!A128</f>
        <v>20723</v>
      </c>
      <c r="B128" s="9" t="str">
        <f>ABC_XYZ!B128</f>
        <v>STRAWBERRY CHARLOTTE BAG</v>
      </c>
      <c r="C128" s="31" t="str">
        <f>ABC_XYZ!K128</f>
        <v>BX</v>
      </c>
      <c r="D128" s="9" t="str">
        <f>IF(AND(_xlfn.XLOOKUP(C128,BestClass,BestMethod)="Holt-Winters",ABC_XYZ!M128="No"),_xlfn.XLOOKUP(C128,BestClass,BestFlat),_xlfn.XLOOKUP(C128,BestClass,BestMethod))</f>
        <v>SES</v>
      </c>
      <c r="E128" s="32">
        <f>ABC_XYZ!G128</f>
        <v>180.38461538461539</v>
      </c>
      <c r="F128" s="32">
        <f>ABC_XYZ!H128</f>
        <v>97.412233770119784</v>
      </c>
      <c r="G128" s="34">
        <f>ABC_XYZ!N128*CostRatio</f>
        <v>0.73964294024325761</v>
      </c>
      <c r="H128" s="20">
        <f t="shared" si="66"/>
        <v>0.95</v>
      </c>
      <c r="I128" s="33">
        <f t="shared" si="67"/>
        <v>1.6448536269514715</v>
      </c>
      <c r="J128" s="29">
        <f t="shared" si="68"/>
        <v>607.89779999999996</v>
      </c>
      <c r="K128" s="29">
        <f t="shared" si="69"/>
        <v>278</v>
      </c>
      <c r="L128" s="29">
        <f t="shared" si="70"/>
        <v>886</v>
      </c>
      <c r="M128" s="29">
        <f t="shared" si="71"/>
        <v>9380</v>
      </c>
      <c r="N128" s="29">
        <f t="shared" si="72"/>
        <v>2253</v>
      </c>
      <c r="O128" s="29">
        <f t="shared" si="73"/>
        <v>3139</v>
      </c>
      <c r="P128" s="29">
        <f t="shared" si="74"/>
        <v>1404.5</v>
      </c>
      <c r="Q128" s="32">
        <f t="shared" si="75"/>
        <v>7.7861407249466952</v>
      </c>
      <c r="R128" s="29">
        <f t="shared" si="76"/>
        <v>1443</v>
      </c>
      <c r="S128" s="32">
        <f t="shared" si="77"/>
        <v>7.9995735607675904</v>
      </c>
      <c r="T128" s="27">
        <f t="shared" si="78"/>
        <v>1067.3047627710207</v>
      </c>
      <c r="U128" s="27">
        <f t="shared" si="79"/>
        <v>1038.8285095716553</v>
      </c>
      <c r="V128" s="27">
        <f t="shared" si="80"/>
        <v>28.476253199365374</v>
      </c>
      <c r="W128" s="9" t="str">
        <f t="shared" si="81"/>
        <v>OK</v>
      </c>
      <c r="X128" s="30">
        <f t="shared" si="82"/>
        <v>3.7193107560451466E-7</v>
      </c>
      <c r="Y128" s="29">
        <f t="shared" si="83"/>
        <v>0</v>
      </c>
      <c r="Z128" s="27">
        <f t="shared" si="84"/>
        <v>259.70712739291383</v>
      </c>
      <c r="AA128" s="27">
        <f t="shared" si="85"/>
        <v>208.16688859298714</v>
      </c>
      <c r="AB128" s="27">
        <f t="shared" si="86"/>
        <v>0</v>
      </c>
      <c r="AC128" s="64">
        <f t="shared" si="87"/>
        <v>1.2799999999999999E-4</v>
      </c>
    </row>
    <row r="129" spans="1:29" ht="15" x14ac:dyDescent="0.35">
      <c r="A129" s="9" t="str">
        <f>ABC_XYZ!A129</f>
        <v>21217</v>
      </c>
      <c r="B129" s="9" t="str">
        <f>ABC_XYZ!B129</f>
        <v>RED RETROSPOT ROUND CAKE TINS</v>
      </c>
      <c r="C129" s="31" t="str">
        <f>ABC_XYZ!K129</f>
        <v>BY</v>
      </c>
      <c r="D129" s="9" t="str">
        <f>IF(AND(_xlfn.XLOOKUP(C129,BestClass,BestMethod)="Holt-Winters",ABC_XYZ!M129="No"),_xlfn.XLOOKUP(C129,BestClass,BestFlat),_xlfn.XLOOKUP(C129,BestClass,BestMethod))</f>
        <v>Holt-Winters</v>
      </c>
      <c r="E129" s="32">
        <f>ABC_XYZ!G129</f>
        <v>21.25</v>
      </c>
      <c r="F129" s="32">
        <f>ABC_XYZ!H129</f>
        <v>25.042610745311208</v>
      </c>
      <c r="G129" s="34">
        <f>ABC_XYZ!N129*CostRatio</f>
        <v>6.2739425493716343</v>
      </c>
      <c r="H129" s="20">
        <f t="shared" si="66"/>
        <v>0.95</v>
      </c>
      <c r="I129" s="33">
        <f t="shared" si="67"/>
        <v>1.6448536269514715</v>
      </c>
      <c r="J129" s="29">
        <f t="shared" si="68"/>
        <v>70.213200000000001</v>
      </c>
      <c r="K129" s="29">
        <f t="shared" si="69"/>
        <v>72</v>
      </c>
      <c r="L129" s="29">
        <f t="shared" si="70"/>
        <v>143</v>
      </c>
      <c r="M129" s="29">
        <f t="shared" si="71"/>
        <v>1105</v>
      </c>
      <c r="N129" s="29">
        <f t="shared" si="72"/>
        <v>266</v>
      </c>
      <c r="O129" s="29">
        <f t="shared" si="73"/>
        <v>409</v>
      </c>
      <c r="P129" s="29">
        <f t="shared" si="74"/>
        <v>205</v>
      </c>
      <c r="Q129" s="32">
        <f t="shared" si="75"/>
        <v>9.6470588235294112</v>
      </c>
      <c r="R129" s="29">
        <f t="shared" si="76"/>
        <v>170</v>
      </c>
      <c r="S129" s="32">
        <f t="shared" si="77"/>
        <v>8</v>
      </c>
      <c r="T129" s="27">
        <f t="shared" si="78"/>
        <v>1066.5702333931779</v>
      </c>
      <c r="U129" s="27">
        <f t="shared" si="79"/>
        <v>1286.1582226211851</v>
      </c>
      <c r="V129" s="27">
        <f t="shared" si="80"/>
        <v>-219.58798922800725</v>
      </c>
      <c r="W129" s="9" t="str">
        <f t="shared" si="81"/>
        <v>OK</v>
      </c>
      <c r="X129" s="30">
        <f t="shared" si="82"/>
        <v>1.0708361855397142E-2</v>
      </c>
      <c r="Y129" s="29">
        <f t="shared" si="83"/>
        <v>0</v>
      </c>
      <c r="Z129" s="27">
        <f t="shared" si="84"/>
        <v>321.53955565529628</v>
      </c>
      <c r="AA129" s="27">
        <f t="shared" si="85"/>
        <v>207.70676691729321</v>
      </c>
      <c r="AB129" s="27">
        <f t="shared" si="86"/>
        <v>0</v>
      </c>
      <c r="AC129" s="64">
        <f t="shared" si="87"/>
        <v>1.2899999999999999E-4</v>
      </c>
    </row>
    <row r="130" spans="1:29" ht="15" x14ac:dyDescent="0.35">
      <c r="A130" s="9" t="str">
        <f>ABC_XYZ!A130</f>
        <v>21430</v>
      </c>
      <c r="B130" s="9" t="str">
        <f>ABC_XYZ!B130</f>
        <v>SET/3 RED GINGHAM ROSE STORAGE BOX</v>
      </c>
      <c r="C130" s="31" t="str">
        <f>ABC_XYZ!K130</f>
        <v>BY</v>
      </c>
      <c r="D130" s="9" t="str">
        <f>IF(AND(_xlfn.XLOOKUP(C130,BestClass,BestMethod)="Holt-Winters",ABC_XYZ!M130="No"),_xlfn.XLOOKUP(C130,BestClass,BestFlat),_xlfn.XLOOKUP(C130,BestClass,BestMethod))</f>
        <v>Holt-Winters</v>
      </c>
      <c r="E130" s="32">
        <f>ABC_XYZ!G130</f>
        <v>56.78846153846154</v>
      </c>
      <c r="F130" s="32">
        <f>ABC_XYZ!H130</f>
        <v>60.580633849331143</v>
      </c>
      <c r="G130" s="34">
        <f>ABC_XYZ!N130*CostRatio</f>
        <v>2.3388954226528567</v>
      </c>
      <c r="H130" s="20">
        <f t="shared" si="66"/>
        <v>0.95</v>
      </c>
      <c r="I130" s="33">
        <f t="shared" si="67"/>
        <v>1.6448536269514715</v>
      </c>
      <c r="J130" s="29">
        <f t="shared" si="68"/>
        <v>162.03860000000003</v>
      </c>
      <c r="K130" s="29">
        <f t="shared" si="69"/>
        <v>173</v>
      </c>
      <c r="L130" s="29">
        <f t="shared" si="70"/>
        <v>336</v>
      </c>
      <c r="M130" s="29">
        <f t="shared" si="71"/>
        <v>2953</v>
      </c>
      <c r="N130" s="29">
        <f t="shared" si="72"/>
        <v>711</v>
      </c>
      <c r="O130" s="29">
        <f t="shared" si="73"/>
        <v>1047</v>
      </c>
      <c r="P130" s="29">
        <f t="shared" si="74"/>
        <v>528.5</v>
      </c>
      <c r="Q130" s="32">
        <f t="shared" si="75"/>
        <v>9.306467998645445</v>
      </c>
      <c r="R130" s="29">
        <f t="shared" si="76"/>
        <v>454</v>
      </c>
      <c r="S130" s="32">
        <f t="shared" si="77"/>
        <v>7.9945817812394173</v>
      </c>
      <c r="T130" s="27">
        <f t="shared" si="78"/>
        <v>1061.8585218843969</v>
      </c>
      <c r="U130" s="27">
        <f t="shared" si="79"/>
        <v>1236.1062308720348</v>
      </c>
      <c r="V130" s="27">
        <f t="shared" si="80"/>
        <v>-174.24770898763791</v>
      </c>
      <c r="W130" s="9" t="str">
        <f t="shared" si="81"/>
        <v>OK</v>
      </c>
      <c r="X130" s="30">
        <f t="shared" si="82"/>
        <v>2.6973156483056648E-3</v>
      </c>
      <c r="Y130" s="29">
        <f t="shared" si="83"/>
        <v>0</v>
      </c>
      <c r="Z130" s="27">
        <f t="shared" si="84"/>
        <v>309.02655771800869</v>
      </c>
      <c r="AA130" s="27">
        <f t="shared" si="85"/>
        <v>207.66526019690579</v>
      </c>
      <c r="AB130" s="27">
        <f t="shared" si="86"/>
        <v>0</v>
      </c>
      <c r="AC130" s="64">
        <f t="shared" si="87"/>
        <v>1.2999999999999999E-4</v>
      </c>
    </row>
    <row r="131" spans="1:29" ht="15" x14ac:dyDescent="0.35">
      <c r="A131" s="9" t="str">
        <f>ABC_XYZ!A131</f>
        <v>20749</v>
      </c>
      <c r="B131" s="9" t="str">
        <f>ABC_XYZ!B131</f>
        <v>ASSORTED COLOUR MINI CASES</v>
      </c>
      <c r="C131" s="31" t="str">
        <f>ABC_XYZ!K131</f>
        <v>BY</v>
      </c>
      <c r="D131" s="9" t="str">
        <f>IF(AND(_xlfn.XLOOKUP(C131,BestClass,BestMethod)="Holt-Winters",ABC_XYZ!M131="No"),_xlfn.XLOOKUP(C131,BestClass,BestFlat),_xlfn.XLOOKUP(C131,BestClass,BestMethod))</f>
        <v>Holt-Winters</v>
      </c>
      <c r="E131" s="32">
        <f>ABC_XYZ!G131</f>
        <v>30.53846153846154</v>
      </c>
      <c r="F131" s="32">
        <f>ABC_XYZ!H131</f>
        <v>37.022230490988832</v>
      </c>
      <c r="G131" s="34">
        <f>ABC_XYZ!N131*CostRatio</f>
        <v>4.301582445141066</v>
      </c>
      <c r="H131" s="20">
        <f t="shared" si="66"/>
        <v>0.95</v>
      </c>
      <c r="I131" s="33">
        <f t="shared" si="67"/>
        <v>1.6448536269514715</v>
      </c>
      <c r="J131" s="29">
        <f t="shared" si="68"/>
        <v>91.598399999999998</v>
      </c>
      <c r="K131" s="29">
        <f t="shared" si="69"/>
        <v>106</v>
      </c>
      <c r="L131" s="29">
        <f t="shared" si="70"/>
        <v>198</v>
      </c>
      <c r="M131" s="29">
        <f t="shared" si="71"/>
        <v>1588</v>
      </c>
      <c r="N131" s="29">
        <f t="shared" si="72"/>
        <v>385</v>
      </c>
      <c r="O131" s="29">
        <f t="shared" si="73"/>
        <v>583</v>
      </c>
      <c r="P131" s="29">
        <f t="shared" si="74"/>
        <v>298.5</v>
      </c>
      <c r="Q131" s="32">
        <f t="shared" si="75"/>
        <v>9.7745591939546586</v>
      </c>
      <c r="R131" s="29">
        <f t="shared" si="76"/>
        <v>244</v>
      </c>
      <c r="S131" s="32">
        <f t="shared" si="77"/>
        <v>7.98992443324937</v>
      </c>
      <c r="T131" s="27">
        <f t="shared" si="78"/>
        <v>1049.58611661442</v>
      </c>
      <c r="U131" s="27">
        <f t="shared" si="79"/>
        <v>1284.0223598746081</v>
      </c>
      <c r="V131" s="27">
        <f t="shared" si="80"/>
        <v>-234.43624326018812</v>
      </c>
      <c r="W131" s="9" t="str">
        <f t="shared" si="81"/>
        <v>OK</v>
      </c>
      <c r="X131" s="30">
        <f t="shared" si="82"/>
        <v>8.7351870823795252E-3</v>
      </c>
      <c r="Y131" s="29">
        <f t="shared" si="83"/>
        <v>0</v>
      </c>
      <c r="Z131" s="27">
        <f t="shared" si="84"/>
        <v>321.00558996865203</v>
      </c>
      <c r="AA131" s="27">
        <f t="shared" si="85"/>
        <v>206.23376623376623</v>
      </c>
      <c r="AB131" s="27">
        <f t="shared" si="86"/>
        <v>0</v>
      </c>
      <c r="AC131" s="64">
        <f t="shared" si="87"/>
        <v>1.3100000000000001E-4</v>
      </c>
    </row>
    <row r="132" spans="1:29" ht="15" x14ac:dyDescent="0.35">
      <c r="A132" s="9" t="str">
        <f>ABC_XYZ!A132</f>
        <v>21936</v>
      </c>
      <c r="B132" s="9" t="str">
        <f>ABC_XYZ!B132</f>
        <v>RED RETROSPOT PICNIC BAG</v>
      </c>
      <c r="C132" s="31" t="str">
        <f>ABC_XYZ!K132</f>
        <v>BY</v>
      </c>
      <c r="D132" s="9" t="str">
        <f>IF(AND(_xlfn.XLOOKUP(C132,BestClass,BestMethod)="Holt-Winters",ABC_XYZ!M132="No"),_xlfn.XLOOKUP(C132,BestClass,BestFlat),_xlfn.XLOOKUP(C132,BestClass,BestMethod))</f>
        <v>SES</v>
      </c>
      <c r="E132" s="32">
        <f>ABC_XYZ!G132</f>
        <v>74.980769230769226</v>
      </c>
      <c r="F132" s="32">
        <f>ABC_XYZ!H132</f>
        <v>90.780383642605528</v>
      </c>
      <c r="G132" s="34">
        <f>ABC_XYZ!N132*CostRatio</f>
        <v>1.7527492385786803</v>
      </c>
      <c r="H132" s="20">
        <f t="shared" si="66"/>
        <v>0.95</v>
      </c>
      <c r="I132" s="33">
        <f t="shared" si="67"/>
        <v>1.6448536269514715</v>
      </c>
      <c r="J132" s="29">
        <f t="shared" si="68"/>
        <v>48.688199999999995</v>
      </c>
      <c r="K132" s="29">
        <f t="shared" si="69"/>
        <v>259</v>
      </c>
      <c r="L132" s="29">
        <f t="shared" si="70"/>
        <v>308</v>
      </c>
      <c r="M132" s="29">
        <f t="shared" si="71"/>
        <v>3899</v>
      </c>
      <c r="N132" s="29">
        <f t="shared" si="72"/>
        <v>944</v>
      </c>
      <c r="O132" s="29">
        <f t="shared" si="73"/>
        <v>1252</v>
      </c>
      <c r="P132" s="29">
        <f t="shared" si="74"/>
        <v>731</v>
      </c>
      <c r="Q132" s="32">
        <f t="shared" si="75"/>
        <v>9.7491664529366506</v>
      </c>
      <c r="R132" s="29">
        <f t="shared" si="76"/>
        <v>600</v>
      </c>
      <c r="S132" s="32">
        <f t="shared" si="77"/>
        <v>8.0020518081559384</v>
      </c>
      <c r="T132" s="27">
        <f t="shared" si="78"/>
        <v>1051.6495431472081</v>
      </c>
      <c r="U132" s="27">
        <f t="shared" si="79"/>
        <v>1281.2596934010153</v>
      </c>
      <c r="V132" s="27">
        <f t="shared" si="80"/>
        <v>-229.61015025380721</v>
      </c>
      <c r="W132" s="9" t="str">
        <f t="shared" si="81"/>
        <v>OK</v>
      </c>
      <c r="X132" s="30">
        <f t="shared" si="82"/>
        <v>2.272218821451899E-4</v>
      </c>
      <c r="Y132" s="29">
        <f t="shared" si="83"/>
        <v>0</v>
      </c>
      <c r="Z132" s="27">
        <f t="shared" si="84"/>
        <v>320.31492335025382</v>
      </c>
      <c r="AA132" s="27">
        <f t="shared" si="85"/>
        <v>206.51483050847457</v>
      </c>
      <c r="AB132" s="27">
        <f t="shared" si="86"/>
        <v>0</v>
      </c>
      <c r="AC132" s="64">
        <f t="shared" si="87"/>
        <v>1.3200000000000001E-4</v>
      </c>
    </row>
    <row r="133" spans="1:29" ht="15" x14ac:dyDescent="0.35">
      <c r="A133" s="9" t="str">
        <f>ABC_XYZ!A133</f>
        <v>21080</v>
      </c>
      <c r="B133" s="9" t="str">
        <f>ABC_XYZ!B133</f>
        <v>SET/20 RED RETROSPOT PAPER NAPKINS</v>
      </c>
      <c r="C133" s="31" t="str">
        <f>ABC_XYZ!K133</f>
        <v>BX</v>
      </c>
      <c r="D133" s="9" t="str">
        <f>IF(AND(_xlfn.XLOOKUP(C133,BestClass,BestMethod)="Holt-Winters",ABC_XYZ!M133="No"),_xlfn.XLOOKUP(C133,BestClass,BestFlat),_xlfn.XLOOKUP(C133,BestClass,BestMethod))</f>
        <v>SES</v>
      </c>
      <c r="E133" s="32">
        <f>ABC_XYZ!G133</f>
        <v>251.34615384615384</v>
      </c>
      <c r="F133" s="32">
        <f>ABC_XYZ!H133</f>
        <v>137.53785712224754</v>
      </c>
      <c r="G133" s="34">
        <f>ABC_XYZ!N133*CostRatio</f>
        <v>0.51414594635898214</v>
      </c>
      <c r="H133" s="20">
        <f t="shared" ref="H133:H154" si="88">_xlfn.XLOOKUP(LEFT(C133,1),ClassList,ClassSL)</f>
        <v>0.95</v>
      </c>
      <c r="I133" s="33">
        <f t="shared" ref="I133:I154" si="89">_xlfn.NORM.S.INV(H133)</f>
        <v>1.6448536269514715</v>
      </c>
      <c r="J133" s="29">
        <f t="shared" ref="J133:J154" si="90">SUMIFS(FutUnits,FutCode,A133,FutMethod,D133,FutHorizon,"&lt;="&amp;LeadTime)</f>
        <v>663.01829999999995</v>
      </c>
      <c r="K133" s="29">
        <f t="shared" ref="K133:K154" si="91">ROUNDUP(I133*F133*SQRT(LeadTime),0)</f>
        <v>392</v>
      </c>
      <c r="L133" s="29">
        <f t="shared" ref="L133:L154" si="92">ROUNDUP(J133,0)+K133</f>
        <v>1056</v>
      </c>
      <c r="M133" s="29">
        <f t="shared" ref="M133:M154" si="93">E133*WeeksPerYear</f>
        <v>13070</v>
      </c>
      <c r="N133" s="29">
        <f t="shared" ref="N133:N154" si="94">ROUNDUP(SQRT(2*M133*OrderCost/(HoldingRate*G133)),0)</f>
        <v>3189</v>
      </c>
      <c r="O133" s="29">
        <f t="shared" ref="O133:O154" si="95">L133+N133</f>
        <v>4245</v>
      </c>
      <c r="P133" s="29">
        <f t="shared" ref="P133:P154" si="96">K133+N133/2</f>
        <v>1986.5</v>
      </c>
      <c r="Q133" s="32">
        <f t="shared" ref="Q133:Q154" si="97">P133/E133</f>
        <v>7.9034429992348896</v>
      </c>
      <c r="R133" s="29">
        <f t="shared" ref="R133:R154" si="98">ROUND(CurrentCover*E133,0)</f>
        <v>2011</v>
      </c>
      <c r="S133" s="32">
        <f t="shared" ref="S133:S154" si="99">R133/E133</f>
        <v>8.0009181331293036</v>
      </c>
      <c r="T133" s="27">
        <f t="shared" ref="T133:T154" si="100">R133*G133</f>
        <v>1033.9474981279131</v>
      </c>
      <c r="U133" s="27">
        <f t="shared" ref="U133:U154" si="101">P133*G133</f>
        <v>1021.3509224421181</v>
      </c>
      <c r="V133" s="27">
        <f t="shared" ref="V133:V154" si="102">T133-U133</f>
        <v>12.596575685795074</v>
      </c>
      <c r="W133" s="9" t="str">
        <f t="shared" ref="W133:W154" si="103">IF(R133&lt;=L133,"Reorder now",IF(R133&gt;O133,"Overstock","OK"))</f>
        <v>OK</v>
      </c>
      <c r="X133" s="30">
        <f t="shared" ref="X133:X154" si="104">1-_xlfn.NORM.S.DIST((R133-J133)/(F133*SQRT(LeadTime)),TRUE)</f>
        <v>7.6352045796923562E-9</v>
      </c>
      <c r="Y133" s="29">
        <f t="shared" ref="Y133:Y154" si="105">IF(W133="Reorder now",O133-R133,0)</f>
        <v>0</v>
      </c>
      <c r="Z133" s="27">
        <f t="shared" ref="Z133:Z154" si="106">U133*HoldingRate</f>
        <v>255.33773061052952</v>
      </c>
      <c r="AA133" s="27">
        <f t="shared" ref="AA133:AA154" si="107">M133/N133*OrderCost</f>
        <v>204.92317340859202</v>
      </c>
      <c r="AB133" s="27">
        <f t="shared" ref="AB133:AB154" si="108">MAX(0,L133-R133)*G133</f>
        <v>0</v>
      </c>
      <c r="AC133" s="64">
        <f t="shared" ref="AC133:AC154" si="109">AB133+ROW()/1000000</f>
        <v>1.3300000000000001E-4</v>
      </c>
    </row>
    <row r="134" spans="1:29" ht="15" x14ac:dyDescent="0.35">
      <c r="A134" s="9" t="str">
        <f>ABC_XYZ!A134</f>
        <v>22692</v>
      </c>
      <c r="B134" s="9" t="str">
        <f>ABC_XYZ!B134</f>
        <v>DOORMAT WELCOME TO OUR HOME</v>
      </c>
      <c r="C134" s="31" t="str">
        <f>ABC_XYZ!K134</f>
        <v>BZ</v>
      </c>
      <c r="D134" s="9" t="str">
        <f>IF(AND(_xlfn.XLOOKUP(C134,BestClass,BestMethod)="Holt-Winters",ABC_XYZ!M134="No"),_xlfn.XLOOKUP(C134,BestClass,BestFlat),_xlfn.XLOOKUP(C134,BestClass,BestMethod))</f>
        <v>SES</v>
      </c>
      <c r="E134" s="32">
        <f>ABC_XYZ!G134</f>
        <v>28.51923076923077</v>
      </c>
      <c r="F134" s="32">
        <f>ABC_XYZ!H134</f>
        <v>43.697485181202218</v>
      </c>
      <c r="G134" s="34">
        <f>ABC_XYZ!N134*CostRatio</f>
        <v>4.5169138627187078</v>
      </c>
      <c r="H134" s="20">
        <f t="shared" si="88"/>
        <v>0.95</v>
      </c>
      <c r="I134" s="33">
        <f t="shared" si="89"/>
        <v>1.6448536269514715</v>
      </c>
      <c r="J134" s="29">
        <f t="shared" si="90"/>
        <v>68.661599999999993</v>
      </c>
      <c r="K134" s="29">
        <f t="shared" si="91"/>
        <v>125</v>
      </c>
      <c r="L134" s="29">
        <f t="shared" si="92"/>
        <v>194</v>
      </c>
      <c r="M134" s="29">
        <f t="shared" si="93"/>
        <v>1483</v>
      </c>
      <c r="N134" s="29">
        <f t="shared" si="94"/>
        <v>363</v>
      </c>
      <c r="O134" s="29">
        <f t="shared" si="95"/>
        <v>557</v>
      </c>
      <c r="P134" s="29">
        <f t="shared" si="96"/>
        <v>306.5</v>
      </c>
      <c r="Q134" s="32">
        <f t="shared" si="97"/>
        <v>10.747134187457855</v>
      </c>
      <c r="R134" s="29">
        <f t="shared" si="98"/>
        <v>228</v>
      </c>
      <c r="S134" s="32">
        <f t="shared" si="99"/>
        <v>7.9946055293324338</v>
      </c>
      <c r="T134" s="27">
        <f t="shared" si="100"/>
        <v>1029.8563606998653</v>
      </c>
      <c r="U134" s="27">
        <f t="shared" si="101"/>
        <v>1384.434098923284</v>
      </c>
      <c r="V134" s="27">
        <f t="shared" si="102"/>
        <v>-354.57773822341869</v>
      </c>
      <c r="W134" s="9" t="str">
        <f t="shared" si="103"/>
        <v>OK</v>
      </c>
      <c r="X134" s="30">
        <f t="shared" si="104"/>
        <v>1.7634838247580609E-2</v>
      </c>
      <c r="Y134" s="29">
        <f t="shared" si="105"/>
        <v>0</v>
      </c>
      <c r="Z134" s="27">
        <f t="shared" si="106"/>
        <v>346.10852473082099</v>
      </c>
      <c r="AA134" s="27">
        <f t="shared" si="107"/>
        <v>204.26997245179064</v>
      </c>
      <c r="AB134" s="27">
        <f t="shared" si="108"/>
        <v>0</v>
      </c>
      <c r="AC134" s="64">
        <f t="shared" si="109"/>
        <v>1.34E-4</v>
      </c>
    </row>
    <row r="135" spans="1:29" ht="15" x14ac:dyDescent="0.35">
      <c r="A135" s="9" t="str">
        <f>ABC_XYZ!A135</f>
        <v>21108</v>
      </c>
      <c r="B135" s="9" t="str">
        <f>ABC_XYZ!B135</f>
        <v>FAIRY CAKE FLANNEL ASSORTED COLOUR</v>
      </c>
      <c r="C135" s="31" t="str">
        <f>ABC_XYZ!K135</f>
        <v>BZ</v>
      </c>
      <c r="D135" s="9" t="str">
        <f>IF(AND(_xlfn.XLOOKUP(C135,BestClass,BestMethod)="Holt-Winters",ABC_XYZ!M135="No"),_xlfn.XLOOKUP(C135,BestClass,BestFlat),_xlfn.XLOOKUP(C135,BestClass,BestMethod))</f>
        <v>SES</v>
      </c>
      <c r="E135" s="32">
        <f>ABC_XYZ!G135</f>
        <v>129.53846153846155</v>
      </c>
      <c r="F135" s="32">
        <f>ABC_XYZ!H135</f>
        <v>457.72260036386803</v>
      </c>
      <c r="G135" s="34">
        <f>ABC_XYZ!N135*CostRatio</f>
        <v>1.0759541953790028</v>
      </c>
      <c r="H135" s="20">
        <f t="shared" si="88"/>
        <v>0.95</v>
      </c>
      <c r="I135" s="33">
        <f t="shared" si="89"/>
        <v>1.6448536269514715</v>
      </c>
      <c r="J135" s="29">
        <f t="shared" si="90"/>
        <v>468.9873</v>
      </c>
      <c r="K135" s="29">
        <f t="shared" si="91"/>
        <v>1305</v>
      </c>
      <c r="L135" s="29">
        <f t="shared" si="92"/>
        <v>1774</v>
      </c>
      <c r="M135" s="29">
        <f t="shared" si="93"/>
        <v>6736</v>
      </c>
      <c r="N135" s="29">
        <f t="shared" si="94"/>
        <v>1583</v>
      </c>
      <c r="O135" s="29">
        <f t="shared" si="95"/>
        <v>3357</v>
      </c>
      <c r="P135" s="29">
        <f t="shared" si="96"/>
        <v>2096.5</v>
      </c>
      <c r="Q135" s="32">
        <f t="shared" si="97"/>
        <v>16.184382422802848</v>
      </c>
      <c r="R135" s="29">
        <f t="shared" si="98"/>
        <v>1036</v>
      </c>
      <c r="S135" s="32">
        <f t="shared" si="99"/>
        <v>7.9976247030878858</v>
      </c>
      <c r="T135" s="27">
        <f t="shared" si="100"/>
        <v>1114.6885464126469</v>
      </c>
      <c r="U135" s="27">
        <f t="shared" si="101"/>
        <v>2255.7379706120796</v>
      </c>
      <c r="V135" s="27">
        <f t="shared" si="102"/>
        <v>-1141.0494241994327</v>
      </c>
      <c r="W135" s="9" t="str">
        <f t="shared" si="103"/>
        <v>Reorder now</v>
      </c>
      <c r="X135" s="30">
        <f t="shared" si="104"/>
        <v>0.23724156615492797</v>
      </c>
      <c r="Y135" s="29">
        <f t="shared" si="105"/>
        <v>2321</v>
      </c>
      <c r="Z135" s="27">
        <f t="shared" si="106"/>
        <v>563.9344926530199</v>
      </c>
      <c r="AA135" s="27">
        <f t="shared" si="107"/>
        <v>212.7605811749842</v>
      </c>
      <c r="AB135" s="27">
        <f t="shared" si="108"/>
        <v>794.05419618970404</v>
      </c>
      <c r="AC135" s="64">
        <f t="shared" si="109"/>
        <v>794.05433118970404</v>
      </c>
    </row>
    <row r="136" spans="1:29" ht="15" x14ac:dyDescent="0.35">
      <c r="A136" s="9" t="str">
        <f>ABC_XYZ!A136</f>
        <v>20711</v>
      </c>
      <c r="B136" s="9" t="str">
        <f>ABC_XYZ!B136</f>
        <v>JUMBO BAG TOYS</v>
      </c>
      <c r="C136" s="31" t="str">
        <f>ABC_XYZ!K136</f>
        <v>BY</v>
      </c>
      <c r="D136" s="9" t="str">
        <f>IF(AND(_xlfn.XLOOKUP(C136,BestClass,BestMethod)="Holt-Winters",ABC_XYZ!M136="No"),_xlfn.XLOOKUP(C136,BestClass,BestFlat),_xlfn.XLOOKUP(C136,BestClass,BestMethod))</f>
        <v>Holt-Winters</v>
      </c>
      <c r="E136" s="32">
        <f>ABC_XYZ!G136</f>
        <v>97.07692307692308</v>
      </c>
      <c r="F136" s="32">
        <f>ABC_XYZ!H136</f>
        <v>113.39741777912916</v>
      </c>
      <c r="G136" s="34">
        <f>ABC_XYZ!N136*CostRatio</f>
        <v>1.3199301775147929</v>
      </c>
      <c r="H136" s="20">
        <f t="shared" si="88"/>
        <v>0.95</v>
      </c>
      <c r="I136" s="33">
        <f t="shared" si="89"/>
        <v>1.6448536269514715</v>
      </c>
      <c r="J136" s="29">
        <f t="shared" si="90"/>
        <v>52.713700000000003</v>
      </c>
      <c r="K136" s="29">
        <f t="shared" si="91"/>
        <v>324</v>
      </c>
      <c r="L136" s="29">
        <f t="shared" si="92"/>
        <v>377</v>
      </c>
      <c r="M136" s="29">
        <f t="shared" si="93"/>
        <v>5048</v>
      </c>
      <c r="N136" s="29">
        <f t="shared" si="94"/>
        <v>1237</v>
      </c>
      <c r="O136" s="29">
        <f t="shared" si="95"/>
        <v>1614</v>
      </c>
      <c r="P136" s="29">
        <f t="shared" si="96"/>
        <v>942.5</v>
      </c>
      <c r="Q136" s="32">
        <f t="shared" si="97"/>
        <v>9.7087955625990485</v>
      </c>
      <c r="R136" s="29">
        <f t="shared" si="98"/>
        <v>777</v>
      </c>
      <c r="S136" s="32">
        <f t="shared" si="99"/>
        <v>8.0039619651347067</v>
      </c>
      <c r="T136" s="27">
        <f t="shared" si="100"/>
        <v>1025.5857479289941</v>
      </c>
      <c r="U136" s="27">
        <f t="shared" si="101"/>
        <v>1244.0341923076924</v>
      </c>
      <c r="V136" s="27">
        <f t="shared" si="102"/>
        <v>-218.44844437869824</v>
      </c>
      <c r="W136" s="9" t="str">
        <f t="shared" si="103"/>
        <v>OK</v>
      </c>
      <c r="X136" s="30">
        <f t="shared" si="104"/>
        <v>1.131794821689347E-4</v>
      </c>
      <c r="Y136" s="29">
        <f t="shared" si="105"/>
        <v>0</v>
      </c>
      <c r="Z136" s="27">
        <f t="shared" si="106"/>
        <v>311.00854807692309</v>
      </c>
      <c r="AA136" s="27">
        <f t="shared" si="107"/>
        <v>204.04203718674211</v>
      </c>
      <c r="AB136" s="27">
        <f t="shared" si="108"/>
        <v>0</v>
      </c>
      <c r="AC136" s="64">
        <f t="shared" si="109"/>
        <v>1.36E-4</v>
      </c>
    </row>
    <row r="137" spans="1:29" ht="15" x14ac:dyDescent="0.35">
      <c r="A137" s="9" t="str">
        <f>ABC_XYZ!A137</f>
        <v>21216</v>
      </c>
      <c r="B137" s="9" t="str">
        <f>ABC_XYZ!B137</f>
        <v>SET 3 RETROSPOT TEA,COFFEE,SUGAR</v>
      </c>
      <c r="C137" s="31" t="str">
        <f>ABC_XYZ!K137</f>
        <v>BY</v>
      </c>
      <c r="D137" s="9" t="str">
        <f>IF(AND(_xlfn.XLOOKUP(C137,BestClass,BestMethod)="Holt-Winters",ABC_XYZ!M137="No"),_xlfn.XLOOKUP(C137,BestClass,BestFlat),_xlfn.XLOOKUP(C137,BestClass,BestMethod))</f>
        <v>SES</v>
      </c>
      <c r="E137" s="32">
        <f>ABC_XYZ!G137</f>
        <v>40.03846153846154</v>
      </c>
      <c r="F137" s="32">
        <f>ABC_XYZ!H137</f>
        <v>32.709033074145594</v>
      </c>
      <c r="G137" s="34">
        <f>ABC_XYZ!N137*CostRatio</f>
        <v>3.1966638054363377</v>
      </c>
      <c r="H137" s="20">
        <f t="shared" si="88"/>
        <v>0.95</v>
      </c>
      <c r="I137" s="33">
        <f t="shared" si="89"/>
        <v>1.6448536269514715</v>
      </c>
      <c r="J137" s="29">
        <f t="shared" si="90"/>
        <v>96.850499999999982</v>
      </c>
      <c r="K137" s="29">
        <f t="shared" si="91"/>
        <v>94</v>
      </c>
      <c r="L137" s="29">
        <f t="shared" si="92"/>
        <v>191</v>
      </c>
      <c r="M137" s="29">
        <f t="shared" si="93"/>
        <v>2082</v>
      </c>
      <c r="N137" s="29">
        <f t="shared" si="94"/>
        <v>511</v>
      </c>
      <c r="O137" s="29">
        <f t="shared" si="95"/>
        <v>702</v>
      </c>
      <c r="P137" s="29">
        <f t="shared" si="96"/>
        <v>349.5</v>
      </c>
      <c r="Q137" s="32">
        <f t="shared" si="97"/>
        <v>8.7291066282420751</v>
      </c>
      <c r="R137" s="29">
        <f t="shared" si="98"/>
        <v>320</v>
      </c>
      <c r="S137" s="32">
        <f t="shared" si="99"/>
        <v>7.992315081652257</v>
      </c>
      <c r="T137" s="27">
        <f t="shared" si="100"/>
        <v>1022.932417739628</v>
      </c>
      <c r="U137" s="27">
        <f t="shared" si="101"/>
        <v>1117.2339999999999</v>
      </c>
      <c r="V137" s="27">
        <f t="shared" si="102"/>
        <v>-94.301582260371902</v>
      </c>
      <c r="W137" s="9" t="str">
        <f t="shared" si="103"/>
        <v>OK</v>
      </c>
      <c r="X137" s="30">
        <f t="shared" si="104"/>
        <v>4.093942111094151E-5</v>
      </c>
      <c r="Y137" s="29">
        <f t="shared" si="105"/>
        <v>0</v>
      </c>
      <c r="Z137" s="27">
        <f t="shared" si="106"/>
        <v>279.30849999999998</v>
      </c>
      <c r="AA137" s="27">
        <f t="shared" si="107"/>
        <v>203.71819960861055</v>
      </c>
      <c r="AB137" s="27">
        <f t="shared" si="108"/>
        <v>0</v>
      </c>
      <c r="AC137" s="64">
        <f t="shared" si="109"/>
        <v>1.37E-4</v>
      </c>
    </row>
    <row r="138" spans="1:29" ht="15" x14ac:dyDescent="0.35">
      <c r="A138" s="9" t="str">
        <f>ABC_XYZ!A138</f>
        <v>22662</v>
      </c>
      <c r="B138" s="9" t="str">
        <f>ABC_XYZ!B138</f>
        <v>LUNCH BAG DOLLY GIRL DESIGN</v>
      </c>
      <c r="C138" s="31" t="str">
        <f>ABC_XYZ!K138</f>
        <v>BX</v>
      </c>
      <c r="D138" s="9" t="str">
        <f>IF(AND(_xlfn.XLOOKUP(C138,BestClass,BestMethod)="Holt-Winters",ABC_XYZ!M138="No"),_xlfn.XLOOKUP(C138,BestClass,BestFlat),_xlfn.XLOOKUP(C138,BestClass,BestMethod))</f>
        <v>SES</v>
      </c>
      <c r="E138" s="32">
        <f>ABC_XYZ!G138</f>
        <v>128.84615384615384</v>
      </c>
      <c r="F138" s="32">
        <f>ABC_XYZ!H138</f>
        <v>90.248976880928126</v>
      </c>
      <c r="G138" s="34">
        <f>ABC_XYZ!N138*CostRatio</f>
        <v>0.98608932559178208</v>
      </c>
      <c r="H138" s="20">
        <f t="shared" si="88"/>
        <v>0.95</v>
      </c>
      <c r="I138" s="33">
        <f t="shared" si="89"/>
        <v>1.6448536269514715</v>
      </c>
      <c r="J138" s="29">
        <f t="shared" si="90"/>
        <v>383.81759999999997</v>
      </c>
      <c r="K138" s="29">
        <f t="shared" si="91"/>
        <v>258</v>
      </c>
      <c r="L138" s="29">
        <f t="shared" si="92"/>
        <v>642</v>
      </c>
      <c r="M138" s="29">
        <f t="shared" si="93"/>
        <v>6700</v>
      </c>
      <c r="N138" s="29">
        <f t="shared" si="94"/>
        <v>1649</v>
      </c>
      <c r="O138" s="29">
        <f t="shared" si="95"/>
        <v>2291</v>
      </c>
      <c r="P138" s="29">
        <f t="shared" si="96"/>
        <v>1082.5</v>
      </c>
      <c r="Q138" s="32">
        <f t="shared" si="97"/>
        <v>8.4014925373134339</v>
      </c>
      <c r="R138" s="29">
        <f t="shared" si="98"/>
        <v>1031</v>
      </c>
      <c r="S138" s="32">
        <f t="shared" si="99"/>
        <v>8.0017910447761196</v>
      </c>
      <c r="T138" s="27">
        <f t="shared" si="100"/>
        <v>1016.6580946851274</v>
      </c>
      <c r="U138" s="27">
        <f t="shared" si="101"/>
        <v>1067.4416949531042</v>
      </c>
      <c r="V138" s="27">
        <f t="shared" si="102"/>
        <v>-50.783600267976794</v>
      </c>
      <c r="W138" s="9" t="str">
        <f t="shared" si="103"/>
        <v>OK</v>
      </c>
      <c r="X138" s="30">
        <f t="shared" si="104"/>
        <v>1.7348381794457524E-5</v>
      </c>
      <c r="Y138" s="29">
        <f t="shared" si="105"/>
        <v>0</v>
      </c>
      <c r="Z138" s="27">
        <f t="shared" si="106"/>
        <v>266.86042373827604</v>
      </c>
      <c r="AA138" s="27">
        <f t="shared" si="107"/>
        <v>203.15342631898119</v>
      </c>
      <c r="AB138" s="27">
        <f t="shared" si="108"/>
        <v>0</v>
      </c>
      <c r="AC138" s="64">
        <f t="shared" si="109"/>
        <v>1.3799999999999999E-4</v>
      </c>
    </row>
    <row r="139" spans="1:29" ht="15" x14ac:dyDescent="0.35">
      <c r="A139" s="9" t="str">
        <f>ABC_XYZ!A139</f>
        <v>22193</v>
      </c>
      <c r="B139" s="9" t="str">
        <f>ABC_XYZ!B139</f>
        <v>RED DINER WALL CLOCK</v>
      </c>
      <c r="C139" s="31" t="str">
        <f>ABC_XYZ!K139</f>
        <v>CY</v>
      </c>
      <c r="D139" s="9" t="str">
        <f>IF(AND(_xlfn.XLOOKUP(C139,BestClass,BestMethod)="Holt-Winters",ABC_XYZ!M139="No"),_xlfn.XLOOKUP(C139,BestClass,BestFlat),_xlfn.XLOOKUP(C139,BestClass,BestMethod))</f>
        <v>SES</v>
      </c>
      <c r="E139" s="32">
        <f>ABC_XYZ!G139</f>
        <v>24.923076923076923</v>
      </c>
      <c r="F139" s="32">
        <f>ABC_XYZ!H139</f>
        <v>21.669393029535382</v>
      </c>
      <c r="G139" s="34">
        <f>ABC_XYZ!N139*CostRatio</f>
        <v>5.0649909090909082</v>
      </c>
      <c r="H139" s="20">
        <f t="shared" si="88"/>
        <v>0.95</v>
      </c>
      <c r="I139" s="33">
        <f t="shared" si="89"/>
        <v>1.6448536269514715</v>
      </c>
      <c r="J139" s="29">
        <f t="shared" si="90"/>
        <v>105.46589999999999</v>
      </c>
      <c r="K139" s="29">
        <f t="shared" si="91"/>
        <v>62</v>
      </c>
      <c r="L139" s="29">
        <f t="shared" si="92"/>
        <v>168</v>
      </c>
      <c r="M139" s="29">
        <f t="shared" si="93"/>
        <v>1296</v>
      </c>
      <c r="N139" s="29">
        <f t="shared" si="94"/>
        <v>320</v>
      </c>
      <c r="O139" s="29">
        <f t="shared" si="95"/>
        <v>488</v>
      </c>
      <c r="P139" s="29">
        <f t="shared" si="96"/>
        <v>222</v>
      </c>
      <c r="Q139" s="32">
        <f t="shared" si="97"/>
        <v>8.9074074074074066</v>
      </c>
      <c r="R139" s="29">
        <f t="shared" si="98"/>
        <v>199</v>
      </c>
      <c r="S139" s="32">
        <f t="shared" si="99"/>
        <v>7.9845679012345681</v>
      </c>
      <c r="T139" s="27">
        <f t="shared" si="100"/>
        <v>1007.9331909090907</v>
      </c>
      <c r="U139" s="27">
        <f t="shared" si="101"/>
        <v>1124.4279818181817</v>
      </c>
      <c r="V139" s="27">
        <f t="shared" si="102"/>
        <v>-116.49479090909097</v>
      </c>
      <c r="W139" s="9" t="str">
        <f t="shared" si="103"/>
        <v>OK</v>
      </c>
      <c r="X139" s="30">
        <f t="shared" si="104"/>
        <v>6.3498080774848642E-3</v>
      </c>
      <c r="Y139" s="29">
        <f t="shared" si="105"/>
        <v>0</v>
      </c>
      <c r="Z139" s="27">
        <f t="shared" si="106"/>
        <v>281.10699545454543</v>
      </c>
      <c r="AA139" s="27">
        <f t="shared" si="107"/>
        <v>202.5</v>
      </c>
      <c r="AB139" s="27">
        <f t="shared" si="108"/>
        <v>0</v>
      </c>
      <c r="AC139" s="64">
        <f t="shared" si="109"/>
        <v>1.3899999999999999E-4</v>
      </c>
    </row>
    <row r="140" spans="1:29" ht="15" x14ac:dyDescent="0.35">
      <c r="A140" s="9" t="str">
        <f>ABC_XYZ!A140</f>
        <v>85014B</v>
      </c>
      <c r="B140" s="9" t="str">
        <f>ABC_XYZ!B140</f>
        <v>RED RETROSPOT UMBRELLA</v>
      </c>
      <c r="C140" s="31" t="str">
        <f>ABC_XYZ!K140</f>
        <v>CY</v>
      </c>
      <c r="D140" s="9" t="str">
        <f>IF(AND(_xlfn.XLOOKUP(C140,BestClass,BestMethod)="Holt-Winters",ABC_XYZ!M140="No"),_xlfn.XLOOKUP(C140,BestClass,BestFlat),_xlfn.XLOOKUP(C140,BestClass,BestMethod))</f>
        <v>SES</v>
      </c>
      <c r="E140" s="32">
        <f>ABC_XYZ!G140</f>
        <v>36.096153846153847</v>
      </c>
      <c r="F140" s="32">
        <f>ABC_XYZ!H140</f>
        <v>38.860363200236549</v>
      </c>
      <c r="G140" s="34">
        <f>ABC_XYZ!N140*CostRatio</f>
        <v>3.4939159127195318</v>
      </c>
      <c r="H140" s="20">
        <f t="shared" si="88"/>
        <v>0.95</v>
      </c>
      <c r="I140" s="33">
        <f t="shared" si="89"/>
        <v>1.6448536269514715</v>
      </c>
      <c r="J140" s="29">
        <f t="shared" si="90"/>
        <v>104.59469999999999</v>
      </c>
      <c r="K140" s="29">
        <f t="shared" si="91"/>
        <v>111</v>
      </c>
      <c r="L140" s="29">
        <f t="shared" si="92"/>
        <v>216</v>
      </c>
      <c r="M140" s="29">
        <f t="shared" si="93"/>
        <v>1877</v>
      </c>
      <c r="N140" s="29">
        <f t="shared" si="94"/>
        <v>464</v>
      </c>
      <c r="O140" s="29">
        <f t="shared" si="95"/>
        <v>680</v>
      </c>
      <c r="P140" s="29">
        <f t="shared" si="96"/>
        <v>343</v>
      </c>
      <c r="Q140" s="32">
        <f t="shared" si="97"/>
        <v>9.5023974427277569</v>
      </c>
      <c r="R140" s="29">
        <f t="shared" si="98"/>
        <v>289</v>
      </c>
      <c r="S140" s="32">
        <f t="shared" si="99"/>
        <v>8.0063931806073523</v>
      </c>
      <c r="T140" s="27">
        <f t="shared" si="100"/>
        <v>1009.7416987759447</v>
      </c>
      <c r="U140" s="27">
        <f t="shared" si="101"/>
        <v>1198.4131580627993</v>
      </c>
      <c r="V140" s="27">
        <f t="shared" si="102"/>
        <v>-188.67145928685466</v>
      </c>
      <c r="W140" s="9" t="str">
        <f t="shared" si="103"/>
        <v>OK</v>
      </c>
      <c r="X140" s="30">
        <f t="shared" si="104"/>
        <v>3.0745928482986962E-3</v>
      </c>
      <c r="Y140" s="29">
        <f t="shared" si="105"/>
        <v>0</v>
      </c>
      <c r="Z140" s="27">
        <f t="shared" si="106"/>
        <v>299.60328951569983</v>
      </c>
      <c r="AA140" s="27">
        <f t="shared" si="107"/>
        <v>202.26293103448273</v>
      </c>
      <c r="AB140" s="27">
        <f t="shared" si="108"/>
        <v>0</v>
      </c>
      <c r="AC140" s="64">
        <f t="shared" si="109"/>
        <v>1.3999999999999999E-4</v>
      </c>
    </row>
    <row r="141" spans="1:29" ht="15" x14ac:dyDescent="0.35">
      <c r="A141" s="9" t="str">
        <f>ABC_XYZ!A141</f>
        <v>22041</v>
      </c>
      <c r="B141" s="9" t="str">
        <f>ABC_XYZ!B141</f>
        <v>RECORD FRAME 7" SINGLE SIZE</v>
      </c>
      <c r="C141" s="31" t="str">
        <f>ABC_XYZ!K141</f>
        <v>CX</v>
      </c>
      <c r="D141" s="9" t="str">
        <f>IF(AND(_xlfn.XLOOKUP(C141,BestClass,BestMethod)="Holt-Winters",ABC_XYZ!M141="No"),_xlfn.XLOOKUP(C141,BestClass,BestFlat),_xlfn.XLOOKUP(C141,BestClass,BestMethod))</f>
        <v>SES</v>
      </c>
      <c r="E141" s="32">
        <f>ABC_XYZ!G141</f>
        <v>80.865384615384613</v>
      </c>
      <c r="F141" s="32">
        <f>ABC_XYZ!H141</f>
        <v>55.548964038328592</v>
      </c>
      <c r="G141" s="34">
        <f>ABC_XYZ!N141*CostRatio</f>
        <v>1.5494064944299595</v>
      </c>
      <c r="H141" s="20">
        <f t="shared" si="88"/>
        <v>0.95</v>
      </c>
      <c r="I141" s="33">
        <f t="shared" si="89"/>
        <v>1.6448536269514715</v>
      </c>
      <c r="J141" s="29">
        <f t="shared" si="90"/>
        <v>301.20420000000001</v>
      </c>
      <c r="K141" s="29">
        <f t="shared" si="91"/>
        <v>159</v>
      </c>
      <c r="L141" s="29">
        <f t="shared" si="92"/>
        <v>461</v>
      </c>
      <c r="M141" s="29">
        <f t="shared" si="93"/>
        <v>4205</v>
      </c>
      <c r="N141" s="29">
        <f t="shared" si="94"/>
        <v>1042</v>
      </c>
      <c r="O141" s="29">
        <f t="shared" si="95"/>
        <v>1503</v>
      </c>
      <c r="P141" s="29">
        <f t="shared" si="96"/>
        <v>680</v>
      </c>
      <c r="Q141" s="32">
        <f t="shared" si="97"/>
        <v>8.4090368608799047</v>
      </c>
      <c r="R141" s="29">
        <f t="shared" si="98"/>
        <v>647</v>
      </c>
      <c r="S141" s="32">
        <f t="shared" si="99"/>
        <v>8.0009512485136742</v>
      </c>
      <c r="T141" s="27">
        <f t="shared" si="100"/>
        <v>1002.4660018961838</v>
      </c>
      <c r="U141" s="27">
        <f t="shared" si="101"/>
        <v>1053.5964162123723</v>
      </c>
      <c r="V141" s="27">
        <f t="shared" si="102"/>
        <v>-51.130414316188535</v>
      </c>
      <c r="W141" s="9" t="str">
        <f t="shared" si="103"/>
        <v>OK</v>
      </c>
      <c r="X141" s="30">
        <f t="shared" si="104"/>
        <v>1.6279378954853208E-4</v>
      </c>
      <c r="Y141" s="29">
        <f t="shared" si="105"/>
        <v>0</v>
      </c>
      <c r="Z141" s="27">
        <f t="shared" si="106"/>
        <v>263.39910405309308</v>
      </c>
      <c r="AA141" s="27">
        <f t="shared" si="107"/>
        <v>201.77543186180424</v>
      </c>
      <c r="AB141" s="27">
        <f t="shared" si="108"/>
        <v>0</v>
      </c>
      <c r="AC141" s="64">
        <f t="shared" si="109"/>
        <v>1.4100000000000001E-4</v>
      </c>
    </row>
    <row r="142" spans="1:29" ht="15" x14ac:dyDescent="0.35">
      <c r="A142" s="9" t="str">
        <f>ABC_XYZ!A142</f>
        <v>21340</v>
      </c>
      <c r="B142" s="9" t="str">
        <f>ABC_XYZ!B142</f>
        <v>CLASSIC METAL BIRDCAGE PLANT HOLDER</v>
      </c>
      <c r="C142" s="31" t="str">
        <f>ABC_XYZ!K142</f>
        <v>CX</v>
      </c>
      <c r="D142" s="9" t="str">
        <f>IF(AND(_xlfn.XLOOKUP(C142,BestClass,BestMethod)="Holt-Winters",ABC_XYZ!M142="No"),_xlfn.XLOOKUP(C142,BestClass,BestFlat),_xlfn.XLOOKUP(C142,BestClass,BestMethod))</f>
        <v>SES</v>
      </c>
      <c r="E142" s="32">
        <f>ABC_XYZ!G142</f>
        <v>17.884615384615383</v>
      </c>
      <c r="F142" s="32">
        <f>ABC_XYZ!H142</f>
        <v>12.369560751397106</v>
      </c>
      <c r="G142" s="34">
        <f>ABC_XYZ!N142*CostRatio</f>
        <v>6.9262108559498961</v>
      </c>
      <c r="H142" s="20">
        <f t="shared" si="88"/>
        <v>0.95</v>
      </c>
      <c r="I142" s="33">
        <f t="shared" si="89"/>
        <v>1.6448536269514715</v>
      </c>
      <c r="J142" s="29">
        <f t="shared" si="90"/>
        <v>51.523199999999996</v>
      </c>
      <c r="K142" s="29">
        <f t="shared" si="91"/>
        <v>36</v>
      </c>
      <c r="L142" s="29">
        <f t="shared" si="92"/>
        <v>88</v>
      </c>
      <c r="M142" s="29">
        <f t="shared" si="93"/>
        <v>929.99999999999989</v>
      </c>
      <c r="N142" s="29">
        <f t="shared" si="94"/>
        <v>232</v>
      </c>
      <c r="O142" s="29">
        <f t="shared" si="95"/>
        <v>320</v>
      </c>
      <c r="P142" s="29">
        <f t="shared" si="96"/>
        <v>152</v>
      </c>
      <c r="Q142" s="32">
        <f t="shared" si="97"/>
        <v>8.4989247311827967</v>
      </c>
      <c r="R142" s="29">
        <f t="shared" si="98"/>
        <v>143</v>
      </c>
      <c r="S142" s="32">
        <f t="shared" si="99"/>
        <v>7.9956989247311832</v>
      </c>
      <c r="T142" s="27">
        <f t="shared" si="100"/>
        <v>990.44815240083517</v>
      </c>
      <c r="U142" s="27">
        <f t="shared" si="101"/>
        <v>1052.7840501043843</v>
      </c>
      <c r="V142" s="27">
        <f t="shared" si="102"/>
        <v>-62.335897703549108</v>
      </c>
      <c r="W142" s="9" t="str">
        <f t="shared" si="103"/>
        <v>OK</v>
      </c>
      <c r="X142" s="30">
        <f t="shared" si="104"/>
        <v>9.7873652347146844E-6</v>
      </c>
      <c r="Y142" s="29">
        <f t="shared" si="105"/>
        <v>0</v>
      </c>
      <c r="Z142" s="27">
        <f t="shared" si="106"/>
        <v>263.19601252609607</v>
      </c>
      <c r="AA142" s="27">
        <f t="shared" si="107"/>
        <v>200.43103448275858</v>
      </c>
      <c r="AB142" s="27">
        <f t="shared" si="108"/>
        <v>0</v>
      </c>
      <c r="AC142" s="64">
        <f t="shared" si="109"/>
        <v>1.4200000000000001E-4</v>
      </c>
    </row>
    <row r="143" spans="1:29" ht="15" x14ac:dyDescent="0.35">
      <c r="A143" s="9" t="str">
        <f>ABC_XYZ!A143</f>
        <v>22605</v>
      </c>
      <c r="B143" s="9" t="str">
        <f>ABC_XYZ!B143</f>
        <v>WOODEN CROQUET GARDEN SET</v>
      </c>
      <c r="C143" s="31" t="str">
        <f>ABC_XYZ!K143</f>
        <v>CY</v>
      </c>
      <c r="D143" s="9" t="str">
        <f>IF(AND(_xlfn.XLOOKUP(C143,BestClass,BestMethod)="Holt-Winters",ABC_XYZ!M143="No"),_xlfn.XLOOKUP(C143,BestClass,BestFlat),_xlfn.XLOOKUP(C143,BestClass,BestMethod))</f>
        <v>SES</v>
      </c>
      <c r="E143" s="32">
        <f>ABC_XYZ!G143</f>
        <v>14.307692307692308</v>
      </c>
      <c r="F143" s="32">
        <f>ABC_XYZ!H143</f>
        <v>11.383749100790284</v>
      </c>
      <c r="G143" s="34">
        <f>ABC_XYZ!N143*CostRatio</f>
        <v>8.6051904127829548</v>
      </c>
      <c r="H143" s="20">
        <f t="shared" si="88"/>
        <v>0.95</v>
      </c>
      <c r="I143" s="33">
        <f t="shared" si="89"/>
        <v>1.6448536269514715</v>
      </c>
      <c r="J143" s="29">
        <f t="shared" si="90"/>
        <v>28.729499999999998</v>
      </c>
      <c r="K143" s="29">
        <f t="shared" si="91"/>
        <v>33</v>
      </c>
      <c r="L143" s="29">
        <f t="shared" si="92"/>
        <v>62</v>
      </c>
      <c r="M143" s="29">
        <f t="shared" si="93"/>
        <v>744</v>
      </c>
      <c r="N143" s="29">
        <f t="shared" si="94"/>
        <v>186</v>
      </c>
      <c r="O143" s="29">
        <f t="shared" si="95"/>
        <v>248</v>
      </c>
      <c r="P143" s="29">
        <f t="shared" si="96"/>
        <v>126</v>
      </c>
      <c r="Q143" s="32">
        <f t="shared" si="97"/>
        <v>8.806451612903226</v>
      </c>
      <c r="R143" s="29">
        <f t="shared" si="98"/>
        <v>114</v>
      </c>
      <c r="S143" s="32">
        <f t="shared" si="99"/>
        <v>7.967741935483871</v>
      </c>
      <c r="T143" s="27">
        <f t="shared" si="100"/>
        <v>980.9917070572568</v>
      </c>
      <c r="U143" s="27">
        <f t="shared" si="101"/>
        <v>1084.2539920106524</v>
      </c>
      <c r="V143" s="27">
        <f t="shared" si="102"/>
        <v>-103.26228495339558</v>
      </c>
      <c r="W143" s="9" t="str">
        <f t="shared" si="103"/>
        <v>OK</v>
      </c>
      <c r="X143" s="30">
        <f t="shared" si="104"/>
        <v>7.6380550034782502E-6</v>
      </c>
      <c r="Y143" s="29">
        <f t="shared" si="105"/>
        <v>0</v>
      </c>
      <c r="Z143" s="27">
        <f t="shared" si="106"/>
        <v>271.0634980026631</v>
      </c>
      <c r="AA143" s="27">
        <f t="shared" si="107"/>
        <v>200</v>
      </c>
      <c r="AB143" s="27">
        <f t="shared" si="108"/>
        <v>0</v>
      </c>
      <c r="AC143" s="64">
        <f t="shared" si="109"/>
        <v>1.4300000000000001E-4</v>
      </c>
    </row>
    <row r="144" spans="1:29" ht="15" x14ac:dyDescent="0.35">
      <c r="A144" s="9" t="str">
        <f>ABC_XYZ!A144</f>
        <v>22356</v>
      </c>
      <c r="B144" s="9" t="str">
        <f>ABC_XYZ!B144</f>
        <v>CHARLOTTE BAG PINK POLKADOT</v>
      </c>
      <c r="C144" s="31" t="str">
        <f>ABC_XYZ!K144</f>
        <v>CX</v>
      </c>
      <c r="D144" s="9" t="str">
        <f>IF(AND(_xlfn.XLOOKUP(C144,BestClass,BestMethod)="Holt-Winters",ABC_XYZ!M144="No"),_xlfn.XLOOKUP(C144,BestClass,BestFlat),_xlfn.XLOOKUP(C144,BestClass,BestMethod))</f>
        <v>SES</v>
      </c>
      <c r="E144" s="32">
        <f>ABC_XYZ!G144</f>
        <v>175.57692307692307</v>
      </c>
      <c r="F144" s="32">
        <f>ABC_XYZ!H144</f>
        <v>98.124440031642351</v>
      </c>
      <c r="G144" s="34">
        <f>ABC_XYZ!N144*CostRatio</f>
        <v>0.69040421455938694</v>
      </c>
      <c r="H144" s="20">
        <f t="shared" si="88"/>
        <v>0.95</v>
      </c>
      <c r="I144" s="33">
        <f t="shared" si="89"/>
        <v>1.6448536269514715</v>
      </c>
      <c r="J144" s="29">
        <f t="shared" si="90"/>
        <v>659.09280000000001</v>
      </c>
      <c r="K144" s="29">
        <f t="shared" si="91"/>
        <v>280</v>
      </c>
      <c r="L144" s="29">
        <f t="shared" si="92"/>
        <v>940</v>
      </c>
      <c r="M144" s="29">
        <f t="shared" si="93"/>
        <v>9130</v>
      </c>
      <c r="N144" s="29">
        <f t="shared" si="94"/>
        <v>2300</v>
      </c>
      <c r="O144" s="29">
        <f t="shared" si="95"/>
        <v>3240</v>
      </c>
      <c r="P144" s="29">
        <f t="shared" si="96"/>
        <v>1430</v>
      </c>
      <c r="Q144" s="32">
        <f t="shared" si="97"/>
        <v>8.1445783132530121</v>
      </c>
      <c r="R144" s="29">
        <f t="shared" si="98"/>
        <v>1405</v>
      </c>
      <c r="S144" s="32">
        <f t="shared" si="99"/>
        <v>8.002190580503834</v>
      </c>
      <c r="T144" s="27">
        <f t="shared" si="100"/>
        <v>970.01792145593868</v>
      </c>
      <c r="U144" s="27">
        <f t="shared" si="101"/>
        <v>987.2780268199233</v>
      </c>
      <c r="V144" s="27">
        <f t="shared" si="102"/>
        <v>-17.260105363984621</v>
      </c>
      <c r="W144" s="9" t="str">
        <f t="shared" si="103"/>
        <v>OK</v>
      </c>
      <c r="X144" s="30">
        <f t="shared" si="104"/>
        <v>5.6985761761607634E-6</v>
      </c>
      <c r="Y144" s="29">
        <f t="shared" si="105"/>
        <v>0</v>
      </c>
      <c r="Z144" s="27">
        <f t="shared" si="106"/>
        <v>246.81950670498082</v>
      </c>
      <c r="AA144" s="27">
        <f t="shared" si="107"/>
        <v>198.47826086956522</v>
      </c>
      <c r="AB144" s="27">
        <f t="shared" si="108"/>
        <v>0</v>
      </c>
      <c r="AC144" s="64">
        <f t="shared" si="109"/>
        <v>1.44E-4</v>
      </c>
    </row>
    <row r="145" spans="1:29" ht="15" x14ac:dyDescent="0.35">
      <c r="A145" s="9" t="str">
        <f>ABC_XYZ!A145</f>
        <v>71459</v>
      </c>
      <c r="B145" s="9" t="str">
        <f>ABC_XYZ!B145</f>
        <v>HANGING JAM JAR T-LIGHT HOLDER</v>
      </c>
      <c r="C145" s="31" t="str">
        <f>ABC_XYZ!K145</f>
        <v>CX</v>
      </c>
      <c r="D145" s="9" t="str">
        <f>IF(AND(_xlfn.XLOOKUP(C145,BestClass,BestMethod)="Holt-Winters",ABC_XYZ!M145="No"),_xlfn.XLOOKUP(C145,BestClass,BestFlat),_xlfn.XLOOKUP(C145,BestClass,BestMethod))</f>
        <v>SES</v>
      </c>
      <c r="E145" s="32">
        <f>ABC_XYZ!G145</f>
        <v>256</v>
      </c>
      <c r="F145" s="32">
        <f>ABC_XYZ!H145</f>
        <v>177.62286551269568</v>
      </c>
      <c r="G145" s="34">
        <f>ABC_XYZ!N145*CostRatio</f>
        <v>0.47834699799122088</v>
      </c>
      <c r="H145" s="20">
        <f t="shared" si="88"/>
        <v>0.95</v>
      </c>
      <c r="I145" s="33">
        <f t="shared" si="89"/>
        <v>1.6448536269514715</v>
      </c>
      <c r="J145" s="29">
        <f t="shared" si="90"/>
        <v>553.41360000000009</v>
      </c>
      <c r="K145" s="29">
        <f t="shared" si="91"/>
        <v>507</v>
      </c>
      <c r="L145" s="29">
        <f t="shared" si="92"/>
        <v>1061</v>
      </c>
      <c r="M145" s="29">
        <f t="shared" si="93"/>
        <v>13312</v>
      </c>
      <c r="N145" s="29">
        <f t="shared" si="94"/>
        <v>3337</v>
      </c>
      <c r="O145" s="29">
        <f t="shared" si="95"/>
        <v>4398</v>
      </c>
      <c r="P145" s="29">
        <f t="shared" si="96"/>
        <v>2175.5</v>
      </c>
      <c r="Q145" s="32">
        <f t="shared" si="97"/>
        <v>8.498046875</v>
      </c>
      <c r="R145" s="29">
        <f t="shared" si="98"/>
        <v>2048</v>
      </c>
      <c r="S145" s="32">
        <f t="shared" si="99"/>
        <v>8</v>
      </c>
      <c r="T145" s="27">
        <f t="shared" si="100"/>
        <v>979.65465188602036</v>
      </c>
      <c r="U145" s="27">
        <f t="shared" si="101"/>
        <v>1040.6438941299011</v>
      </c>
      <c r="V145" s="27">
        <f t="shared" si="102"/>
        <v>-60.989242243880767</v>
      </c>
      <c r="W145" s="9" t="str">
        <f t="shared" si="103"/>
        <v>OK</v>
      </c>
      <c r="X145" s="30">
        <f t="shared" si="104"/>
        <v>5.927525735804906E-7</v>
      </c>
      <c r="Y145" s="29">
        <f t="shared" si="105"/>
        <v>0</v>
      </c>
      <c r="Z145" s="27">
        <f t="shared" si="106"/>
        <v>260.16097353247528</v>
      </c>
      <c r="AA145" s="27">
        <f t="shared" si="107"/>
        <v>199.46059334731797</v>
      </c>
      <c r="AB145" s="27">
        <f t="shared" si="108"/>
        <v>0</v>
      </c>
      <c r="AC145" s="64">
        <f t="shared" si="109"/>
        <v>1.45E-4</v>
      </c>
    </row>
    <row r="146" spans="1:29" ht="15" x14ac:dyDescent="0.35">
      <c r="A146" s="9" t="str">
        <f>ABC_XYZ!A146</f>
        <v>22570</v>
      </c>
      <c r="B146" s="9" t="str">
        <f>ABC_XYZ!B146</f>
        <v>FELTCRAFT CUSHION RABBIT</v>
      </c>
      <c r="C146" s="31" t="str">
        <f>ABC_XYZ!K146</f>
        <v>CZ</v>
      </c>
      <c r="D146" s="9" t="str">
        <f>IF(AND(_xlfn.XLOOKUP(C146,BestClass,BestMethod)="Holt-Winters",ABC_XYZ!M146="No"),_xlfn.XLOOKUP(C146,BestClass,BestFlat),_xlfn.XLOOKUP(C146,BestClass,BestMethod))</f>
        <v>SES</v>
      </c>
      <c r="E146" s="32">
        <f>ABC_XYZ!G146</f>
        <v>55.692307692307693</v>
      </c>
      <c r="F146" s="32">
        <f>ABC_XYZ!H146</f>
        <v>73.611203980324092</v>
      </c>
      <c r="G146" s="34">
        <f>ABC_XYZ!N146*CostRatio</f>
        <v>2.181100286532951</v>
      </c>
      <c r="H146" s="20">
        <f t="shared" si="88"/>
        <v>0.95</v>
      </c>
      <c r="I146" s="33">
        <f t="shared" si="89"/>
        <v>1.6448536269514715</v>
      </c>
      <c r="J146" s="29">
        <f t="shared" si="90"/>
        <v>126.39330000000001</v>
      </c>
      <c r="K146" s="29">
        <f t="shared" si="91"/>
        <v>210</v>
      </c>
      <c r="L146" s="29">
        <f t="shared" si="92"/>
        <v>337</v>
      </c>
      <c r="M146" s="29">
        <f t="shared" si="93"/>
        <v>2896</v>
      </c>
      <c r="N146" s="29">
        <f t="shared" si="94"/>
        <v>729</v>
      </c>
      <c r="O146" s="29">
        <f t="shared" si="95"/>
        <v>1066</v>
      </c>
      <c r="P146" s="29">
        <f t="shared" si="96"/>
        <v>574.5</v>
      </c>
      <c r="Q146" s="32">
        <f t="shared" si="97"/>
        <v>10.31560773480663</v>
      </c>
      <c r="R146" s="29">
        <f t="shared" si="98"/>
        <v>446</v>
      </c>
      <c r="S146" s="32">
        <f t="shared" si="99"/>
        <v>8.0082872928176787</v>
      </c>
      <c r="T146" s="27">
        <f t="shared" si="100"/>
        <v>972.7707277936961</v>
      </c>
      <c r="U146" s="27">
        <f t="shared" si="101"/>
        <v>1253.0421146131803</v>
      </c>
      <c r="V146" s="27">
        <f t="shared" si="102"/>
        <v>-280.27138681948418</v>
      </c>
      <c r="W146" s="9" t="str">
        <f t="shared" si="103"/>
        <v>OK</v>
      </c>
      <c r="X146" s="30">
        <f t="shared" si="104"/>
        <v>6.0923127513372588E-3</v>
      </c>
      <c r="Y146" s="29">
        <f t="shared" si="105"/>
        <v>0</v>
      </c>
      <c r="Z146" s="27">
        <f t="shared" si="106"/>
        <v>313.26052865329507</v>
      </c>
      <c r="AA146" s="27">
        <f t="shared" si="107"/>
        <v>198.62825788751715</v>
      </c>
      <c r="AB146" s="27">
        <f t="shared" si="108"/>
        <v>0</v>
      </c>
      <c r="AC146" s="64">
        <f t="shared" si="109"/>
        <v>1.46E-4</v>
      </c>
    </row>
    <row r="147" spans="1:29" ht="15" x14ac:dyDescent="0.35">
      <c r="A147" s="9" t="str">
        <f>ABC_XYZ!A147</f>
        <v>21481</v>
      </c>
      <c r="B147" s="9" t="str">
        <f>ABC_XYZ!B147</f>
        <v>FAWN BLUE HOT WATER BOTTLE</v>
      </c>
      <c r="C147" s="31" t="str">
        <f>ABC_XYZ!K147</f>
        <v>CZ</v>
      </c>
      <c r="D147" s="9" t="str">
        <f>IF(AND(_xlfn.XLOOKUP(C147,BestClass,BestMethod)="Holt-Winters",ABC_XYZ!M147="No"),_xlfn.XLOOKUP(C147,BestClass,BestFlat),_xlfn.XLOOKUP(C147,BestClass,BestMethod))</f>
        <v>SES</v>
      </c>
      <c r="E147" s="32">
        <f>ABC_XYZ!G147</f>
        <v>59.615384615384613</v>
      </c>
      <c r="F147" s="32">
        <f>ABC_XYZ!H147</f>
        <v>77.373591747114659</v>
      </c>
      <c r="G147" s="34">
        <f>ABC_XYZ!N147*CostRatio</f>
        <v>2.0517037037037036</v>
      </c>
      <c r="H147" s="20">
        <f t="shared" si="88"/>
        <v>0.95</v>
      </c>
      <c r="I147" s="33">
        <f t="shared" si="89"/>
        <v>1.6448536269514715</v>
      </c>
      <c r="J147" s="29">
        <f t="shared" si="90"/>
        <v>401.529</v>
      </c>
      <c r="K147" s="29">
        <f t="shared" si="91"/>
        <v>221</v>
      </c>
      <c r="L147" s="29">
        <f t="shared" si="92"/>
        <v>623</v>
      </c>
      <c r="M147" s="29">
        <f t="shared" si="93"/>
        <v>3100</v>
      </c>
      <c r="N147" s="29">
        <f t="shared" si="94"/>
        <v>778</v>
      </c>
      <c r="O147" s="29">
        <f t="shared" si="95"/>
        <v>1401</v>
      </c>
      <c r="P147" s="29">
        <f t="shared" si="96"/>
        <v>610</v>
      </c>
      <c r="Q147" s="32">
        <f t="shared" si="97"/>
        <v>10.232258064516129</v>
      </c>
      <c r="R147" s="29">
        <f t="shared" si="98"/>
        <v>477</v>
      </c>
      <c r="S147" s="32">
        <f t="shared" si="99"/>
        <v>8.0012903225806458</v>
      </c>
      <c r="T147" s="27">
        <f t="shared" si="100"/>
        <v>978.66266666666661</v>
      </c>
      <c r="U147" s="27">
        <f t="shared" si="101"/>
        <v>1251.5392592592591</v>
      </c>
      <c r="V147" s="27">
        <f t="shared" si="102"/>
        <v>-272.87659259259249</v>
      </c>
      <c r="W147" s="9" t="str">
        <f t="shared" si="103"/>
        <v>Reorder now</v>
      </c>
      <c r="X147" s="30">
        <f t="shared" si="104"/>
        <v>0.2866652118795503</v>
      </c>
      <c r="Y147" s="29">
        <f t="shared" si="105"/>
        <v>924</v>
      </c>
      <c r="Z147" s="27">
        <f t="shared" si="106"/>
        <v>312.88481481481477</v>
      </c>
      <c r="AA147" s="27">
        <f t="shared" si="107"/>
        <v>199.22879177377894</v>
      </c>
      <c r="AB147" s="27">
        <f t="shared" si="108"/>
        <v>299.5487407407407</v>
      </c>
      <c r="AC147" s="64">
        <f t="shared" si="109"/>
        <v>299.54888774074072</v>
      </c>
    </row>
    <row r="148" spans="1:29" ht="15" x14ac:dyDescent="0.35">
      <c r="A148" s="9" t="str">
        <f>ABC_XYZ!A148</f>
        <v>84997A</v>
      </c>
      <c r="B148" s="9" t="str">
        <f>ABC_XYZ!B148</f>
        <v>GREEN 3 PIECE MINI DOTS CUTLERY SET</v>
      </c>
      <c r="C148" s="31" t="str">
        <f>ABC_XYZ!K148</f>
        <v>CY</v>
      </c>
      <c r="D148" s="9" t="str">
        <f>IF(AND(_xlfn.XLOOKUP(C148,BestClass,BestMethod)="Holt-Winters",ABC_XYZ!M148="No"),_xlfn.XLOOKUP(C148,BestClass,BestFlat),_xlfn.XLOOKUP(C148,BestClass,BestMethod))</f>
        <v>SES</v>
      </c>
      <c r="E148" s="32">
        <f>ABC_XYZ!G148</f>
        <v>49.846153846153847</v>
      </c>
      <c r="F148" s="32">
        <f>ABC_XYZ!H148</f>
        <v>54.548911175267655</v>
      </c>
      <c r="G148" s="34">
        <f>ABC_XYZ!N148*CostRatio</f>
        <v>2.4119722650231123</v>
      </c>
      <c r="H148" s="20">
        <f t="shared" si="88"/>
        <v>0.95</v>
      </c>
      <c r="I148" s="33">
        <f t="shared" si="89"/>
        <v>1.6448536269514715</v>
      </c>
      <c r="J148" s="29">
        <f t="shared" si="90"/>
        <v>141.66930000000002</v>
      </c>
      <c r="K148" s="29">
        <f t="shared" si="91"/>
        <v>156</v>
      </c>
      <c r="L148" s="29">
        <f t="shared" si="92"/>
        <v>298</v>
      </c>
      <c r="M148" s="29">
        <f t="shared" si="93"/>
        <v>2592</v>
      </c>
      <c r="N148" s="29">
        <f t="shared" si="94"/>
        <v>656</v>
      </c>
      <c r="O148" s="29">
        <f t="shared" si="95"/>
        <v>954</v>
      </c>
      <c r="P148" s="29">
        <f t="shared" si="96"/>
        <v>484</v>
      </c>
      <c r="Q148" s="32">
        <f t="shared" si="97"/>
        <v>9.7098765432098766</v>
      </c>
      <c r="R148" s="29">
        <f t="shared" si="98"/>
        <v>399</v>
      </c>
      <c r="S148" s="32">
        <f t="shared" si="99"/>
        <v>8.0046296296296298</v>
      </c>
      <c r="T148" s="27">
        <f t="shared" si="100"/>
        <v>962.37693374422179</v>
      </c>
      <c r="U148" s="27">
        <f t="shared" si="101"/>
        <v>1167.3945762711865</v>
      </c>
      <c r="V148" s="27">
        <f t="shared" si="102"/>
        <v>-205.01764252696466</v>
      </c>
      <c r="W148" s="9" t="str">
        <f t="shared" si="103"/>
        <v>OK</v>
      </c>
      <c r="X148" s="30">
        <f t="shared" si="104"/>
        <v>3.2286373893387621E-3</v>
      </c>
      <c r="Y148" s="29">
        <f t="shared" si="105"/>
        <v>0</v>
      </c>
      <c r="Z148" s="27">
        <f t="shared" si="106"/>
        <v>291.84864406779661</v>
      </c>
      <c r="AA148" s="27">
        <f t="shared" si="107"/>
        <v>197.5609756097561</v>
      </c>
      <c r="AB148" s="27">
        <f t="shared" si="108"/>
        <v>0</v>
      </c>
      <c r="AC148" s="64">
        <f t="shared" si="109"/>
        <v>1.4799999999999999E-4</v>
      </c>
    </row>
    <row r="149" spans="1:29" ht="15" x14ac:dyDescent="0.35">
      <c r="A149" s="9" t="str">
        <f>ABC_XYZ!A149</f>
        <v>47590A</v>
      </c>
      <c r="B149" s="9" t="str">
        <f>ABC_XYZ!B149</f>
        <v>BLUE HAPPY BIRTHDAY BUNTING</v>
      </c>
      <c r="C149" s="31" t="str">
        <f>ABC_XYZ!K149</f>
        <v>CY</v>
      </c>
      <c r="D149" s="9" t="str">
        <f>IF(AND(_xlfn.XLOOKUP(C149,BestClass,BestMethod)="Holt-Winters",ABC_XYZ!M149="No"),_xlfn.XLOOKUP(C149,BestClass,BestFlat),_xlfn.XLOOKUP(C149,BestClass,BestMethod))</f>
        <v>SES</v>
      </c>
      <c r="E149" s="32">
        <f>ABC_XYZ!G149</f>
        <v>37.903846153846153</v>
      </c>
      <c r="F149" s="32">
        <f>ABC_XYZ!H149</f>
        <v>32.897499526759205</v>
      </c>
      <c r="G149" s="34">
        <f>ABC_XYZ!N149*CostRatio</f>
        <v>3.1603969924812025</v>
      </c>
      <c r="H149" s="20">
        <f t="shared" si="88"/>
        <v>0.95</v>
      </c>
      <c r="I149" s="33">
        <f t="shared" si="89"/>
        <v>1.6448536269514715</v>
      </c>
      <c r="J149" s="29">
        <f t="shared" si="90"/>
        <v>85.231200000000001</v>
      </c>
      <c r="K149" s="29">
        <f t="shared" si="91"/>
        <v>94</v>
      </c>
      <c r="L149" s="29">
        <f t="shared" si="92"/>
        <v>180</v>
      </c>
      <c r="M149" s="29">
        <f t="shared" si="93"/>
        <v>1971</v>
      </c>
      <c r="N149" s="29">
        <f t="shared" si="94"/>
        <v>500</v>
      </c>
      <c r="O149" s="29">
        <f t="shared" si="95"/>
        <v>680</v>
      </c>
      <c r="P149" s="29">
        <f t="shared" si="96"/>
        <v>344</v>
      </c>
      <c r="Q149" s="32">
        <f t="shared" si="97"/>
        <v>9.0755961440892943</v>
      </c>
      <c r="R149" s="29">
        <f t="shared" si="98"/>
        <v>303</v>
      </c>
      <c r="S149" s="32">
        <f t="shared" si="99"/>
        <v>7.993911719939117</v>
      </c>
      <c r="T149" s="27">
        <f t="shared" si="100"/>
        <v>957.60028872180442</v>
      </c>
      <c r="U149" s="27">
        <f t="shared" si="101"/>
        <v>1087.1765654135336</v>
      </c>
      <c r="V149" s="27">
        <f t="shared" si="102"/>
        <v>-129.57627669172916</v>
      </c>
      <c r="W149" s="9" t="str">
        <f t="shared" si="103"/>
        <v>OK</v>
      </c>
      <c r="X149" s="30">
        <f t="shared" si="104"/>
        <v>6.6230664451771837E-5</v>
      </c>
      <c r="Y149" s="29">
        <f t="shared" si="105"/>
        <v>0</v>
      </c>
      <c r="Z149" s="27">
        <f t="shared" si="106"/>
        <v>271.7941413533834</v>
      </c>
      <c r="AA149" s="27">
        <f t="shared" si="107"/>
        <v>197.10000000000002</v>
      </c>
      <c r="AB149" s="27">
        <f t="shared" si="108"/>
        <v>0</v>
      </c>
      <c r="AC149" s="64">
        <f t="shared" si="109"/>
        <v>1.4899999999999999E-4</v>
      </c>
    </row>
    <row r="150" spans="1:29" ht="15" x14ac:dyDescent="0.35">
      <c r="A150" s="9" t="str">
        <f>ABC_XYZ!A150</f>
        <v>84755</v>
      </c>
      <c r="B150" s="9" t="str">
        <f>ABC_XYZ!B150</f>
        <v>COLOUR GLASS T-LIGHT HOLDER HANGING</v>
      </c>
      <c r="C150" s="31" t="str">
        <f>ABC_XYZ!K150</f>
        <v>CX</v>
      </c>
      <c r="D150" s="9" t="str">
        <f>IF(AND(_xlfn.XLOOKUP(C150,BestClass,BestMethod)="Holt-Winters",ABC_XYZ!M150="No"),_xlfn.XLOOKUP(C150,BestClass,BestFlat),_xlfn.XLOOKUP(C150,BestClass,BestMethod))</f>
        <v>SES</v>
      </c>
      <c r="E150" s="32">
        <f>ABC_XYZ!G150</f>
        <v>313.30769230769232</v>
      </c>
      <c r="F150" s="32">
        <f>ABC_XYZ!H150</f>
        <v>210.08266705868837</v>
      </c>
      <c r="G150" s="34">
        <f>ABC_XYZ!N150*CostRatio</f>
        <v>0.38243078051463847</v>
      </c>
      <c r="H150" s="20">
        <f t="shared" si="88"/>
        <v>0.95</v>
      </c>
      <c r="I150" s="33">
        <f t="shared" si="89"/>
        <v>1.6448536269514715</v>
      </c>
      <c r="J150" s="29">
        <f t="shared" si="90"/>
        <v>705.34109999999998</v>
      </c>
      <c r="K150" s="29">
        <f t="shared" si="91"/>
        <v>599</v>
      </c>
      <c r="L150" s="29">
        <f t="shared" si="92"/>
        <v>1305</v>
      </c>
      <c r="M150" s="29">
        <f t="shared" si="93"/>
        <v>16292</v>
      </c>
      <c r="N150" s="29">
        <f t="shared" si="94"/>
        <v>4129</v>
      </c>
      <c r="O150" s="29">
        <f t="shared" si="95"/>
        <v>5434</v>
      </c>
      <c r="P150" s="29">
        <f t="shared" si="96"/>
        <v>2663.5</v>
      </c>
      <c r="Q150" s="32">
        <f t="shared" si="97"/>
        <v>8.5012275963663146</v>
      </c>
      <c r="R150" s="29">
        <f t="shared" si="98"/>
        <v>2506</v>
      </c>
      <c r="S150" s="32">
        <f t="shared" si="99"/>
        <v>7.9985268843604223</v>
      </c>
      <c r="T150" s="27">
        <f t="shared" si="100"/>
        <v>958.37153596968403</v>
      </c>
      <c r="U150" s="27">
        <f t="shared" si="101"/>
        <v>1018.6043839007395</v>
      </c>
      <c r="V150" s="27">
        <f t="shared" si="102"/>
        <v>-60.232847931055517</v>
      </c>
      <c r="W150" s="9" t="str">
        <f t="shared" si="103"/>
        <v>OK</v>
      </c>
      <c r="X150" s="30">
        <f t="shared" si="104"/>
        <v>3.7378417072631009E-7</v>
      </c>
      <c r="Y150" s="29">
        <f t="shared" si="105"/>
        <v>0</v>
      </c>
      <c r="Z150" s="27">
        <f t="shared" si="106"/>
        <v>254.65109597518489</v>
      </c>
      <c r="AA150" s="27">
        <f t="shared" si="107"/>
        <v>197.28747880842818</v>
      </c>
      <c r="AB150" s="27">
        <f t="shared" si="108"/>
        <v>0</v>
      </c>
      <c r="AC150" s="64">
        <f t="shared" si="109"/>
        <v>1.4999999999999999E-4</v>
      </c>
    </row>
    <row r="151" spans="1:29" ht="15" x14ac:dyDescent="0.35">
      <c r="A151" s="9" t="str">
        <f>ABC_XYZ!A151</f>
        <v>82600</v>
      </c>
      <c r="B151" s="9" t="str">
        <f>ABC_XYZ!B151</f>
        <v>NO SINGING METAL SIGN</v>
      </c>
      <c r="C151" s="31" t="str">
        <f>ABC_XYZ!K151</f>
        <v>CY</v>
      </c>
      <c r="D151" s="9" t="str">
        <f>IF(AND(_xlfn.XLOOKUP(C151,BestClass,BestMethod)="Holt-Winters",ABC_XYZ!M151="No"),_xlfn.XLOOKUP(C151,BestClass,BestFlat),_xlfn.XLOOKUP(C151,BestClass,BestMethod))</f>
        <v>SES</v>
      </c>
      <c r="E151" s="32">
        <f>ABC_XYZ!G151</f>
        <v>92.84615384615384</v>
      </c>
      <c r="F151" s="32">
        <f>ABC_XYZ!H151</f>
        <v>96.043573570191214</v>
      </c>
      <c r="G151" s="34">
        <f>ABC_XYZ!N151*CostRatio</f>
        <v>1.2779149198520343</v>
      </c>
      <c r="H151" s="20">
        <f t="shared" si="88"/>
        <v>0.95</v>
      </c>
      <c r="I151" s="33">
        <f t="shared" si="89"/>
        <v>1.6448536269514715</v>
      </c>
      <c r="J151" s="29">
        <f t="shared" si="90"/>
        <v>151.00799999999998</v>
      </c>
      <c r="K151" s="29">
        <f t="shared" si="91"/>
        <v>274</v>
      </c>
      <c r="L151" s="29">
        <f t="shared" si="92"/>
        <v>426</v>
      </c>
      <c r="M151" s="29">
        <f t="shared" si="93"/>
        <v>4828</v>
      </c>
      <c r="N151" s="29">
        <f t="shared" si="94"/>
        <v>1230</v>
      </c>
      <c r="O151" s="29">
        <f t="shared" si="95"/>
        <v>1656</v>
      </c>
      <c r="P151" s="29">
        <f t="shared" si="96"/>
        <v>889</v>
      </c>
      <c r="Q151" s="32">
        <f t="shared" si="97"/>
        <v>9.5749792874896436</v>
      </c>
      <c r="R151" s="29">
        <f t="shared" si="98"/>
        <v>743</v>
      </c>
      <c r="S151" s="32">
        <f t="shared" si="99"/>
        <v>8.0024855012427505</v>
      </c>
      <c r="T151" s="27">
        <f t="shared" si="100"/>
        <v>949.49078545006148</v>
      </c>
      <c r="U151" s="27">
        <f t="shared" si="101"/>
        <v>1136.0663637484586</v>
      </c>
      <c r="V151" s="27">
        <f t="shared" si="102"/>
        <v>-186.57557829839709</v>
      </c>
      <c r="W151" s="9" t="str">
        <f t="shared" si="103"/>
        <v>OK</v>
      </c>
      <c r="X151" s="30">
        <f t="shared" si="104"/>
        <v>1.8637350345018788E-4</v>
      </c>
      <c r="Y151" s="29">
        <f t="shared" si="105"/>
        <v>0</v>
      </c>
      <c r="Z151" s="27">
        <f t="shared" si="106"/>
        <v>284.01659093711464</v>
      </c>
      <c r="AA151" s="27">
        <f t="shared" si="107"/>
        <v>196.26016260162601</v>
      </c>
      <c r="AB151" s="27">
        <f t="shared" si="108"/>
        <v>0</v>
      </c>
      <c r="AC151" s="64">
        <f t="shared" si="109"/>
        <v>1.5100000000000001E-4</v>
      </c>
    </row>
    <row r="152" spans="1:29" ht="15" x14ac:dyDescent="0.35">
      <c r="A152" s="9" t="str">
        <f>ABC_XYZ!A152</f>
        <v>48173C</v>
      </c>
      <c r="B152" s="9" t="str">
        <f>ABC_XYZ!B152</f>
        <v>DOORMAT BLACK FLOCK</v>
      </c>
      <c r="C152" s="31" t="str">
        <f>ABC_XYZ!K152</f>
        <v>CZ</v>
      </c>
      <c r="D152" s="9" t="str">
        <f>IF(AND(_xlfn.XLOOKUP(C152,BestClass,BestMethod)="Holt-Winters",ABC_XYZ!M152="No"),_xlfn.XLOOKUP(C152,BestClass,BestFlat),_xlfn.XLOOKUP(C152,BestClass,BestMethod))</f>
        <v>SES</v>
      </c>
      <c r="E152" s="32">
        <f>ABC_XYZ!G152</f>
        <v>34.53846153846154</v>
      </c>
      <c r="F152" s="32">
        <f>ABC_XYZ!H152</f>
        <v>99.632355863151346</v>
      </c>
      <c r="G152" s="34">
        <f>ABC_XYZ!N152*CostRatio</f>
        <v>3.3842365352581898</v>
      </c>
      <c r="H152" s="20">
        <f t="shared" si="88"/>
        <v>0.95</v>
      </c>
      <c r="I152" s="33">
        <f t="shared" si="89"/>
        <v>1.6448536269514715</v>
      </c>
      <c r="J152" s="29">
        <f t="shared" si="90"/>
        <v>107.26859999999999</v>
      </c>
      <c r="K152" s="29">
        <f t="shared" si="91"/>
        <v>284</v>
      </c>
      <c r="L152" s="29">
        <f t="shared" si="92"/>
        <v>392</v>
      </c>
      <c r="M152" s="29">
        <f t="shared" si="93"/>
        <v>1796</v>
      </c>
      <c r="N152" s="29">
        <f t="shared" si="94"/>
        <v>461</v>
      </c>
      <c r="O152" s="29">
        <f t="shared" si="95"/>
        <v>853</v>
      </c>
      <c r="P152" s="29">
        <f t="shared" si="96"/>
        <v>514.5</v>
      </c>
      <c r="Q152" s="32">
        <f t="shared" si="97"/>
        <v>14.896436525612472</v>
      </c>
      <c r="R152" s="29">
        <f t="shared" si="98"/>
        <v>276</v>
      </c>
      <c r="S152" s="32">
        <f t="shared" si="99"/>
        <v>7.9910913140311797</v>
      </c>
      <c r="T152" s="27">
        <f t="shared" si="100"/>
        <v>934.0492837312604</v>
      </c>
      <c r="U152" s="27">
        <f t="shared" si="101"/>
        <v>1741.1896973903386</v>
      </c>
      <c r="V152" s="27">
        <f t="shared" si="102"/>
        <v>-807.14041365907815</v>
      </c>
      <c r="W152" s="9" t="str">
        <f t="shared" si="103"/>
        <v>Reorder now</v>
      </c>
      <c r="X152" s="30">
        <f t="shared" si="104"/>
        <v>0.16409506221807668</v>
      </c>
      <c r="Y152" s="29">
        <f t="shared" si="105"/>
        <v>577</v>
      </c>
      <c r="Z152" s="27">
        <f t="shared" si="106"/>
        <v>435.29742434758464</v>
      </c>
      <c r="AA152" s="27">
        <f t="shared" si="107"/>
        <v>194.79392624728851</v>
      </c>
      <c r="AB152" s="27">
        <f t="shared" si="108"/>
        <v>392.57143808994999</v>
      </c>
      <c r="AC152" s="64">
        <f t="shared" si="109"/>
        <v>392.57159008995001</v>
      </c>
    </row>
    <row r="153" spans="1:29" ht="15" x14ac:dyDescent="0.35">
      <c r="A153" s="9" t="str">
        <f>ABC_XYZ!A153</f>
        <v>22617</v>
      </c>
      <c r="B153" s="9" t="str">
        <f>ABC_XYZ!B153</f>
        <v>BAKING SET SPACEBOY DESIGN</v>
      </c>
      <c r="C153" s="31" t="str">
        <f>ABC_XYZ!K153</f>
        <v>CZ</v>
      </c>
      <c r="D153" s="9" t="str">
        <f>IF(AND(_xlfn.XLOOKUP(C153,BestClass,BestMethod)="Holt-Winters",ABC_XYZ!M153="No"),_xlfn.XLOOKUP(C153,BestClass,BestFlat),_xlfn.XLOOKUP(C153,BestClass,BestMethod))</f>
        <v>SES</v>
      </c>
      <c r="E153" s="32">
        <f>ABC_XYZ!G153</f>
        <v>39.92307692307692</v>
      </c>
      <c r="F153" s="32">
        <f>ABC_XYZ!H153</f>
        <v>52.311227810602858</v>
      </c>
      <c r="G153" s="34">
        <f>ABC_XYZ!N153*CostRatio</f>
        <v>2.8927546274323679</v>
      </c>
      <c r="H153" s="20">
        <f t="shared" si="88"/>
        <v>0.95</v>
      </c>
      <c r="I153" s="33">
        <f t="shared" si="89"/>
        <v>1.6448536269514715</v>
      </c>
      <c r="J153" s="29">
        <f t="shared" si="90"/>
        <v>235.42649999999998</v>
      </c>
      <c r="K153" s="29">
        <f t="shared" si="91"/>
        <v>150</v>
      </c>
      <c r="L153" s="29">
        <f t="shared" si="92"/>
        <v>386</v>
      </c>
      <c r="M153" s="29">
        <f t="shared" si="93"/>
        <v>2076</v>
      </c>
      <c r="N153" s="29">
        <f t="shared" si="94"/>
        <v>536</v>
      </c>
      <c r="O153" s="29">
        <f t="shared" si="95"/>
        <v>922</v>
      </c>
      <c r="P153" s="29">
        <f t="shared" si="96"/>
        <v>418</v>
      </c>
      <c r="Q153" s="32">
        <f t="shared" si="97"/>
        <v>10.470134874759154</v>
      </c>
      <c r="R153" s="29">
        <f t="shared" si="98"/>
        <v>319</v>
      </c>
      <c r="S153" s="32">
        <f t="shared" si="99"/>
        <v>7.9903660886319852</v>
      </c>
      <c r="T153" s="27">
        <f t="shared" si="100"/>
        <v>922.7887261509253</v>
      </c>
      <c r="U153" s="27">
        <f t="shared" si="101"/>
        <v>1209.1714342667299</v>
      </c>
      <c r="V153" s="27">
        <f t="shared" si="102"/>
        <v>-286.38270811580458</v>
      </c>
      <c r="W153" s="9" t="str">
        <f t="shared" si="103"/>
        <v>Reorder now</v>
      </c>
      <c r="X153" s="30">
        <f t="shared" si="104"/>
        <v>0.17816344272819029</v>
      </c>
      <c r="Y153" s="29">
        <f t="shared" si="105"/>
        <v>603</v>
      </c>
      <c r="Z153" s="27">
        <f t="shared" si="106"/>
        <v>302.29285856668247</v>
      </c>
      <c r="AA153" s="27">
        <f t="shared" si="107"/>
        <v>193.65671641791045</v>
      </c>
      <c r="AB153" s="27">
        <f t="shared" si="108"/>
        <v>193.81456003796865</v>
      </c>
      <c r="AC153" s="64">
        <f t="shared" si="109"/>
        <v>193.81471303796866</v>
      </c>
    </row>
    <row r="154" spans="1:29" ht="15" x14ac:dyDescent="0.35">
      <c r="A154" s="9" t="str">
        <f>ABC_XYZ!A154</f>
        <v>21791</v>
      </c>
      <c r="B154" s="9" t="str">
        <f>ABC_XYZ!B154</f>
        <v>VINTAGE HEADS AND TAILS CARD GAME</v>
      </c>
      <c r="C154" s="31" t="str">
        <f>ABC_XYZ!K154</f>
        <v>CY</v>
      </c>
      <c r="D154" s="9" t="str">
        <f>IF(AND(_xlfn.XLOOKUP(C154,BestClass,BestMethod)="Holt-Winters",ABC_XYZ!M154="No"),_xlfn.XLOOKUP(C154,BestClass,BestFlat),_xlfn.XLOOKUP(C154,BestClass,BestMethod))</f>
        <v>SES</v>
      </c>
      <c r="E154" s="32">
        <f>ABC_XYZ!G154</f>
        <v>143.75</v>
      </c>
      <c r="F154" s="32">
        <f>ABC_XYZ!H154</f>
        <v>160.78689769564011</v>
      </c>
      <c r="G154" s="34">
        <f>ABC_XYZ!N154*CostRatio</f>
        <v>0.80122407136200235</v>
      </c>
      <c r="H154" s="20">
        <f t="shared" si="88"/>
        <v>0.95</v>
      </c>
      <c r="I154" s="33">
        <f t="shared" si="89"/>
        <v>1.6448536269514715</v>
      </c>
      <c r="J154" s="29">
        <f t="shared" si="90"/>
        <v>959.26740000000007</v>
      </c>
      <c r="K154" s="29">
        <f t="shared" si="91"/>
        <v>459</v>
      </c>
      <c r="L154" s="29">
        <f t="shared" si="92"/>
        <v>1419</v>
      </c>
      <c r="M154" s="29">
        <f t="shared" si="93"/>
        <v>7475</v>
      </c>
      <c r="N154" s="29">
        <f t="shared" si="94"/>
        <v>1932</v>
      </c>
      <c r="O154" s="29">
        <f t="shared" si="95"/>
        <v>3351</v>
      </c>
      <c r="P154" s="29">
        <f t="shared" si="96"/>
        <v>1425</v>
      </c>
      <c r="Q154" s="32">
        <f t="shared" si="97"/>
        <v>9.9130434782608692</v>
      </c>
      <c r="R154" s="29">
        <f t="shared" si="98"/>
        <v>1150</v>
      </c>
      <c r="S154" s="32">
        <f t="shared" si="99"/>
        <v>8</v>
      </c>
      <c r="T154" s="27">
        <f t="shared" si="100"/>
        <v>921.40768206630275</v>
      </c>
      <c r="U154" s="27">
        <f t="shared" si="101"/>
        <v>1141.7443016908533</v>
      </c>
      <c r="V154" s="27">
        <f t="shared" si="102"/>
        <v>-220.33661962455051</v>
      </c>
      <c r="W154" s="9" t="str">
        <f t="shared" si="103"/>
        <v>Reorder now</v>
      </c>
      <c r="X154" s="30">
        <f t="shared" si="104"/>
        <v>0.24671024087326188</v>
      </c>
      <c r="Y154" s="29">
        <f t="shared" si="105"/>
        <v>2201</v>
      </c>
      <c r="Z154" s="27">
        <f t="shared" si="106"/>
        <v>285.43607542271332</v>
      </c>
      <c r="AA154" s="27">
        <f t="shared" si="107"/>
        <v>193.45238095238096</v>
      </c>
      <c r="AB154" s="27">
        <f t="shared" si="108"/>
        <v>215.52927519637862</v>
      </c>
      <c r="AC154" s="64">
        <f t="shared" si="109"/>
        <v>215.52942919637863</v>
      </c>
    </row>
  </sheetData>
  <autoFilter ref="A4:AB154" xr:uid="{00000000-0009-0000-0000-000007000000}"/>
  <conditionalFormatting sqref="V5:V154">
    <cfRule type="cellIs" dxfId="3" priority="5" operator="lessThan">
      <formula>0</formula>
    </cfRule>
  </conditionalFormatting>
  <conditionalFormatting sqref="W5:W154">
    <cfRule type="cellIs" dxfId="2" priority="1" operator="equal">
      <formula>"Reorder now"</formula>
    </cfRule>
    <cfRule type="cellIs" dxfId="1" priority="2" operator="equal">
      <formula>"Overstock"</formula>
    </cfRule>
    <cfRule type="cellIs" dxfId="0" priority="3" operator="equal">
      <formula>"OK"</formula>
    </cfRule>
  </conditionalFormatting>
  <conditionalFormatting sqref="X5:X154">
    <cfRule type="colorScale" priority="4">
      <colorScale>
        <cfvo type="num" val="0"/>
        <cfvo type="num" val="0.5"/>
        <color rgb="FFFFFFFF"/>
        <color rgb="FFE8968C"/>
      </colorScale>
    </cfRule>
  </conditionalFormatting>
  <pageMargins left="0.75" right="0.75" top="1" bottom="1" header="0.5" footer="0.5"/>
  <pageSetup scale="1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A8A85"/>
  </sheetPr>
  <dimension ref="A1:DA15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34" customWidth="1"/>
    <col min="3" max="105" width="8.44140625" customWidth="1"/>
  </cols>
  <sheetData>
    <row r="1" spans="1:105" ht="23.4" x14ac:dyDescent="0.55000000000000004">
      <c r="A1" s="1" t="s">
        <v>417</v>
      </c>
    </row>
    <row r="2" spans="1:105" x14ac:dyDescent="0.3">
      <c r="A2" s="2" t="s">
        <v>418</v>
      </c>
    </row>
    <row r="3" spans="1:105" ht="31.95" customHeight="1" x14ac:dyDescent="0.3">
      <c r="A3" s="8" t="s">
        <v>123</v>
      </c>
      <c r="B3" s="8" t="s">
        <v>132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  <c r="AB3" s="8">
        <v>26</v>
      </c>
      <c r="AC3" s="8">
        <v>27</v>
      </c>
      <c r="AD3" s="8">
        <v>28</v>
      </c>
      <c r="AE3" s="8">
        <v>29</v>
      </c>
      <c r="AF3" s="8">
        <v>30</v>
      </c>
      <c r="AG3" s="8">
        <v>31</v>
      </c>
      <c r="AH3" s="8">
        <v>32</v>
      </c>
      <c r="AI3" s="8">
        <v>33</v>
      </c>
      <c r="AJ3" s="8">
        <v>34</v>
      </c>
      <c r="AK3" s="8">
        <v>35</v>
      </c>
      <c r="AL3" s="8">
        <v>36</v>
      </c>
      <c r="AM3" s="8">
        <v>37</v>
      </c>
      <c r="AN3" s="8">
        <v>38</v>
      </c>
      <c r="AO3" s="8">
        <v>39</v>
      </c>
      <c r="AP3" s="8">
        <v>40</v>
      </c>
      <c r="AQ3" s="8">
        <v>41</v>
      </c>
      <c r="AR3" s="8">
        <v>42</v>
      </c>
      <c r="AS3" s="8">
        <v>43</v>
      </c>
      <c r="AT3" s="8">
        <v>44</v>
      </c>
      <c r="AU3" s="8">
        <v>45</v>
      </c>
      <c r="AV3" s="8">
        <v>46</v>
      </c>
      <c r="AW3" s="8">
        <v>47</v>
      </c>
      <c r="AX3" s="8">
        <v>48</v>
      </c>
      <c r="AY3" s="8">
        <v>49</v>
      </c>
      <c r="AZ3" s="8">
        <v>50</v>
      </c>
      <c r="BA3" s="8">
        <v>51</v>
      </c>
      <c r="BB3" s="8">
        <v>52</v>
      </c>
      <c r="BC3" s="8">
        <v>53</v>
      </c>
      <c r="BD3" s="8">
        <v>54</v>
      </c>
      <c r="BE3" s="8">
        <v>55</v>
      </c>
      <c r="BF3" s="8">
        <v>56</v>
      </c>
      <c r="BG3" s="8">
        <v>57</v>
      </c>
      <c r="BH3" s="8">
        <v>58</v>
      </c>
      <c r="BI3" s="8">
        <v>59</v>
      </c>
      <c r="BJ3" s="8">
        <v>60</v>
      </c>
      <c r="BK3" s="8">
        <v>61</v>
      </c>
      <c r="BL3" s="8">
        <v>62</v>
      </c>
      <c r="BM3" s="8">
        <v>63</v>
      </c>
      <c r="BN3" s="8">
        <v>64</v>
      </c>
      <c r="BO3" s="8">
        <v>65</v>
      </c>
      <c r="BP3" s="8">
        <v>66</v>
      </c>
      <c r="BQ3" s="8">
        <v>67</v>
      </c>
      <c r="BR3" s="8">
        <v>68</v>
      </c>
      <c r="BS3" s="8">
        <v>69</v>
      </c>
      <c r="BT3" s="8">
        <v>70</v>
      </c>
      <c r="BU3" s="8">
        <v>71</v>
      </c>
      <c r="BV3" s="8">
        <v>72</v>
      </c>
      <c r="BW3" s="8">
        <v>73</v>
      </c>
      <c r="BX3" s="8">
        <v>74</v>
      </c>
      <c r="BY3" s="8">
        <v>75</v>
      </c>
      <c r="BZ3" s="8">
        <v>76</v>
      </c>
      <c r="CA3" s="8">
        <v>77</v>
      </c>
      <c r="CB3" s="8">
        <v>78</v>
      </c>
      <c r="CC3" s="8">
        <v>79</v>
      </c>
      <c r="CD3" s="8">
        <v>80</v>
      </c>
      <c r="CE3" s="8">
        <v>81</v>
      </c>
      <c r="CF3" s="8">
        <v>82</v>
      </c>
      <c r="CG3" s="8">
        <v>83</v>
      </c>
      <c r="CH3" s="8">
        <v>84</v>
      </c>
      <c r="CI3" s="8">
        <v>85</v>
      </c>
      <c r="CJ3" s="8">
        <v>86</v>
      </c>
      <c r="CK3" s="8">
        <v>87</v>
      </c>
      <c r="CL3" s="8">
        <v>88</v>
      </c>
      <c r="CM3" s="8">
        <v>89</v>
      </c>
      <c r="CN3" s="8">
        <v>90</v>
      </c>
      <c r="CO3" s="8">
        <v>91</v>
      </c>
      <c r="CP3" s="8">
        <v>92</v>
      </c>
      <c r="CQ3" s="8">
        <v>93</v>
      </c>
      <c r="CR3" s="8">
        <v>94</v>
      </c>
      <c r="CS3" s="8">
        <v>95</v>
      </c>
      <c r="CT3" s="8">
        <v>96</v>
      </c>
      <c r="CU3" s="8">
        <v>97</v>
      </c>
      <c r="CV3" s="8">
        <v>98</v>
      </c>
      <c r="CW3" s="8">
        <v>99</v>
      </c>
      <c r="CX3" s="8">
        <v>100</v>
      </c>
      <c r="CY3" s="8">
        <v>101</v>
      </c>
      <c r="CZ3" s="8">
        <v>102</v>
      </c>
      <c r="DA3" s="8">
        <v>103</v>
      </c>
    </row>
    <row r="4" spans="1:105" x14ac:dyDescent="0.3">
      <c r="A4" s="2" t="s">
        <v>419</v>
      </c>
      <c r="C4" s="65">
        <v>40154</v>
      </c>
      <c r="D4" s="65">
        <v>40161</v>
      </c>
      <c r="E4" s="65">
        <v>40168</v>
      </c>
      <c r="F4" s="65">
        <v>40175</v>
      </c>
      <c r="G4" s="65">
        <v>40182</v>
      </c>
      <c r="H4" s="65">
        <v>40189</v>
      </c>
      <c r="I4" s="65">
        <v>40196</v>
      </c>
      <c r="J4" s="65">
        <v>40203</v>
      </c>
      <c r="K4" s="65">
        <v>40210</v>
      </c>
      <c r="L4" s="65">
        <v>40217</v>
      </c>
      <c r="M4" s="65">
        <v>40224</v>
      </c>
      <c r="N4" s="65">
        <v>40231</v>
      </c>
      <c r="O4" s="65">
        <v>40238</v>
      </c>
      <c r="P4" s="65">
        <v>40245</v>
      </c>
      <c r="Q4" s="65">
        <v>40252</v>
      </c>
      <c r="R4" s="65">
        <v>40259</v>
      </c>
      <c r="S4" s="65">
        <v>40266</v>
      </c>
      <c r="T4" s="65">
        <v>40273</v>
      </c>
      <c r="U4" s="65">
        <v>40280</v>
      </c>
      <c r="V4" s="65">
        <v>40287</v>
      </c>
      <c r="W4" s="65">
        <v>40294</v>
      </c>
      <c r="X4" s="65">
        <v>40301</v>
      </c>
      <c r="Y4" s="65">
        <v>40308</v>
      </c>
      <c r="Z4" s="65">
        <v>40315</v>
      </c>
      <c r="AA4" s="65">
        <v>40322</v>
      </c>
      <c r="AB4" s="65">
        <v>40329</v>
      </c>
      <c r="AC4" s="65">
        <v>40336</v>
      </c>
      <c r="AD4" s="65">
        <v>40343</v>
      </c>
      <c r="AE4" s="65">
        <v>40350</v>
      </c>
      <c r="AF4" s="65">
        <v>40357</v>
      </c>
      <c r="AG4" s="65">
        <v>40364</v>
      </c>
      <c r="AH4" s="65">
        <v>40371</v>
      </c>
      <c r="AI4" s="65">
        <v>40378</v>
      </c>
      <c r="AJ4" s="65">
        <v>40385</v>
      </c>
      <c r="AK4" s="65">
        <v>40392</v>
      </c>
      <c r="AL4" s="65">
        <v>40399</v>
      </c>
      <c r="AM4" s="65">
        <v>40406</v>
      </c>
      <c r="AN4" s="65">
        <v>40413</v>
      </c>
      <c r="AO4" s="65">
        <v>40420</v>
      </c>
      <c r="AP4" s="65">
        <v>40427</v>
      </c>
      <c r="AQ4" s="65">
        <v>40434</v>
      </c>
      <c r="AR4" s="65">
        <v>40441</v>
      </c>
      <c r="AS4" s="65">
        <v>40448</v>
      </c>
      <c r="AT4" s="65">
        <v>40455</v>
      </c>
      <c r="AU4" s="65">
        <v>40462</v>
      </c>
      <c r="AV4" s="65">
        <v>40469</v>
      </c>
      <c r="AW4" s="65">
        <v>40476</v>
      </c>
      <c r="AX4" s="65">
        <v>40483</v>
      </c>
      <c r="AY4" s="65">
        <v>40490</v>
      </c>
      <c r="AZ4" s="65">
        <v>40497</v>
      </c>
      <c r="BA4" s="65">
        <v>40504</v>
      </c>
      <c r="BB4" s="65">
        <v>40511</v>
      </c>
      <c r="BC4" s="65">
        <v>40518</v>
      </c>
      <c r="BD4" s="65">
        <v>40525</v>
      </c>
      <c r="BE4" s="65">
        <v>40532</v>
      </c>
      <c r="BF4" s="65">
        <v>40539</v>
      </c>
      <c r="BG4" s="65">
        <v>40546</v>
      </c>
      <c r="BH4" s="65">
        <v>40553</v>
      </c>
      <c r="BI4" s="65">
        <v>40560</v>
      </c>
      <c r="BJ4" s="65">
        <v>40567</v>
      </c>
      <c r="BK4" s="65">
        <v>40574</v>
      </c>
      <c r="BL4" s="65">
        <v>40581</v>
      </c>
      <c r="BM4" s="65">
        <v>40588</v>
      </c>
      <c r="BN4" s="65">
        <v>40595</v>
      </c>
      <c r="BO4" s="65">
        <v>40602</v>
      </c>
      <c r="BP4" s="65">
        <v>40609</v>
      </c>
      <c r="BQ4" s="65">
        <v>40616</v>
      </c>
      <c r="BR4" s="65">
        <v>40623</v>
      </c>
      <c r="BS4" s="65">
        <v>40630</v>
      </c>
      <c r="BT4" s="65">
        <v>40637</v>
      </c>
      <c r="BU4" s="65">
        <v>40644</v>
      </c>
      <c r="BV4" s="65">
        <v>40651</v>
      </c>
      <c r="BW4" s="65">
        <v>40658</v>
      </c>
      <c r="BX4" s="65">
        <v>40665</v>
      </c>
      <c r="BY4" s="65">
        <v>40672</v>
      </c>
      <c r="BZ4" s="65">
        <v>40679</v>
      </c>
      <c r="CA4" s="65">
        <v>40686</v>
      </c>
      <c r="CB4" s="65">
        <v>40693</v>
      </c>
      <c r="CC4" s="65">
        <v>40700</v>
      </c>
      <c r="CD4" s="65">
        <v>40707</v>
      </c>
      <c r="CE4" s="65">
        <v>40714</v>
      </c>
      <c r="CF4" s="65">
        <v>40721</v>
      </c>
      <c r="CG4" s="65">
        <v>40728</v>
      </c>
      <c r="CH4" s="65">
        <v>40735</v>
      </c>
      <c r="CI4" s="65">
        <v>40742</v>
      </c>
      <c r="CJ4" s="65">
        <v>40749</v>
      </c>
      <c r="CK4" s="65">
        <v>40756</v>
      </c>
      <c r="CL4" s="65">
        <v>40763</v>
      </c>
      <c r="CM4" s="65">
        <v>40770</v>
      </c>
      <c r="CN4" s="65">
        <v>40777</v>
      </c>
      <c r="CO4" s="65">
        <v>40784</v>
      </c>
      <c r="CP4" s="65">
        <v>40791</v>
      </c>
      <c r="CQ4" s="65">
        <v>40798</v>
      </c>
      <c r="CR4" s="65">
        <v>40805</v>
      </c>
      <c r="CS4" s="65">
        <v>40812</v>
      </c>
      <c r="CT4" s="65">
        <v>40819</v>
      </c>
      <c r="CU4" s="65">
        <v>40826</v>
      </c>
      <c r="CV4" s="65">
        <v>40833</v>
      </c>
      <c r="CW4" s="65">
        <v>40840</v>
      </c>
      <c r="CX4" s="65">
        <v>40847</v>
      </c>
      <c r="CY4" s="65">
        <v>40854</v>
      </c>
      <c r="CZ4" s="65">
        <v>40861</v>
      </c>
      <c r="DA4" s="65">
        <v>40868</v>
      </c>
    </row>
    <row r="5" spans="1:105" ht="15" x14ac:dyDescent="0.35">
      <c r="A5" s="5" t="s">
        <v>236</v>
      </c>
      <c r="B5" s="5" t="s">
        <v>420</v>
      </c>
      <c r="C5" s="66">
        <v>0</v>
      </c>
      <c r="D5" s="66">
        <v>0</v>
      </c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198</v>
      </c>
      <c r="R5" s="66">
        <v>423</v>
      </c>
      <c r="S5" s="66">
        <v>185</v>
      </c>
      <c r="T5" s="66">
        <v>231</v>
      </c>
      <c r="U5" s="66">
        <v>290</v>
      </c>
      <c r="V5" s="66">
        <v>349</v>
      </c>
      <c r="W5" s="66">
        <v>278</v>
      </c>
      <c r="X5" s="66">
        <v>298</v>
      </c>
      <c r="Y5" s="66">
        <v>107</v>
      </c>
      <c r="Z5" s="66">
        <v>16</v>
      </c>
      <c r="AA5" s="66">
        <v>15</v>
      </c>
      <c r="AB5" s="66">
        <v>92</v>
      </c>
      <c r="AC5" s="66">
        <v>456</v>
      </c>
      <c r="AD5" s="66">
        <v>447</v>
      </c>
      <c r="AE5" s="66">
        <v>178</v>
      </c>
      <c r="AF5" s="66">
        <v>390</v>
      </c>
      <c r="AG5" s="66">
        <v>122</v>
      </c>
      <c r="AH5" s="66">
        <v>101</v>
      </c>
      <c r="AI5" s="66">
        <v>453</v>
      </c>
      <c r="AJ5" s="66">
        <v>566</v>
      </c>
      <c r="AK5" s="66">
        <v>287</v>
      </c>
      <c r="AL5" s="66">
        <v>223</v>
      </c>
      <c r="AM5" s="66">
        <v>194</v>
      </c>
      <c r="AN5" s="66">
        <v>259</v>
      </c>
      <c r="AO5" s="66">
        <v>438</v>
      </c>
      <c r="AP5" s="66">
        <v>284</v>
      </c>
      <c r="AQ5" s="66">
        <v>367</v>
      </c>
      <c r="AR5" s="66">
        <v>607</v>
      </c>
      <c r="AS5" s="66">
        <v>372</v>
      </c>
      <c r="AT5" s="66">
        <v>486</v>
      </c>
      <c r="AU5" s="66">
        <v>304</v>
      </c>
      <c r="AV5" s="66">
        <v>356</v>
      </c>
      <c r="AW5" s="66">
        <v>639</v>
      </c>
      <c r="AX5" s="66">
        <v>240</v>
      </c>
      <c r="AY5" s="66">
        <v>546</v>
      </c>
      <c r="AZ5" s="66">
        <v>548</v>
      </c>
      <c r="BA5" s="66">
        <v>384</v>
      </c>
      <c r="BB5" s="66">
        <v>925</v>
      </c>
      <c r="BC5" s="66">
        <v>835</v>
      </c>
      <c r="BD5" s="66">
        <v>387</v>
      </c>
      <c r="BE5" s="66">
        <v>145</v>
      </c>
      <c r="BF5" s="66">
        <v>0</v>
      </c>
      <c r="BG5" s="66">
        <v>241</v>
      </c>
      <c r="BH5" s="66">
        <v>369</v>
      </c>
      <c r="BI5" s="66">
        <v>130</v>
      </c>
      <c r="BJ5" s="66">
        <v>199</v>
      </c>
      <c r="BK5" s="66">
        <v>140</v>
      </c>
      <c r="BL5" s="66">
        <v>117</v>
      </c>
      <c r="BM5" s="66">
        <v>391</v>
      </c>
      <c r="BN5" s="66">
        <v>195</v>
      </c>
      <c r="BO5" s="66">
        <v>329</v>
      </c>
      <c r="BP5" s="66">
        <v>165</v>
      </c>
      <c r="BQ5" s="66">
        <v>294</v>
      </c>
      <c r="BR5" s="66">
        <v>304</v>
      </c>
      <c r="BS5" s="66">
        <v>281</v>
      </c>
      <c r="BT5" s="66">
        <v>271</v>
      </c>
      <c r="BU5" s="66">
        <v>340</v>
      </c>
      <c r="BV5" s="66">
        <v>182</v>
      </c>
      <c r="BW5" s="66">
        <v>323</v>
      </c>
      <c r="BX5" s="66">
        <v>157</v>
      </c>
      <c r="BY5" s="66">
        <v>364</v>
      </c>
      <c r="BZ5" s="66">
        <v>302</v>
      </c>
      <c r="CA5" s="66">
        <v>152</v>
      </c>
      <c r="CB5" s="66">
        <v>259</v>
      </c>
      <c r="CC5" s="66">
        <v>208</v>
      </c>
      <c r="CD5" s="66">
        <v>169</v>
      </c>
      <c r="CE5" s="66">
        <v>129</v>
      </c>
      <c r="CF5" s="66">
        <v>82</v>
      </c>
      <c r="CG5" s="66">
        <v>129</v>
      </c>
      <c r="CH5" s="66">
        <v>284</v>
      </c>
      <c r="CI5" s="66">
        <v>340</v>
      </c>
      <c r="CJ5" s="66">
        <v>333</v>
      </c>
      <c r="CK5" s="66">
        <v>144</v>
      </c>
      <c r="CL5" s="66">
        <v>176</v>
      </c>
      <c r="CM5" s="66">
        <v>209</v>
      </c>
      <c r="CN5" s="66">
        <v>90</v>
      </c>
      <c r="CO5" s="66">
        <v>138</v>
      </c>
      <c r="CP5" s="66">
        <v>145</v>
      </c>
      <c r="CQ5" s="66">
        <v>217</v>
      </c>
      <c r="CR5" s="66">
        <v>136</v>
      </c>
      <c r="CS5" s="66">
        <v>146</v>
      </c>
      <c r="CT5" s="66">
        <v>407</v>
      </c>
      <c r="CU5" s="66">
        <v>204</v>
      </c>
      <c r="CV5" s="66">
        <v>235</v>
      </c>
      <c r="CW5" s="66">
        <v>123</v>
      </c>
      <c r="CX5" s="66">
        <v>228</v>
      </c>
      <c r="CY5" s="66">
        <v>162</v>
      </c>
      <c r="CZ5" s="66">
        <v>231</v>
      </c>
      <c r="DA5" s="66">
        <v>247</v>
      </c>
    </row>
    <row r="6" spans="1:105" ht="15" x14ac:dyDescent="0.35">
      <c r="A6" s="5" t="s">
        <v>158</v>
      </c>
      <c r="B6" s="5" t="s">
        <v>421</v>
      </c>
      <c r="C6" s="66">
        <v>3138</v>
      </c>
      <c r="D6" s="66">
        <v>1286</v>
      </c>
      <c r="E6" s="66">
        <v>125</v>
      </c>
      <c r="F6" s="66">
        <v>0</v>
      </c>
      <c r="G6" s="66">
        <v>1767</v>
      </c>
      <c r="H6" s="66">
        <v>917</v>
      </c>
      <c r="I6" s="66">
        <v>1405</v>
      </c>
      <c r="J6" s="66">
        <v>1373</v>
      </c>
      <c r="K6" s="66">
        <v>726</v>
      </c>
      <c r="L6" s="66">
        <v>576</v>
      </c>
      <c r="M6" s="66">
        <v>667</v>
      </c>
      <c r="N6" s="66">
        <v>922</v>
      </c>
      <c r="O6" s="66">
        <v>837</v>
      </c>
      <c r="P6" s="66">
        <v>833</v>
      </c>
      <c r="Q6" s="66">
        <v>1481</v>
      </c>
      <c r="R6" s="66">
        <v>1178</v>
      </c>
      <c r="S6" s="66">
        <v>895</v>
      </c>
      <c r="T6" s="66">
        <v>905</v>
      </c>
      <c r="U6" s="66">
        <v>842</v>
      </c>
      <c r="V6" s="66">
        <v>688</v>
      </c>
      <c r="W6" s="66">
        <v>1107</v>
      </c>
      <c r="X6" s="66">
        <v>1047</v>
      </c>
      <c r="Y6" s="66">
        <v>1105</v>
      </c>
      <c r="Z6" s="66">
        <v>1248</v>
      </c>
      <c r="AA6" s="66">
        <v>953</v>
      </c>
      <c r="AB6" s="66">
        <v>545</v>
      </c>
      <c r="AC6" s="66">
        <v>1590</v>
      </c>
      <c r="AD6" s="66">
        <v>581</v>
      </c>
      <c r="AE6" s="66">
        <v>784</v>
      </c>
      <c r="AF6" s="66">
        <v>1204</v>
      </c>
      <c r="AG6" s="66">
        <v>711</v>
      </c>
      <c r="AH6" s="66">
        <v>1261</v>
      </c>
      <c r="AI6" s="66">
        <v>1124</v>
      </c>
      <c r="AJ6" s="66">
        <v>587</v>
      </c>
      <c r="AK6" s="66">
        <v>542</v>
      </c>
      <c r="AL6" s="66">
        <v>1223</v>
      </c>
      <c r="AM6" s="66">
        <v>1685</v>
      </c>
      <c r="AN6" s="66">
        <v>793</v>
      </c>
      <c r="AO6" s="66">
        <v>877</v>
      </c>
      <c r="AP6" s="66">
        <v>912</v>
      </c>
      <c r="AQ6" s="66">
        <v>1038</v>
      </c>
      <c r="AR6" s="66">
        <v>1088</v>
      </c>
      <c r="AS6" s="66">
        <v>911</v>
      </c>
      <c r="AT6" s="66">
        <v>994</v>
      </c>
      <c r="AU6" s="66">
        <v>998</v>
      </c>
      <c r="AV6" s="66">
        <v>798</v>
      </c>
      <c r="AW6" s="66">
        <v>1144</v>
      </c>
      <c r="AX6" s="66">
        <v>1362</v>
      </c>
      <c r="AY6" s="66">
        <v>1624</v>
      </c>
      <c r="AZ6" s="66">
        <v>886</v>
      </c>
      <c r="BA6" s="66">
        <v>2002</v>
      </c>
      <c r="BB6" s="66">
        <v>1648</v>
      </c>
      <c r="BC6" s="66">
        <v>1120</v>
      </c>
      <c r="BD6" s="66">
        <v>1028</v>
      </c>
      <c r="BE6" s="66">
        <v>173</v>
      </c>
      <c r="BF6" s="66">
        <v>0</v>
      </c>
      <c r="BG6" s="66">
        <v>971</v>
      </c>
      <c r="BH6" s="66">
        <v>3327</v>
      </c>
      <c r="BI6" s="66">
        <v>655</v>
      </c>
      <c r="BJ6" s="66">
        <v>540</v>
      </c>
      <c r="BK6" s="66">
        <v>586</v>
      </c>
      <c r="BL6" s="66">
        <v>516</v>
      </c>
      <c r="BM6" s="66">
        <v>365</v>
      </c>
      <c r="BN6" s="66">
        <v>401</v>
      </c>
      <c r="BO6" s="66">
        <v>380</v>
      </c>
      <c r="BP6" s="66">
        <v>446</v>
      </c>
      <c r="BQ6" s="66">
        <v>463</v>
      </c>
      <c r="BR6" s="66">
        <v>365</v>
      </c>
      <c r="BS6" s="66">
        <v>574</v>
      </c>
      <c r="BT6" s="66">
        <v>368</v>
      </c>
      <c r="BU6" s="66">
        <v>474</v>
      </c>
      <c r="BV6" s="66">
        <v>492</v>
      </c>
      <c r="BW6" s="66">
        <v>375</v>
      </c>
      <c r="BX6" s="66">
        <v>1144</v>
      </c>
      <c r="BY6" s="66">
        <v>880</v>
      </c>
      <c r="BZ6" s="66">
        <v>794</v>
      </c>
      <c r="CA6" s="66">
        <v>1023</v>
      </c>
      <c r="CB6" s="66">
        <v>629</v>
      </c>
      <c r="CC6" s="66">
        <v>372</v>
      </c>
      <c r="CD6" s="66">
        <v>390</v>
      </c>
      <c r="CE6" s="66">
        <v>236</v>
      </c>
      <c r="CF6" s="66">
        <v>258</v>
      </c>
      <c r="CG6" s="66">
        <v>263</v>
      </c>
      <c r="CH6" s="66">
        <v>1198</v>
      </c>
      <c r="CI6" s="66">
        <v>720</v>
      </c>
      <c r="CJ6" s="66">
        <v>780</v>
      </c>
      <c r="CK6" s="66">
        <v>438</v>
      </c>
      <c r="CL6" s="66">
        <v>470</v>
      </c>
      <c r="CM6" s="66">
        <v>296</v>
      </c>
      <c r="CN6" s="66">
        <v>775</v>
      </c>
      <c r="CO6" s="66">
        <v>388</v>
      </c>
      <c r="CP6" s="66">
        <v>449</v>
      </c>
      <c r="CQ6" s="66">
        <v>662</v>
      </c>
      <c r="CR6" s="66">
        <v>697</v>
      </c>
      <c r="CS6" s="66">
        <v>404</v>
      </c>
      <c r="CT6" s="66">
        <v>162</v>
      </c>
      <c r="CU6" s="66">
        <v>683</v>
      </c>
      <c r="CV6" s="66">
        <v>233</v>
      </c>
      <c r="CW6" s="66">
        <v>447</v>
      </c>
      <c r="CX6" s="66">
        <v>1705</v>
      </c>
      <c r="CY6" s="66">
        <v>594</v>
      </c>
      <c r="CZ6" s="66">
        <v>1321</v>
      </c>
      <c r="DA6" s="66">
        <v>903</v>
      </c>
    </row>
    <row r="7" spans="1:105" ht="15" x14ac:dyDescent="0.35">
      <c r="A7" s="5" t="s">
        <v>245</v>
      </c>
      <c r="B7" s="5" t="s">
        <v>422</v>
      </c>
      <c r="C7" s="66">
        <v>18</v>
      </c>
      <c r="D7" s="66">
        <v>52</v>
      </c>
      <c r="E7" s="66">
        <v>1</v>
      </c>
      <c r="F7" s="66">
        <v>0</v>
      </c>
      <c r="G7" s="66">
        <v>47</v>
      </c>
      <c r="H7" s="66">
        <v>64</v>
      </c>
      <c r="I7" s="66">
        <v>49</v>
      </c>
      <c r="J7" s="66">
        <v>186</v>
      </c>
      <c r="K7" s="66">
        <v>52</v>
      </c>
      <c r="L7" s="66">
        <v>51</v>
      </c>
      <c r="M7" s="66">
        <v>159</v>
      </c>
      <c r="N7" s="66">
        <v>79</v>
      </c>
      <c r="O7" s="66">
        <v>78</v>
      </c>
      <c r="P7" s="66">
        <v>262</v>
      </c>
      <c r="Q7" s="66">
        <v>223</v>
      </c>
      <c r="R7" s="66">
        <v>212</v>
      </c>
      <c r="S7" s="66">
        <v>149</v>
      </c>
      <c r="T7" s="66">
        <v>179</v>
      </c>
      <c r="U7" s="66">
        <v>386</v>
      </c>
      <c r="V7" s="66">
        <v>525</v>
      </c>
      <c r="W7" s="66">
        <v>418</v>
      </c>
      <c r="X7" s="66">
        <v>565</v>
      </c>
      <c r="Y7" s="66">
        <v>435</v>
      </c>
      <c r="Z7" s="66">
        <v>450</v>
      </c>
      <c r="AA7" s="66">
        <v>671</v>
      </c>
      <c r="AB7" s="66">
        <v>301</v>
      </c>
      <c r="AC7" s="66">
        <v>716</v>
      </c>
      <c r="AD7" s="66">
        <v>141</v>
      </c>
      <c r="AE7" s="66">
        <v>52</v>
      </c>
      <c r="AF7" s="66">
        <v>51</v>
      </c>
      <c r="AG7" s="66">
        <v>52</v>
      </c>
      <c r="AH7" s="66">
        <v>44</v>
      </c>
      <c r="AI7" s="66">
        <v>52</v>
      </c>
      <c r="AJ7" s="66">
        <v>34</v>
      </c>
      <c r="AK7" s="66">
        <v>57</v>
      </c>
      <c r="AL7" s="66">
        <v>188</v>
      </c>
      <c r="AM7" s="66">
        <v>351</v>
      </c>
      <c r="AN7" s="66">
        <v>9</v>
      </c>
      <c r="AO7" s="66">
        <v>8</v>
      </c>
      <c r="AP7" s="66">
        <v>6</v>
      </c>
      <c r="AQ7" s="66">
        <v>0</v>
      </c>
      <c r="AR7" s="66">
        <v>99</v>
      </c>
      <c r="AS7" s="66">
        <v>915</v>
      </c>
      <c r="AT7" s="66">
        <v>262</v>
      </c>
      <c r="AU7" s="66">
        <v>333</v>
      </c>
      <c r="AV7" s="66">
        <v>167</v>
      </c>
      <c r="AW7" s="66">
        <v>155</v>
      </c>
      <c r="AX7" s="66">
        <v>58</v>
      </c>
      <c r="AY7" s="66">
        <v>98</v>
      </c>
      <c r="AZ7" s="66">
        <v>286</v>
      </c>
      <c r="BA7" s="66">
        <v>67</v>
      </c>
      <c r="BB7" s="66">
        <v>69</v>
      </c>
      <c r="BC7" s="66">
        <v>165</v>
      </c>
      <c r="BD7" s="66">
        <v>29</v>
      </c>
      <c r="BE7" s="66">
        <v>24</v>
      </c>
      <c r="BF7" s="66">
        <v>0</v>
      </c>
      <c r="BG7" s="66">
        <v>145</v>
      </c>
      <c r="BH7" s="66">
        <v>85</v>
      </c>
      <c r="BI7" s="66">
        <v>69</v>
      </c>
      <c r="BJ7" s="66">
        <v>170</v>
      </c>
      <c r="BK7" s="66">
        <v>232</v>
      </c>
      <c r="BL7" s="66">
        <v>292</v>
      </c>
      <c r="BM7" s="66">
        <v>189</v>
      </c>
      <c r="BN7" s="66">
        <v>157</v>
      </c>
      <c r="BO7" s="66">
        <v>254</v>
      </c>
      <c r="BP7" s="66">
        <v>205</v>
      </c>
      <c r="BQ7" s="66">
        <v>606</v>
      </c>
      <c r="BR7" s="66">
        <v>321</v>
      </c>
      <c r="BS7" s="66">
        <v>376</v>
      </c>
      <c r="BT7" s="66">
        <v>452</v>
      </c>
      <c r="BU7" s="66">
        <v>542</v>
      </c>
      <c r="BV7" s="66">
        <v>648</v>
      </c>
      <c r="BW7" s="66">
        <v>176</v>
      </c>
      <c r="BX7" s="66">
        <v>980</v>
      </c>
      <c r="BY7" s="66">
        <v>754</v>
      </c>
      <c r="BZ7" s="66">
        <v>753</v>
      </c>
      <c r="CA7" s="66">
        <v>835</v>
      </c>
      <c r="CB7" s="66">
        <v>434</v>
      </c>
      <c r="CC7" s="66">
        <v>658</v>
      </c>
      <c r="CD7" s="66">
        <v>507</v>
      </c>
      <c r="CE7" s="66">
        <v>581</v>
      </c>
      <c r="CF7" s="66">
        <v>276</v>
      </c>
      <c r="CG7" s="66">
        <v>901</v>
      </c>
      <c r="CH7" s="66">
        <v>354</v>
      </c>
      <c r="CI7" s="66">
        <v>935</v>
      </c>
      <c r="CJ7" s="66">
        <v>520</v>
      </c>
      <c r="CK7" s="66">
        <v>423</v>
      </c>
      <c r="CL7" s="66">
        <v>330</v>
      </c>
      <c r="CM7" s="66">
        <v>402</v>
      </c>
      <c r="CN7" s="66">
        <v>471</v>
      </c>
      <c r="CO7" s="66">
        <v>206</v>
      </c>
      <c r="CP7" s="66">
        <v>299</v>
      </c>
      <c r="CQ7" s="66">
        <v>322</v>
      </c>
      <c r="CR7" s="66">
        <v>158</v>
      </c>
      <c r="CS7" s="66">
        <v>156</v>
      </c>
      <c r="CT7" s="66">
        <v>122</v>
      </c>
      <c r="CU7" s="66">
        <v>106</v>
      </c>
      <c r="CV7" s="66">
        <v>211</v>
      </c>
      <c r="CW7" s="66">
        <v>78</v>
      </c>
      <c r="CX7" s="66">
        <v>102</v>
      </c>
      <c r="CY7" s="66">
        <v>135</v>
      </c>
      <c r="CZ7" s="66">
        <v>218</v>
      </c>
      <c r="DA7" s="66">
        <v>449</v>
      </c>
    </row>
    <row r="8" spans="1:105" ht="15" x14ac:dyDescent="0.35">
      <c r="A8" s="5" t="s">
        <v>248</v>
      </c>
      <c r="B8" s="5" t="s">
        <v>423</v>
      </c>
      <c r="C8" s="66">
        <v>1233</v>
      </c>
      <c r="D8" s="66">
        <v>1303</v>
      </c>
      <c r="E8" s="66">
        <v>36</v>
      </c>
      <c r="F8" s="66">
        <v>0</v>
      </c>
      <c r="G8" s="66">
        <v>1152</v>
      </c>
      <c r="H8" s="66">
        <v>929</v>
      </c>
      <c r="I8" s="66">
        <v>627</v>
      </c>
      <c r="J8" s="66">
        <v>864</v>
      </c>
      <c r="K8" s="66">
        <v>478</v>
      </c>
      <c r="L8" s="66">
        <v>546</v>
      </c>
      <c r="M8" s="66">
        <v>1014</v>
      </c>
      <c r="N8" s="66">
        <v>613</v>
      </c>
      <c r="O8" s="66">
        <v>754</v>
      </c>
      <c r="P8" s="66">
        <v>799</v>
      </c>
      <c r="Q8" s="66">
        <v>553</v>
      </c>
      <c r="R8" s="66">
        <v>929</v>
      </c>
      <c r="S8" s="66">
        <v>587</v>
      </c>
      <c r="T8" s="66">
        <v>415</v>
      </c>
      <c r="U8" s="66">
        <v>1004</v>
      </c>
      <c r="V8" s="66">
        <v>644</v>
      </c>
      <c r="W8" s="66">
        <v>1538</v>
      </c>
      <c r="X8" s="66">
        <v>1207</v>
      </c>
      <c r="Y8" s="66">
        <v>981</v>
      </c>
      <c r="Z8" s="66">
        <v>618</v>
      </c>
      <c r="AA8" s="66">
        <v>759</v>
      </c>
      <c r="AB8" s="66">
        <v>724</v>
      </c>
      <c r="AC8" s="66">
        <v>966</v>
      </c>
      <c r="AD8" s="66">
        <v>696</v>
      </c>
      <c r="AE8" s="66">
        <v>761</v>
      </c>
      <c r="AF8" s="66">
        <v>1405</v>
      </c>
      <c r="AG8" s="66">
        <v>688</v>
      </c>
      <c r="AH8" s="66">
        <v>865</v>
      </c>
      <c r="AI8" s="66">
        <v>1266</v>
      </c>
      <c r="AJ8" s="66">
        <v>617</v>
      </c>
      <c r="AK8" s="66">
        <v>724</v>
      </c>
      <c r="AL8" s="66">
        <v>924</v>
      </c>
      <c r="AM8" s="66">
        <v>188</v>
      </c>
      <c r="AN8" s="66">
        <v>1</v>
      </c>
      <c r="AO8" s="66">
        <v>1885</v>
      </c>
      <c r="AP8" s="66">
        <v>1313</v>
      </c>
      <c r="AQ8" s="66">
        <v>1118</v>
      </c>
      <c r="AR8" s="66">
        <v>1514</v>
      </c>
      <c r="AS8" s="66">
        <v>1716</v>
      </c>
      <c r="AT8" s="66">
        <v>1015</v>
      </c>
      <c r="AU8" s="66">
        <v>1859</v>
      </c>
      <c r="AV8" s="66">
        <v>782</v>
      </c>
      <c r="AW8" s="66">
        <v>515</v>
      </c>
      <c r="AX8" s="66">
        <v>792</v>
      </c>
      <c r="AY8" s="66">
        <v>2104</v>
      </c>
      <c r="AZ8" s="66">
        <v>1213</v>
      </c>
      <c r="BA8" s="66">
        <v>1223</v>
      </c>
      <c r="BB8" s="66">
        <v>1744</v>
      </c>
      <c r="BC8" s="66">
        <v>836</v>
      </c>
      <c r="BD8" s="66">
        <v>427</v>
      </c>
      <c r="BE8" s="66">
        <v>170</v>
      </c>
      <c r="BF8" s="66">
        <v>0</v>
      </c>
      <c r="BG8" s="66">
        <v>1274</v>
      </c>
      <c r="BH8" s="66">
        <v>225</v>
      </c>
      <c r="BI8" s="66">
        <v>588</v>
      </c>
      <c r="BJ8" s="66">
        <v>500</v>
      </c>
      <c r="BK8" s="66">
        <v>964</v>
      </c>
      <c r="BL8" s="66">
        <v>288</v>
      </c>
      <c r="BM8" s="66">
        <v>984</v>
      </c>
      <c r="BN8" s="66">
        <v>810</v>
      </c>
      <c r="BO8" s="66">
        <v>624</v>
      </c>
      <c r="BP8" s="66">
        <v>738</v>
      </c>
      <c r="BQ8" s="66">
        <v>1546</v>
      </c>
      <c r="BR8" s="66">
        <v>1378</v>
      </c>
      <c r="BS8" s="66">
        <v>1103</v>
      </c>
      <c r="BT8" s="66">
        <v>975</v>
      </c>
      <c r="BU8" s="66">
        <v>616</v>
      </c>
      <c r="BV8" s="66">
        <v>545</v>
      </c>
      <c r="BW8" s="66">
        <v>385</v>
      </c>
      <c r="BX8" s="66">
        <v>380</v>
      </c>
      <c r="BY8" s="66">
        <v>1206</v>
      </c>
      <c r="BZ8" s="66">
        <v>977</v>
      </c>
      <c r="CA8" s="66">
        <v>930</v>
      </c>
      <c r="CB8" s="66">
        <v>273</v>
      </c>
      <c r="CC8" s="66">
        <v>883</v>
      </c>
      <c r="CD8" s="66">
        <v>954</v>
      </c>
      <c r="CE8" s="66">
        <v>841</v>
      </c>
      <c r="CF8" s="66">
        <v>814</v>
      </c>
      <c r="CG8" s="66">
        <v>1362</v>
      </c>
      <c r="CH8" s="66">
        <v>431</v>
      </c>
      <c r="CI8" s="66">
        <v>732</v>
      </c>
      <c r="CJ8" s="66">
        <v>540</v>
      </c>
      <c r="CK8" s="66">
        <v>949</v>
      </c>
      <c r="CL8" s="66">
        <v>1373</v>
      </c>
      <c r="CM8" s="66">
        <v>1356</v>
      </c>
      <c r="CN8" s="66">
        <v>1418</v>
      </c>
      <c r="CO8" s="66">
        <v>716</v>
      </c>
      <c r="CP8" s="66">
        <v>552</v>
      </c>
      <c r="CQ8" s="66">
        <v>720</v>
      </c>
      <c r="CR8" s="66">
        <v>1659</v>
      </c>
      <c r="CS8" s="66">
        <v>829</v>
      </c>
      <c r="CT8" s="66">
        <v>2501</v>
      </c>
      <c r="CU8" s="66">
        <v>647</v>
      </c>
      <c r="CV8" s="66">
        <v>1045</v>
      </c>
      <c r="CW8" s="66">
        <v>499</v>
      </c>
      <c r="CX8" s="66">
        <v>1061</v>
      </c>
      <c r="CY8" s="66">
        <v>2099</v>
      </c>
      <c r="CZ8" s="66">
        <v>1602</v>
      </c>
      <c r="DA8" s="66">
        <v>753</v>
      </c>
    </row>
    <row r="9" spans="1:105" ht="15" x14ac:dyDescent="0.35">
      <c r="A9" s="5" t="s">
        <v>250</v>
      </c>
      <c r="B9" s="5" t="s">
        <v>424</v>
      </c>
      <c r="C9" s="66">
        <v>1205</v>
      </c>
      <c r="D9" s="66">
        <v>1324</v>
      </c>
      <c r="E9" s="66">
        <v>82</v>
      </c>
      <c r="F9" s="66">
        <v>0</v>
      </c>
      <c r="G9" s="66">
        <v>168</v>
      </c>
      <c r="H9" s="66">
        <v>233</v>
      </c>
      <c r="I9" s="66">
        <v>897</v>
      </c>
      <c r="J9" s="66">
        <v>211</v>
      </c>
      <c r="K9" s="66">
        <v>274</v>
      </c>
      <c r="L9" s="66">
        <v>504</v>
      </c>
      <c r="M9" s="66">
        <v>587</v>
      </c>
      <c r="N9" s="66">
        <v>294</v>
      </c>
      <c r="O9" s="66">
        <v>735</v>
      </c>
      <c r="P9" s="66">
        <v>917</v>
      </c>
      <c r="Q9" s="66">
        <v>550</v>
      </c>
      <c r="R9" s="66">
        <v>808</v>
      </c>
      <c r="S9" s="66">
        <v>331</v>
      </c>
      <c r="T9" s="66">
        <v>736</v>
      </c>
      <c r="U9" s="66">
        <v>653</v>
      </c>
      <c r="V9" s="66">
        <v>504</v>
      </c>
      <c r="W9" s="66">
        <v>919</v>
      </c>
      <c r="X9" s="66">
        <v>342</v>
      </c>
      <c r="Y9" s="66">
        <v>899</v>
      </c>
      <c r="Z9" s="66">
        <v>275</v>
      </c>
      <c r="AA9" s="66">
        <v>560</v>
      </c>
      <c r="AB9" s="66">
        <v>309</v>
      </c>
      <c r="AC9" s="66">
        <v>256</v>
      </c>
      <c r="AD9" s="66">
        <v>569</v>
      </c>
      <c r="AE9" s="66">
        <v>252</v>
      </c>
      <c r="AF9" s="66">
        <v>692</v>
      </c>
      <c r="AG9" s="66">
        <v>858</v>
      </c>
      <c r="AH9" s="66">
        <v>400</v>
      </c>
      <c r="AI9" s="66">
        <v>1043</v>
      </c>
      <c r="AJ9" s="66">
        <v>621</v>
      </c>
      <c r="AK9" s="66">
        <v>640</v>
      </c>
      <c r="AL9" s="66">
        <v>750</v>
      </c>
      <c r="AM9" s="66">
        <v>664</v>
      </c>
      <c r="AN9" s="66">
        <v>1000</v>
      </c>
      <c r="AO9" s="66">
        <v>963</v>
      </c>
      <c r="AP9" s="66">
        <v>387</v>
      </c>
      <c r="AQ9" s="66">
        <v>619</v>
      </c>
      <c r="AR9" s="66">
        <v>1784</v>
      </c>
      <c r="AS9" s="66">
        <v>773</v>
      </c>
      <c r="AT9" s="66">
        <v>753</v>
      </c>
      <c r="AU9" s="66">
        <v>2277</v>
      </c>
      <c r="AV9" s="66">
        <v>1736</v>
      </c>
      <c r="AW9" s="66">
        <v>1031</v>
      </c>
      <c r="AX9" s="66">
        <v>992</v>
      </c>
      <c r="AY9" s="66">
        <v>5584</v>
      </c>
      <c r="AZ9" s="66">
        <v>1459</v>
      </c>
      <c r="BA9" s="66">
        <v>779</v>
      </c>
      <c r="BB9" s="66">
        <v>971</v>
      </c>
      <c r="BC9" s="66">
        <v>781</v>
      </c>
      <c r="BD9" s="66">
        <v>638</v>
      </c>
      <c r="BE9" s="66">
        <v>40</v>
      </c>
      <c r="BF9" s="66">
        <v>0</v>
      </c>
      <c r="BG9" s="66">
        <v>472</v>
      </c>
      <c r="BH9" s="66">
        <v>434</v>
      </c>
      <c r="BI9" s="66">
        <v>139</v>
      </c>
      <c r="BJ9" s="66">
        <v>336</v>
      </c>
      <c r="BK9" s="66">
        <v>937</v>
      </c>
      <c r="BL9" s="66">
        <v>160</v>
      </c>
      <c r="BM9" s="66">
        <v>588</v>
      </c>
      <c r="BN9" s="66">
        <v>328</v>
      </c>
      <c r="BO9" s="66">
        <v>213</v>
      </c>
      <c r="BP9" s="66">
        <v>642</v>
      </c>
      <c r="BQ9" s="66">
        <v>963</v>
      </c>
      <c r="BR9" s="66">
        <v>383</v>
      </c>
      <c r="BS9" s="66">
        <v>585</v>
      </c>
      <c r="BT9" s="66">
        <v>753</v>
      </c>
      <c r="BU9" s="66">
        <v>815</v>
      </c>
      <c r="BV9" s="66">
        <v>612</v>
      </c>
      <c r="BW9" s="66">
        <v>264</v>
      </c>
      <c r="BX9" s="66">
        <v>594</v>
      </c>
      <c r="BY9" s="66">
        <v>1201</v>
      </c>
      <c r="BZ9" s="66">
        <v>594</v>
      </c>
      <c r="CA9" s="66">
        <v>565</v>
      </c>
      <c r="CB9" s="66">
        <v>384</v>
      </c>
      <c r="CC9" s="66">
        <v>292</v>
      </c>
      <c r="CD9" s="66">
        <v>446</v>
      </c>
      <c r="CE9" s="66">
        <v>246</v>
      </c>
      <c r="CF9" s="66">
        <v>292</v>
      </c>
      <c r="CG9" s="66">
        <v>460</v>
      </c>
      <c r="CH9" s="66">
        <v>371</v>
      </c>
      <c r="CI9" s="66">
        <v>519</v>
      </c>
      <c r="CJ9" s="66">
        <v>470</v>
      </c>
      <c r="CK9" s="66">
        <v>3800</v>
      </c>
      <c r="CL9" s="66">
        <v>1322</v>
      </c>
      <c r="CM9" s="66">
        <v>548</v>
      </c>
      <c r="CN9" s="66">
        <v>850</v>
      </c>
      <c r="CO9" s="66">
        <v>216</v>
      </c>
      <c r="CP9" s="66">
        <v>488</v>
      </c>
      <c r="CQ9" s="66">
        <v>907</v>
      </c>
      <c r="CR9" s="66">
        <v>686</v>
      </c>
      <c r="CS9" s="66">
        <v>791</v>
      </c>
      <c r="CT9" s="66">
        <v>573</v>
      </c>
      <c r="CU9" s="66">
        <v>413</v>
      </c>
      <c r="CV9" s="66">
        <v>821</v>
      </c>
      <c r="CW9" s="66">
        <v>777</v>
      </c>
      <c r="CX9" s="66">
        <v>968</v>
      </c>
      <c r="CY9" s="66">
        <v>1740</v>
      </c>
      <c r="CZ9" s="66">
        <v>1310</v>
      </c>
      <c r="DA9" s="66">
        <v>1026</v>
      </c>
    </row>
    <row r="10" spans="1:105" ht="15" x14ac:dyDescent="0.35">
      <c r="A10" s="5" t="s">
        <v>251</v>
      </c>
      <c r="B10" s="5" t="s">
        <v>425</v>
      </c>
      <c r="C10" s="66">
        <v>661</v>
      </c>
      <c r="D10" s="66">
        <v>571</v>
      </c>
      <c r="E10" s="66">
        <v>69</v>
      </c>
      <c r="F10" s="66">
        <v>0</v>
      </c>
      <c r="G10" s="66">
        <v>0</v>
      </c>
      <c r="H10" s="66">
        <v>20</v>
      </c>
      <c r="I10" s="66">
        <v>3</v>
      </c>
      <c r="J10" s="66">
        <v>0</v>
      </c>
      <c r="K10" s="66">
        <v>0</v>
      </c>
      <c r="L10" s="66">
        <v>0</v>
      </c>
      <c r="M10" s="66">
        <v>0</v>
      </c>
      <c r="N10" s="66">
        <v>0</v>
      </c>
      <c r="O10" s="66">
        <v>3</v>
      </c>
      <c r="P10" s="66">
        <v>0</v>
      </c>
      <c r="Q10" s="66">
        <v>12</v>
      </c>
      <c r="R10" s="66">
        <v>0</v>
      </c>
      <c r="S10" s="66">
        <v>2</v>
      </c>
      <c r="T10" s="66">
        <v>0</v>
      </c>
      <c r="U10" s="66">
        <v>0</v>
      </c>
      <c r="V10" s="66">
        <v>1</v>
      </c>
      <c r="W10" s="66">
        <v>18</v>
      </c>
      <c r="X10" s="66">
        <v>46</v>
      </c>
      <c r="Y10" s="66">
        <v>6</v>
      </c>
      <c r="Z10" s="66">
        <v>6</v>
      </c>
      <c r="AA10" s="66">
        <v>0</v>
      </c>
      <c r="AB10" s="66">
        <v>4</v>
      </c>
      <c r="AC10" s="66">
        <v>3</v>
      </c>
      <c r="AD10" s="66">
        <v>28</v>
      </c>
      <c r="AE10" s="66">
        <v>305</v>
      </c>
      <c r="AF10" s="66">
        <v>44</v>
      </c>
      <c r="AG10" s="66">
        <v>14</v>
      </c>
      <c r="AH10" s="66">
        <v>2</v>
      </c>
      <c r="AI10" s="66">
        <v>50</v>
      </c>
      <c r="AJ10" s="66">
        <v>128</v>
      </c>
      <c r="AK10" s="66">
        <v>142</v>
      </c>
      <c r="AL10" s="66">
        <v>74</v>
      </c>
      <c r="AM10" s="66">
        <v>19</v>
      </c>
      <c r="AN10" s="66">
        <v>27</v>
      </c>
      <c r="AO10" s="66">
        <v>3</v>
      </c>
      <c r="AP10" s="66">
        <v>12</v>
      </c>
      <c r="AQ10" s="66">
        <v>224</v>
      </c>
      <c r="AR10" s="66">
        <v>431</v>
      </c>
      <c r="AS10" s="66">
        <v>494</v>
      </c>
      <c r="AT10" s="66">
        <v>1516</v>
      </c>
      <c r="AU10" s="66">
        <v>523</v>
      </c>
      <c r="AV10" s="66">
        <v>406</v>
      </c>
      <c r="AW10" s="66">
        <v>466</v>
      </c>
      <c r="AX10" s="66">
        <v>1543</v>
      </c>
      <c r="AY10" s="66">
        <v>1674</v>
      </c>
      <c r="AZ10" s="66">
        <v>1791</v>
      </c>
      <c r="BA10" s="66">
        <v>1755</v>
      </c>
      <c r="BB10" s="66">
        <v>1144</v>
      </c>
      <c r="BC10" s="66">
        <v>1046</v>
      </c>
      <c r="BD10" s="66">
        <v>597</v>
      </c>
      <c r="BE10" s="66">
        <v>125</v>
      </c>
      <c r="BF10" s="66">
        <v>0</v>
      </c>
      <c r="BG10" s="66">
        <v>16</v>
      </c>
      <c r="BH10" s="66">
        <v>6</v>
      </c>
      <c r="BI10" s="66">
        <v>2</v>
      </c>
      <c r="BJ10" s="66">
        <v>0</v>
      </c>
      <c r="BK10" s="66">
        <v>0</v>
      </c>
      <c r="BL10" s="66">
        <v>0</v>
      </c>
      <c r="BM10" s="66">
        <v>2</v>
      </c>
      <c r="BN10" s="66">
        <v>2</v>
      </c>
      <c r="BO10" s="66">
        <v>45</v>
      </c>
      <c r="BP10" s="66">
        <v>1</v>
      </c>
      <c r="BQ10" s="66">
        <v>0</v>
      </c>
      <c r="BR10" s="66">
        <v>42</v>
      </c>
      <c r="BS10" s="66">
        <v>3</v>
      </c>
      <c r="BT10" s="66">
        <v>0</v>
      </c>
      <c r="BU10" s="66">
        <v>0</v>
      </c>
      <c r="BV10" s="66">
        <v>1</v>
      </c>
      <c r="BW10" s="66">
        <v>0</v>
      </c>
      <c r="BX10" s="66">
        <v>4</v>
      </c>
      <c r="BY10" s="66">
        <v>13</v>
      </c>
      <c r="BZ10" s="66">
        <v>0</v>
      </c>
      <c r="CA10" s="66">
        <v>0</v>
      </c>
      <c r="CB10" s="66">
        <v>0</v>
      </c>
      <c r="CC10" s="66">
        <v>2</v>
      </c>
      <c r="CD10" s="66">
        <v>1</v>
      </c>
      <c r="CE10" s="66">
        <v>6</v>
      </c>
      <c r="CF10" s="66">
        <v>365</v>
      </c>
      <c r="CG10" s="66">
        <v>18</v>
      </c>
      <c r="CH10" s="66">
        <v>10</v>
      </c>
      <c r="CI10" s="66">
        <v>32</v>
      </c>
      <c r="CJ10" s="66">
        <v>287</v>
      </c>
      <c r="CK10" s="66">
        <v>161</v>
      </c>
      <c r="CL10" s="66">
        <v>22</v>
      </c>
      <c r="CM10" s="66">
        <v>34</v>
      </c>
      <c r="CN10" s="66">
        <v>28</v>
      </c>
      <c r="CO10" s="66">
        <v>191</v>
      </c>
      <c r="CP10" s="66">
        <v>495</v>
      </c>
      <c r="CQ10" s="66">
        <v>599</v>
      </c>
      <c r="CR10" s="66">
        <v>602</v>
      </c>
      <c r="CS10" s="66">
        <v>359</v>
      </c>
      <c r="CT10" s="66">
        <v>937</v>
      </c>
      <c r="CU10" s="66">
        <v>736</v>
      </c>
      <c r="CV10" s="66">
        <v>756</v>
      </c>
      <c r="CW10" s="66">
        <v>644</v>
      </c>
      <c r="CX10" s="66">
        <v>1745</v>
      </c>
      <c r="CY10" s="66">
        <v>1396</v>
      </c>
      <c r="CZ10" s="66">
        <v>2153</v>
      </c>
      <c r="DA10" s="66">
        <v>1691</v>
      </c>
    </row>
    <row r="11" spans="1:105" ht="15" x14ac:dyDescent="0.35">
      <c r="A11" s="5" t="s">
        <v>252</v>
      </c>
      <c r="B11" s="5" t="s">
        <v>426</v>
      </c>
      <c r="C11" s="66">
        <v>177</v>
      </c>
      <c r="D11" s="66">
        <v>171</v>
      </c>
      <c r="E11" s="66">
        <v>0</v>
      </c>
      <c r="F11" s="66">
        <v>0</v>
      </c>
      <c r="G11" s="66">
        <v>15</v>
      </c>
      <c r="H11" s="66">
        <v>23</v>
      </c>
      <c r="I11" s="66">
        <v>0</v>
      </c>
      <c r="J11" s="66">
        <v>0</v>
      </c>
      <c r="K11" s="66">
        <v>24</v>
      </c>
      <c r="L11" s="66">
        <v>0</v>
      </c>
      <c r="M11" s="66">
        <v>0</v>
      </c>
      <c r="N11" s="66">
        <v>0</v>
      </c>
      <c r="O11" s="66">
        <v>2</v>
      </c>
      <c r="P11" s="66">
        <v>0</v>
      </c>
      <c r="Q11" s="66">
        <v>0</v>
      </c>
      <c r="R11" s="66">
        <v>0</v>
      </c>
      <c r="S11" s="66">
        <v>450</v>
      </c>
      <c r="T11" s="66">
        <v>216</v>
      </c>
      <c r="U11" s="66">
        <v>91</v>
      </c>
      <c r="V11" s="66">
        <v>116</v>
      </c>
      <c r="W11" s="66">
        <v>54</v>
      </c>
      <c r="X11" s="66">
        <v>62</v>
      </c>
      <c r="Y11" s="66">
        <v>16</v>
      </c>
      <c r="Z11" s="66">
        <v>87</v>
      </c>
      <c r="AA11" s="66">
        <v>69</v>
      </c>
      <c r="AB11" s="66">
        <v>29</v>
      </c>
      <c r="AC11" s="66">
        <v>220</v>
      </c>
      <c r="AD11" s="66">
        <v>25</v>
      </c>
      <c r="AE11" s="66">
        <v>35</v>
      </c>
      <c r="AF11" s="66">
        <v>22</v>
      </c>
      <c r="AG11" s="66">
        <v>88</v>
      </c>
      <c r="AH11" s="66">
        <v>6</v>
      </c>
      <c r="AI11" s="66">
        <v>8</v>
      </c>
      <c r="AJ11" s="66">
        <v>5</v>
      </c>
      <c r="AK11" s="66">
        <v>16</v>
      </c>
      <c r="AL11" s="66">
        <v>45</v>
      </c>
      <c r="AM11" s="66">
        <v>37</v>
      </c>
      <c r="AN11" s="66">
        <v>70</v>
      </c>
      <c r="AO11" s="66">
        <v>110</v>
      </c>
      <c r="AP11" s="66">
        <v>68</v>
      </c>
      <c r="AQ11" s="66">
        <v>38</v>
      </c>
      <c r="AR11" s="66">
        <v>107</v>
      </c>
      <c r="AS11" s="66">
        <v>239</v>
      </c>
      <c r="AT11" s="66">
        <v>542</v>
      </c>
      <c r="AU11" s="66">
        <v>152</v>
      </c>
      <c r="AV11" s="66">
        <v>226</v>
      </c>
      <c r="AW11" s="66">
        <v>175</v>
      </c>
      <c r="AX11" s="66">
        <v>123</v>
      </c>
      <c r="AY11" s="66">
        <v>517</v>
      </c>
      <c r="AZ11" s="66">
        <v>303</v>
      </c>
      <c r="BA11" s="66">
        <v>343</v>
      </c>
      <c r="BB11" s="66">
        <v>848</v>
      </c>
      <c r="BC11" s="66">
        <v>337</v>
      </c>
      <c r="BD11" s="66">
        <v>589</v>
      </c>
      <c r="BE11" s="66">
        <v>60</v>
      </c>
      <c r="BF11" s="66">
        <v>0</v>
      </c>
      <c r="BG11" s="66">
        <v>860</v>
      </c>
      <c r="BH11" s="66">
        <v>175</v>
      </c>
      <c r="BI11" s="66">
        <v>163</v>
      </c>
      <c r="BJ11" s="66">
        <v>105</v>
      </c>
      <c r="BK11" s="66">
        <v>99</v>
      </c>
      <c r="BL11" s="66">
        <v>192</v>
      </c>
      <c r="BM11" s="66">
        <v>305</v>
      </c>
      <c r="BN11" s="66">
        <v>75</v>
      </c>
      <c r="BO11" s="66">
        <v>39</v>
      </c>
      <c r="BP11" s="66">
        <v>270</v>
      </c>
      <c r="BQ11" s="66">
        <v>107</v>
      </c>
      <c r="BR11" s="66">
        <v>22</v>
      </c>
      <c r="BS11" s="66">
        <v>85</v>
      </c>
      <c r="BT11" s="66">
        <v>14</v>
      </c>
      <c r="BU11" s="66">
        <v>5</v>
      </c>
      <c r="BV11" s="66">
        <v>4</v>
      </c>
      <c r="BW11" s="66">
        <v>5</v>
      </c>
      <c r="BX11" s="66">
        <v>109</v>
      </c>
      <c r="BY11" s="66">
        <v>187</v>
      </c>
      <c r="BZ11" s="66">
        <v>44</v>
      </c>
      <c r="CA11" s="66">
        <v>72</v>
      </c>
      <c r="CB11" s="66">
        <v>27</v>
      </c>
      <c r="CC11" s="66">
        <v>91</v>
      </c>
      <c r="CD11" s="66">
        <v>113</v>
      </c>
      <c r="CE11" s="66">
        <v>60</v>
      </c>
      <c r="CF11" s="66">
        <v>113</v>
      </c>
      <c r="CG11" s="66">
        <v>23</v>
      </c>
      <c r="CH11" s="66">
        <v>33</v>
      </c>
      <c r="CI11" s="66">
        <v>133</v>
      </c>
      <c r="CJ11" s="66">
        <v>650</v>
      </c>
      <c r="CK11" s="66">
        <v>87</v>
      </c>
      <c r="CL11" s="66">
        <v>135</v>
      </c>
      <c r="CM11" s="66">
        <v>62</v>
      </c>
      <c r="CN11" s="66">
        <v>110</v>
      </c>
      <c r="CO11" s="66">
        <v>210</v>
      </c>
      <c r="CP11" s="66">
        <v>71</v>
      </c>
      <c r="CQ11" s="66">
        <v>262</v>
      </c>
      <c r="CR11" s="66">
        <v>28</v>
      </c>
      <c r="CS11" s="66">
        <v>162</v>
      </c>
      <c r="CT11" s="66">
        <v>51</v>
      </c>
      <c r="CU11" s="66">
        <v>150</v>
      </c>
      <c r="CV11" s="66">
        <v>109</v>
      </c>
      <c r="CW11" s="66">
        <v>431</v>
      </c>
      <c r="CX11" s="66">
        <v>165</v>
      </c>
      <c r="CY11" s="66">
        <v>481</v>
      </c>
      <c r="CZ11" s="66">
        <v>389</v>
      </c>
      <c r="DA11" s="66">
        <v>959</v>
      </c>
    </row>
    <row r="12" spans="1:105" ht="15" x14ac:dyDescent="0.35">
      <c r="A12" s="5" t="s">
        <v>253</v>
      </c>
      <c r="B12" s="5" t="s">
        <v>427</v>
      </c>
      <c r="C12" s="66">
        <v>0</v>
      </c>
      <c r="D12" s="66">
        <v>0</v>
      </c>
      <c r="E12" s="66">
        <v>0</v>
      </c>
      <c r="F12" s="66">
        <v>0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6">
        <v>0</v>
      </c>
      <c r="N12" s="66">
        <v>0</v>
      </c>
      <c r="O12" s="66">
        <v>0</v>
      </c>
      <c r="P12" s="66">
        <v>0</v>
      </c>
      <c r="Q12" s="66">
        <v>0</v>
      </c>
      <c r="R12" s="66">
        <v>0</v>
      </c>
      <c r="S12" s="66">
        <v>0</v>
      </c>
      <c r="T12" s="66">
        <v>0</v>
      </c>
      <c r="U12" s="66">
        <v>0</v>
      </c>
      <c r="V12" s="66">
        <v>0</v>
      </c>
      <c r="W12" s="66">
        <v>0</v>
      </c>
      <c r="X12" s="66">
        <v>0</v>
      </c>
      <c r="Y12" s="66">
        <v>0</v>
      </c>
      <c r="Z12" s="66">
        <v>54</v>
      </c>
      <c r="AA12" s="66">
        <v>95</v>
      </c>
      <c r="AB12" s="66">
        <v>46</v>
      </c>
      <c r="AC12" s="66">
        <v>122</v>
      </c>
      <c r="AD12" s="66">
        <v>63</v>
      </c>
      <c r="AE12" s="66">
        <v>52</v>
      </c>
      <c r="AF12" s="66">
        <v>139</v>
      </c>
      <c r="AG12" s="66">
        <v>81</v>
      </c>
      <c r="AH12" s="66">
        <v>88</v>
      </c>
      <c r="AI12" s="66">
        <v>80</v>
      </c>
      <c r="AJ12" s="66">
        <v>63</v>
      </c>
      <c r="AK12" s="66">
        <v>41</v>
      </c>
      <c r="AL12" s="66">
        <v>36</v>
      </c>
      <c r="AM12" s="66">
        <v>55</v>
      </c>
      <c r="AN12" s="66">
        <v>24</v>
      </c>
      <c r="AO12" s="66">
        <v>56</v>
      </c>
      <c r="AP12" s="66">
        <v>33</v>
      </c>
      <c r="AQ12" s="66">
        <v>17</v>
      </c>
      <c r="AR12" s="66">
        <v>103</v>
      </c>
      <c r="AS12" s="66">
        <v>49</v>
      </c>
      <c r="AT12" s="66">
        <v>104</v>
      </c>
      <c r="AU12" s="66">
        <v>31</v>
      </c>
      <c r="AV12" s="66">
        <v>31</v>
      </c>
      <c r="AW12" s="66">
        <v>26</v>
      </c>
      <c r="AX12" s="66">
        <v>32</v>
      </c>
      <c r="AY12" s="66">
        <v>77</v>
      </c>
      <c r="AZ12" s="66">
        <v>117</v>
      </c>
      <c r="BA12" s="66">
        <v>58</v>
      </c>
      <c r="BB12" s="66">
        <v>112</v>
      </c>
      <c r="BC12" s="66">
        <v>40</v>
      </c>
      <c r="BD12" s="66">
        <v>57</v>
      </c>
      <c r="BE12" s="66">
        <v>10</v>
      </c>
      <c r="BF12" s="66">
        <v>0</v>
      </c>
      <c r="BG12" s="66">
        <v>12</v>
      </c>
      <c r="BH12" s="66">
        <v>27</v>
      </c>
      <c r="BI12" s="66">
        <v>28</v>
      </c>
      <c r="BJ12" s="66">
        <v>153</v>
      </c>
      <c r="BK12" s="66">
        <v>46</v>
      </c>
      <c r="BL12" s="66">
        <v>24</v>
      </c>
      <c r="BM12" s="66">
        <v>48</v>
      </c>
      <c r="BN12" s="66">
        <v>72</v>
      </c>
      <c r="BO12" s="66">
        <v>45</v>
      </c>
      <c r="BP12" s="66">
        <v>138</v>
      </c>
      <c r="BQ12" s="66">
        <v>25</v>
      </c>
      <c r="BR12" s="66">
        <v>59</v>
      </c>
      <c r="BS12" s="66">
        <v>48</v>
      </c>
      <c r="BT12" s="66">
        <v>60</v>
      </c>
      <c r="BU12" s="66">
        <v>96</v>
      </c>
      <c r="BV12" s="66">
        <v>54</v>
      </c>
      <c r="BW12" s="66">
        <v>47</v>
      </c>
      <c r="BX12" s="66">
        <v>160</v>
      </c>
      <c r="BY12" s="66">
        <v>213</v>
      </c>
      <c r="BZ12" s="66">
        <v>93</v>
      </c>
      <c r="CA12" s="66">
        <v>27</v>
      </c>
      <c r="CB12" s="66">
        <v>25</v>
      </c>
      <c r="CC12" s="66">
        <v>95</v>
      </c>
      <c r="CD12" s="66">
        <v>4</v>
      </c>
      <c r="CE12" s="66">
        <v>10</v>
      </c>
      <c r="CF12" s="66">
        <v>1</v>
      </c>
      <c r="CG12" s="66">
        <v>17</v>
      </c>
      <c r="CH12" s="66">
        <v>4</v>
      </c>
      <c r="CI12" s="66">
        <v>14</v>
      </c>
      <c r="CJ12" s="66">
        <v>7</v>
      </c>
      <c r="CK12" s="66">
        <v>10</v>
      </c>
      <c r="CL12" s="66">
        <v>9</v>
      </c>
      <c r="CM12" s="66">
        <v>7</v>
      </c>
      <c r="CN12" s="66">
        <v>2</v>
      </c>
      <c r="CO12" s="66">
        <v>5</v>
      </c>
      <c r="CP12" s="66">
        <v>0</v>
      </c>
      <c r="CQ12" s="66">
        <v>2</v>
      </c>
      <c r="CR12" s="66">
        <v>1</v>
      </c>
      <c r="CS12" s="66">
        <v>0</v>
      </c>
      <c r="CT12" s="66">
        <v>0</v>
      </c>
      <c r="CU12" s="66">
        <v>0</v>
      </c>
      <c r="CV12" s="66">
        <v>0</v>
      </c>
      <c r="CW12" s="66">
        <v>0</v>
      </c>
      <c r="CX12" s="66">
        <v>0</v>
      </c>
      <c r="CY12" s="66">
        <v>0</v>
      </c>
      <c r="CZ12" s="66">
        <v>0</v>
      </c>
      <c r="DA12" s="66">
        <v>0</v>
      </c>
    </row>
    <row r="13" spans="1:105" ht="15" x14ac:dyDescent="0.35">
      <c r="A13" s="5" t="s">
        <v>254</v>
      </c>
      <c r="B13" s="5" t="s">
        <v>428</v>
      </c>
      <c r="C13" s="66">
        <v>153</v>
      </c>
      <c r="D13" s="66">
        <v>643</v>
      </c>
      <c r="E13" s="66">
        <v>2</v>
      </c>
      <c r="F13" s="66">
        <v>0</v>
      </c>
      <c r="G13" s="66">
        <v>21</v>
      </c>
      <c r="H13" s="66">
        <v>70</v>
      </c>
      <c r="I13" s="66">
        <v>23</v>
      </c>
      <c r="J13" s="66">
        <v>619</v>
      </c>
      <c r="K13" s="66">
        <v>81</v>
      </c>
      <c r="L13" s="66">
        <v>66</v>
      </c>
      <c r="M13" s="66">
        <v>12</v>
      </c>
      <c r="N13" s="66">
        <v>1407</v>
      </c>
      <c r="O13" s="66">
        <v>133</v>
      </c>
      <c r="P13" s="66">
        <v>45</v>
      </c>
      <c r="Q13" s="66">
        <v>810</v>
      </c>
      <c r="R13" s="66">
        <v>97</v>
      </c>
      <c r="S13" s="66">
        <v>423</v>
      </c>
      <c r="T13" s="66">
        <v>716</v>
      </c>
      <c r="U13" s="66">
        <v>24</v>
      </c>
      <c r="V13" s="66">
        <v>378</v>
      </c>
      <c r="W13" s="66">
        <v>500</v>
      </c>
      <c r="X13" s="66">
        <v>203</v>
      </c>
      <c r="Y13" s="66">
        <v>178</v>
      </c>
      <c r="Z13" s="66">
        <v>190</v>
      </c>
      <c r="AA13" s="66">
        <v>218</v>
      </c>
      <c r="AB13" s="66">
        <v>139</v>
      </c>
      <c r="AC13" s="66">
        <v>617</v>
      </c>
      <c r="AD13" s="66">
        <v>624</v>
      </c>
      <c r="AE13" s="66">
        <v>167</v>
      </c>
      <c r="AF13" s="66">
        <v>356</v>
      </c>
      <c r="AG13" s="66">
        <v>278</v>
      </c>
      <c r="AH13" s="66">
        <v>764</v>
      </c>
      <c r="AI13" s="66">
        <v>691</v>
      </c>
      <c r="AJ13" s="66">
        <v>265</v>
      </c>
      <c r="AK13" s="66">
        <v>93</v>
      </c>
      <c r="AL13" s="66">
        <v>549</v>
      </c>
      <c r="AM13" s="66">
        <v>1025</v>
      </c>
      <c r="AN13" s="66">
        <v>880</v>
      </c>
      <c r="AO13" s="66">
        <v>133</v>
      </c>
      <c r="AP13" s="66">
        <v>262</v>
      </c>
      <c r="AQ13" s="66">
        <v>532</v>
      </c>
      <c r="AR13" s="66">
        <v>1709</v>
      </c>
      <c r="AS13" s="66">
        <v>284</v>
      </c>
      <c r="AT13" s="66">
        <v>907</v>
      </c>
      <c r="AU13" s="66">
        <v>344</v>
      </c>
      <c r="AV13" s="66">
        <v>1237</v>
      </c>
      <c r="AW13" s="66">
        <v>2581</v>
      </c>
      <c r="AX13" s="66">
        <v>924</v>
      </c>
      <c r="AY13" s="66">
        <v>4113</v>
      </c>
      <c r="AZ13" s="66">
        <v>1745</v>
      </c>
      <c r="BA13" s="66">
        <v>2190</v>
      </c>
      <c r="BB13" s="66">
        <v>661</v>
      </c>
      <c r="BC13" s="66">
        <v>1009</v>
      </c>
      <c r="BD13" s="66">
        <v>980</v>
      </c>
      <c r="BE13" s="66">
        <v>250</v>
      </c>
      <c r="BF13" s="66">
        <v>0</v>
      </c>
      <c r="BG13" s="66">
        <v>794</v>
      </c>
      <c r="BH13" s="66">
        <v>342</v>
      </c>
      <c r="BI13" s="66">
        <v>261</v>
      </c>
      <c r="BJ13" s="66">
        <v>351</v>
      </c>
      <c r="BK13" s="66">
        <v>105</v>
      </c>
      <c r="BL13" s="66">
        <v>239</v>
      </c>
      <c r="BM13" s="66">
        <v>1037</v>
      </c>
      <c r="BN13" s="66">
        <v>1312</v>
      </c>
      <c r="BO13" s="66">
        <v>365</v>
      </c>
      <c r="BP13" s="66">
        <v>779</v>
      </c>
      <c r="BQ13" s="66">
        <v>583</v>
      </c>
      <c r="BR13" s="66">
        <v>237</v>
      </c>
      <c r="BS13" s="66">
        <v>1042</v>
      </c>
      <c r="BT13" s="66">
        <v>552</v>
      </c>
      <c r="BU13" s="66">
        <v>784</v>
      </c>
      <c r="BV13" s="66">
        <v>231</v>
      </c>
      <c r="BW13" s="66">
        <v>310</v>
      </c>
      <c r="BX13" s="66">
        <v>372</v>
      </c>
      <c r="BY13" s="66">
        <v>375</v>
      </c>
      <c r="BZ13" s="66">
        <v>1298</v>
      </c>
      <c r="CA13" s="66">
        <v>4561</v>
      </c>
      <c r="CB13" s="66">
        <v>533</v>
      </c>
      <c r="CC13" s="66">
        <v>410</v>
      </c>
      <c r="CD13" s="66">
        <v>437</v>
      </c>
      <c r="CE13" s="66">
        <v>342</v>
      </c>
      <c r="CF13" s="66">
        <v>430</v>
      </c>
      <c r="CG13" s="66">
        <v>634</v>
      </c>
      <c r="CH13" s="66">
        <v>157</v>
      </c>
      <c r="CI13" s="66">
        <v>609</v>
      </c>
      <c r="CJ13" s="66">
        <v>436</v>
      </c>
      <c r="CK13" s="66">
        <v>2177</v>
      </c>
      <c r="CL13" s="66">
        <v>1732</v>
      </c>
      <c r="CM13" s="66">
        <v>517</v>
      </c>
      <c r="CN13" s="66">
        <v>826</v>
      </c>
      <c r="CO13" s="66">
        <v>954</v>
      </c>
      <c r="CP13" s="66">
        <v>516</v>
      </c>
      <c r="CQ13" s="66">
        <v>552</v>
      </c>
      <c r="CR13" s="66">
        <v>673</v>
      </c>
      <c r="CS13" s="66">
        <v>1661</v>
      </c>
      <c r="CT13" s="66">
        <v>828</v>
      </c>
      <c r="CU13" s="66">
        <v>881</v>
      </c>
      <c r="CV13" s="66">
        <v>1164</v>
      </c>
      <c r="CW13" s="66">
        <v>2739</v>
      </c>
      <c r="CX13" s="66">
        <v>1144</v>
      </c>
      <c r="CY13" s="66">
        <v>3825</v>
      </c>
      <c r="CZ13" s="66">
        <v>3129</v>
      </c>
      <c r="DA13" s="66">
        <v>2754</v>
      </c>
    </row>
    <row r="14" spans="1:105" ht="15" x14ac:dyDescent="0.35">
      <c r="A14" s="5" t="s">
        <v>255</v>
      </c>
      <c r="B14" s="5" t="s">
        <v>429</v>
      </c>
      <c r="C14" s="66">
        <v>0</v>
      </c>
      <c r="D14" s="66">
        <v>0</v>
      </c>
      <c r="E14" s="66">
        <v>0</v>
      </c>
      <c r="F14" s="66">
        <v>0</v>
      </c>
      <c r="G14" s="66">
        <v>0</v>
      </c>
      <c r="H14" s="66">
        <v>0</v>
      </c>
      <c r="I14" s="66">
        <v>0</v>
      </c>
      <c r="J14" s="66">
        <v>114</v>
      </c>
      <c r="K14" s="66">
        <v>336</v>
      </c>
      <c r="L14" s="66">
        <v>311</v>
      </c>
      <c r="M14" s="66">
        <v>720</v>
      </c>
      <c r="N14" s="66">
        <v>551</v>
      </c>
      <c r="O14" s="66">
        <v>306</v>
      </c>
      <c r="P14" s="66">
        <v>402</v>
      </c>
      <c r="Q14" s="66">
        <v>179</v>
      </c>
      <c r="R14" s="66">
        <v>467</v>
      </c>
      <c r="S14" s="66">
        <v>331</v>
      </c>
      <c r="T14" s="66">
        <v>164</v>
      </c>
      <c r="U14" s="66">
        <v>217</v>
      </c>
      <c r="V14" s="66">
        <v>248</v>
      </c>
      <c r="W14" s="66">
        <v>384</v>
      </c>
      <c r="X14" s="66">
        <v>751</v>
      </c>
      <c r="Y14" s="66">
        <v>289</v>
      </c>
      <c r="Z14" s="66">
        <v>511</v>
      </c>
      <c r="AA14" s="66">
        <v>277</v>
      </c>
      <c r="AB14" s="66">
        <v>236</v>
      </c>
      <c r="AC14" s="66">
        <v>427</v>
      </c>
      <c r="AD14" s="66">
        <v>361</v>
      </c>
      <c r="AE14" s="66">
        <v>460</v>
      </c>
      <c r="AF14" s="66">
        <v>595</v>
      </c>
      <c r="AG14" s="66">
        <v>331</v>
      </c>
      <c r="AH14" s="66">
        <v>240</v>
      </c>
      <c r="AI14" s="66">
        <v>728</v>
      </c>
      <c r="AJ14" s="66">
        <v>171</v>
      </c>
      <c r="AK14" s="66">
        <v>354</v>
      </c>
      <c r="AL14" s="66">
        <v>460</v>
      </c>
      <c r="AM14" s="66">
        <v>677</v>
      </c>
      <c r="AN14" s="66">
        <v>338</v>
      </c>
      <c r="AO14" s="66">
        <v>652</v>
      </c>
      <c r="AP14" s="66">
        <v>617</v>
      </c>
      <c r="AQ14" s="66">
        <v>305</v>
      </c>
      <c r="AR14" s="66">
        <v>354</v>
      </c>
      <c r="AS14" s="66">
        <v>518</v>
      </c>
      <c r="AT14" s="66">
        <v>258</v>
      </c>
      <c r="AU14" s="66">
        <v>917</v>
      </c>
      <c r="AV14" s="66">
        <v>144</v>
      </c>
      <c r="AW14" s="66">
        <v>135</v>
      </c>
      <c r="AX14" s="66">
        <v>345</v>
      </c>
      <c r="AY14" s="66">
        <v>657</v>
      </c>
      <c r="AZ14" s="66">
        <v>699</v>
      </c>
      <c r="BA14" s="66">
        <v>272</v>
      </c>
      <c r="BB14" s="66">
        <v>261</v>
      </c>
      <c r="BC14" s="66">
        <v>270</v>
      </c>
      <c r="BD14" s="66">
        <v>105</v>
      </c>
      <c r="BE14" s="66">
        <v>9</v>
      </c>
      <c r="BF14" s="66">
        <v>0</v>
      </c>
      <c r="BG14" s="66">
        <v>523</v>
      </c>
      <c r="BH14" s="66">
        <v>323</v>
      </c>
      <c r="BI14" s="66">
        <v>73</v>
      </c>
      <c r="BJ14" s="66">
        <v>199</v>
      </c>
      <c r="BK14" s="66">
        <v>225</v>
      </c>
      <c r="BL14" s="66">
        <v>95</v>
      </c>
      <c r="BM14" s="66">
        <v>409</v>
      </c>
      <c r="BN14" s="66">
        <v>260</v>
      </c>
      <c r="BO14" s="66">
        <v>174</v>
      </c>
      <c r="BP14" s="66">
        <v>374</v>
      </c>
      <c r="BQ14" s="66">
        <v>1083</v>
      </c>
      <c r="BR14" s="66">
        <v>586</v>
      </c>
      <c r="BS14" s="66">
        <v>675</v>
      </c>
      <c r="BT14" s="66">
        <v>115</v>
      </c>
      <c r="BU14" s="66">
        <v>119</v>
      </c>
      <c r="BV14" s="66">
        <v>155</v>
      </c>
      <c r="BW14" s="66">
        <v>282</v>
      </c>
      <c r="BX14" s="66">
        <v>154</v>
      </c>
      <c r="BY14" s="66">
        <v>401</v>
      </c>
      <c r="BZ14" s="66">
        <v>179</v>
      </c>
      <c r="CA14" s="66">
        <v>556</v>
      </c>
      <c r="CB14" s="66">
        <v>400</v>
      </c>
      <c r="CC14" s="66">
        <v>468</v>
      </c>
      <c r="CD14" s="66">
        <v>243</v>
      </c>
      <c r="CE14" s="66">
        <v>611</v>
      </c>
      <c r="CF14" s="66">
        <v>455</v>
      </c>
      <c r="CG14" s="66">
        <v>454</v>
      </c>
      <c r="CH14" s="66">
        <v>315</v>
      </c>
      <c r="CI14" s="66">
        <v>307</v>
      </c>
      <c r="CJ14" s="66">
        <v>403</v>
      </c>
      <c r="CK14" s="66">
        <v>382</v>
      </c>
      <c r="CL14" s="66">
        <v>551</v>
      </c>
      <c r="CM14" s="66">
        <v>586</v>
      </c>
      <c r="CN14" s="66">
        <v>619</v>
      </c>
      <c r="CO14" s="66">
        <v>248</v>
      </c>
      <c r="CP14" s="66">
        <v>657</v>
      </c>
      <c r="CQ14" s="66">
        <v>478</v>
      </c>
      <c r="CR14" s="66">
        <v>809</v>
      </c>
      <c r="CS14" s="66">
        <v>665</v>
      </c>
      <c r="CT14" s="66">
        <v>1647</v>
      </c>
      <c r="CU14" s="66">
        <v>237</v>
      </c>
      <c r="CV14" s="66">
        <v>334</v>
      </c>
      <c r="CW14" s="66">
        <v>639</v>
      </c>
      <c r="CX14" s="66">
        <v>307</v>
      </c>
      <c r="CY14" s="66">
        <v>416</v>
      </c>
      <c r="CZ14" s="66">
        <v>519</v>
      </c>
      <c r="DA14" s="66">
        <v>253</v>
      </c>
    </row>
    <row r="15" spans="1:105" ht="15" x14ac:dyDescent="0.35">
      <c r="A15" s="5" t="s">
        <v>256</v>
      </c>
      <c r="B15" s="5" t="s">
        <v>430</v>
      </c>
      <c r="C15" s="66">
        <v>319</v>
      </c>
      <c r="D15" s="66">
        <v>232</v>
      </c>
      <c r="E15" s="66">
        <v>4</v>
      </c>
      <c r="F15" s="66">
        <v>0</v>
      </c>
      <c r="G15" s="66">
        <v>18</v>
      </c>
      <c r="H15" s="66">
        <v>61</v>
      </c>
      <c r="I15" s="66">
        <v>64</v>
      </c>
      <c r="J15" s="66">
        <v>59</v>
      </c>
      <c r="K15" s="66">
        <v>231</v>
      </c>
      <c r="L15" s="66">
        <v>24</v>
      </c>
      <c r="M15" s="66">
        <v>73</v>
      </c>
      <c r="N15" s="66">
        <v>175</v>
      </c>
      <c r="O15" s="66">
        <v>100</v>
      </c>
      <c r="P15" s="66">
        <v>33</v>
      </c>
      <c r="Q15" s="66">
        <v>56</v>
      </c>
      <c r="R15" s="66">
        <v>75</v>
      </c>
      <c r="S15" s="66">
        <v>104</v>
      </c>
      <c r="T15" s="66">
        <v>100</v>
      </c>
      <c r="U15" s="66">
        <v>0</v>
      </c>
      <c r="V15" s="66">
        <v>8</v>
      </c>
      <c r="W15" s="66">
        <v>346</v>
      </c>
      <c r="X15" s="66">
        <v>132</v>
      </c>
      <c r="Y15" s="66">
        <v>29</v>
      </c>
      <c r="Z15" s="66">
        <v>80</v>
      </c>
      <c r="AA15" s="66">
        <v>35</v>
      </c>
      <c r="AB15" s="66">
        <v>55</v>
      </c>
      <c r="AC15" s="66">
        <v>210</v>
      </c>
      <c r="AD15" s="66">
        <v>160</v>
      </c>
      <c r="AE15" s="66">
        <v>56</v>
      </c>
      <c r="AF15" s="66">
        <v>49</v>
      </c>
      <c r="AG15" s="66">
        <v>144</v>
      </c>
      <c r="AH15" s="66">
        <v>76</v>
      </c>
      <c r="AI15" s="66">
        <v>32</v>
      </c>
      <c r="AJ15" s="66">
        <v>388</v>
      </c>
      <c r="AK15" s="66">
        <v>35</v>
      </c>
      <c r="AL15" s="66">
        <v>25</v>
      </c>
      <c r="AM15" s="66">
        <v>72</v>
      </c>
      <c r="AN15" s="66">
        <v>48</v>
      </c>
      <c r="AO15" s="66">
        <v>15</v>
      </c>
      <c r="AP15" s="66">
        <v>128</v>
      </c>
      <c r="AQ15" s="66">
        <v>28</v>
      </c>
      <c r="AR15" s="66">
        <v>173</v>
      </c>
      <c r="AS15" s="66">
        <v>40</v>
      </c>
      <c r="AT15" s="66">
        <v>638</v>
      </c>
      <c r="AU15" s="66">
        <v>401</v>
      </c>
      <c r="AV15" s="66">
        <v>310</v>
      </c>
      <c r="AW15" s="66">
        <v>182</v>
      </c>
      <c r="AX15" s="66">
        <v>13</v>
      </c>
      <c r="AY15" s="66">
        <v>928</v>
      </c>
      <c r="AZ15" s="66">
        <v>191</v>
      </c>
      <c r="BA15" s="66">
        <v>190</v>
      </c>
      <c r="BB15" s="66">
        <v>658</v>
      </c>
      <c r="BC15" s="66">
        <v>577</v>
      </c>
      <c r="BD15" s="66">
        <v>575</v>
      </c>
      <c r="BE15" s="66">
        <v>55</v>
      </c>
      <c r="BF15" s="66">
        <v>0</v>
      </c>
      <c r="BG15" s="66">
        <v>177</v>
      </c>
      <c r="BH15" s="66">
        <v>20</v>
      </c>
      <c r="BI15" s="66">
        <v>24</v>
      </c>
      <c r="BJ15" s="66">
        <v>1</v>
      </c>
      <c r="BK15" s="66">
        <v>592</v>
      </c>
      <c r="BL15" s="66">
        <v>0</v>
      </c>
      <c r="BM15" s="66">
        <v>40</v>
      </c>
      <c r="BN15" s="66">
        <v>69</v>
      </c>
      <c r="BO15" s="66">
        <v>0</v>
      </c>
      <c r="BP15" s="66">
        <v>6</v>
      </c>
      <c r="BQ15" s="66">
        <v>120</v>
      </c>
      <c r="BR15" s="66">
        <v>117</v>
      </c>
      <c r="BS15" s="66">
        <v>50</v>
      </c>
      <c r="BT15" s="66">
        <v>11</v>
      </c>
      <c r="BU15" s="66">
        <v>84</v>
      </c>
      <c r="BV15" s="66">
        <v>110</v>
      </c>
      <c r="BW15" s="66">
        <v>38</v>
      </c>
      <c r="BX15" s="66">
        <v>395</v>
      </c>
      <c r="BY15" s="66">
        <v>81</v>
      </c>
      <c r="BZ15" s="66">
        <v>36</v>
      </c>
      <c r="CA15" s="66">
        <v>0</v>
      </c>
      <c r="CB15" s="66">
        <v>504</v>
      </c>
      <c r="CC15" s="66">
        <v>18</v>
      </c>
      <c r="CD15" s="66">
        <v>865</v>
      </c>
      <c r="CE15" s="66">
        <v>131</v>
      </c>
      <c r="CF15" s="66">
        <v>236</v>
      </c>
      <c r="CG15" s="66">
        <v>90</v>
      </c>
      <c r="CH15" s="66">
        <v>100</v>
      </c>
      <c r="CI15" s="66">
        <v>254</v>
      </c>
      <c r="CJ15" s="66">
        <v>116</v>
      </c>
      <c r="CK15" s="66">
        <v>0</v>
      </c>
      <c r="CL15" s="66">
        <v>73</v>
      </c>
      <c r="CM15" s="66">
        <v>270</v>
      </c>
      <c r="CN15" s="66">
        <v>19</v>
      </c>
      <c r="CO15" s="66">
        <v>176</v>
      </c>
      <c r="CP15" s="66">
        <v>104</v>
      </c>
      <c r="CQ15" s="66">
        <v>210</v>
      </c>
      <c r="CR15" s="66">
        <v>34</v>
      </c>
      <c r="CS15" s="66">
        <v>202</v>
      </c>
      <c r="CT15" s="66">
        <v>305</v>
      </c>
      <c r="CU15" s="66">
        <v>21</v>
      </c>
      <c r="CV15" s="66">
        <v>184</v>
      </c>
      <c r="CW15" s="66">
        <v>95</v>
      </c>
      <c r="CX15" s="66">
        <v>433</v>
      </c>
      <c r="CY15" s="66">
        <v>857</v>
      </c>
      <c r="CZ15" s="66">
        <v>255</v>
      </c>
      <c r="DA15" s="66">
        <v>580</v>
      </c>
    </row>
    <row r="16" spans="1:105" ht="15" x14ac:dyDescent="0.35">
      <c r="A16" s="5" t="s">
        <v>257</v>
      </c>
      <c r="B16" s="5" t="s">
        <v>431</v>
      </c>
      <c r="C16" s="66">
        <v>324</v>
      </c>
      <c r="D16" s="66">
        <v>236</v>
      </c>
      <c r="E16" s="66">
        <v>111</v>
      </c>
      <c r="F16" s="66">
        <v>0</v>
      </c>
      <c r="G16" s="66">
        <v>314</v>
      </c>
      <c r="H16" s="66">
        <v>190</v>
      </c>
      <c r="I16" s="66">
        <v>481</v>
      </c>
      <c r="J16" s="66">
        <v>504</v>
      </c>
      <c r="K16" s="66">
        <v>324</v>
      </c>
      <c r="L16" s="66">
        <v>211</v>
      </c>
      <c r="M16" s="66">
        <v>442</v>
      </c>
      <c r="N16" s="66">
        <v>263</v>
      </c>
      <c r="O16" s="66">
        <v>404</v>
      </c>
      <c r="P16" s="66">
        <v>337</v>
      </c>
      <c r="Q16" s="66">
        <v>375</v>
      </c>
      <c r="R16" s="66">
        <v>176</v>
      </c>
      <c r="S16" s="66">
        <v>415</v>
      </c>
      <c r="T16" s="66">
        <v>296</v>
      </c>
      <c r="U16" s="66">
        <v>475</v>
      </c>
      <c r="V16" s="66">
        <v>294</v>
      </c>
      <c r="W16" s="66">
        <v>313</v>
      </c>
      <c r="X16" s="66">
        <v>711</v>
      </c>
      <c r="Y16" s="66">
        <v>516</v>
      </c>
      <c r="Z16" s="66">
        <v>251</v>
      </c>
      <c r="AA16" s="66">
        <v>662</v>
      </c>
      <c r="AB16" s="66">
        <v>297</v>
      </c>
      <c r="AC16" s="66">
        <v>309</v>
      </c>
      <c r="AD16" s="66">
        <v>459</v>
      </c>
      <c r="AE16" s="66">
        <v>511</v>
      </c>
      <c r="AF16" s="66">
        <v>536</v>
      </c>
      <c r="AG16" s="66">
        <v>211</v>
      </c>
      <c r="AH16" s="66">
        <v>570</v>
      </c>
      <c r="AI16" s="66">
        <v>486</v>
      </c>
      <c r="AJ16" s="66">
        <v>394</v>
      </c>
      <c r="AK16" s="66">
        <v>694</v>
      </c>
      <c r="AL16" s="66">
        <v>604</v>
      </c>
      <c r="AM16" s="66">
        <v>934</v>
      </c>
      <c r="AN16" s="66">
        <v>448</v>
      </c>
      <c r="AO16" s="66">
        <v>373</v>
      </c>
      <c r="AP16" s="66">
        <v>479</v>
      </c>
      <c r="AQ16" s="66">
        <v>304</v>
      </c>
      <c r="AR16" s="66">
        <v>615</v>
      </c>
      <c r="AS16" s="66">
        <v>347</v>
      </c>
      <c r="AT16" s="66">
        <v>249</v>
      </c>
      <c r="AU16" s="66">
        <v>521</v>
      </c>
      <c r="AV16" s="66">
        <v>139</v>
      </c>
      <c r="AW16" s="66">
        <v>275</v>
      </c>
      <c r="AX16" s="66">
        <v>514</v>
      </c>
      <c r="AY16" s="66">
        <v>262</v>
      </c>
      <c r="AZ16" s="66">
        <v>666</v>
      </c>
      <c r="BA16" s="66">
        <v>327</v>
      </c>
      <c r="BB16" s="66">
        <v>291</v>
      </c>
      <c r="BC16" s="66">
        <v>279</v>
      </c>
      <c r="BD16" s="66">
        <v>187</v>
      </c>
      <c r="BE16" s="66">
        <v>44</v>
      </c>
      <c r="BF16" s="66">
        <v>0</v>
      </c>
      <c r="BG16" s="66">
        <v>361</v>
      </c>
      <c r="BH16" s="66">
        <v>642</v>
      </c>
      <c r="BI16" s="66">
        <v>127</v>
      </c>
      <c r="BJ16" s="66">
        <v>166</v>
      </c>
      <c r="BK16" s="66">
        <v>417</v>
      </c>
      <c r="BL16" s="66">
        <v>254</v>
      </c>
      <c r="BM16" s="66">
        <v>291</v>
      </c>
      <c r="BN16" s="66">
        <v>369</v>
      </c>
      <c r="BO16" s="66">
        <v>173</v>
      </c>
      <c r="BP16" s="66">
        <v>148</v>
      </c>
      <c r="BQ16" s="66">
        <v>277</v>
      </c>
      <c r="BR16" s="66">
        <v>379</v>
      </c>
      <c r="BS16" s="66">
        <v>584</v>
      </c>
      <c r="BT16" s="66">
        <v>247</v>
      </c>
      <c r="BU16" s="66">
        <v>304</v>
      </c>
      <c r="BV16" s="66">
        <v>368</v>
      </c>
      <c r="BW16" s="66">
        <v>164</v>
      </c>
      <c r="BX16" s="66">
        <v>289</v>
      </c>
      <c r="BY16" s="66">
        <v>884</v>
      </c>
      <c r="BZ16" s="66">
        <v>444</v>
      </c>
      <c r="CA16" s="66">
        <v>684</v>
      </c>
      <c r="CB16" s="66">
        <v>183</v>
      </c>
      <c r="CC16" s="66">
        <v>584</v>
      </c>
      <c r="CD16" s="66">
        <v>447</v>
      </c>
      <c r="CE16" s="66">
        <v>225</v>
      </c>
      <c r="CF16" s="66">
        <v>302</v>
      </c>
      <c r="CG16" s="66">
        <v>430</v>
      </c>
      <c r="CH16" s="66">
        <v>230</v>
      </c>
      <c r="CI16" s="66">
        <v>491</v>
      </c>
      <c r="CJ16" s="66">
        <v>385</v>
      </c>
      <c r="CK16" s="66">
        <v>600</v>
      </c>
      <c r="CL16" s="66">
        <v>719</v>
      </c>
      <c r="CM16" s="66">
        <v>432</v>
      </c>
      <c r="CN16" s="66">
        <v>341</v>
      </c>
      <c r="CO16" s="66">
        <v>198</v>
      </c>
      <c r="CP16" s="66">
        <v>323</v>
      </c>
      <c r="CQ16" s="66">
        <v>319</v>
      </c>
      <c r="CR16" s="66">
        <v>480</v>
      </c>
      <c r="CS16" s="66">
        <v>266</v>
      </c>
      <c r="CT16" s="66">
        <v>292</v>
      </c>
      <c r="CU16" s="66">
        <v>422</v>
      </c>
      <c r="CV16" s="66">
        <v>276</v>
      </c>
      <c r="CW16" s="66">
        <v>314</v>
      </c>
      <c r="CX16" s="66">
        <v>323</v>
      </c>
      <c r="CY16" s="66">
        <v>456</v>
      </c>
      <c r="CZ16" s="66">
        <v>649</v>
      </c>
      <c r="DA16" s="66">
        <v>276</v>
      </c>
    </row>
    <row r="17" spans="1:105" ht="15" x14ac:dyDescent="0.35">
      <c r="A17" s="5" t="s">
        <v>258</v>
      </c>
      <c r="B17" s="5" t="s">
        <v>432</v>
      </c>
      <c r="C17" s="66">
        <v>0</v>
      </c>
      <c r="D17" s="66">
        <v>0</v>
      </c>
      <c r="E17" s="66">
        <v>0</v>
      </c>
      <c r="F17" s="66">
        <v>0</v>
      </c>
      <c r="G17" s="66">
        <v>0</v>
      </c>
      <c r="H17" s="66">
        <v>0</v>
      </c>
      <c r="I17" s="66">
        <v>0</v>
      </c>
      <c r="J17" s="66">
        <v>0</v>
      </c>
      <c r="K17" s="66">
        <v>0</v>
      </c>
      <c r="L17" s="66">
        <v>0</v>
      </c>
      <c r="M17" s="66">
        <v>0</v>
      </c>
      <c r="N17" s="66">
        <v>0</v>
      </c>
      <c r="O17" s="66">
        <v>0</v>
      </c>
      <c r="P17" s="66">
        <v>0</v>
      </c>
      <c r="Q17" s="66">
        <v>0</v>
      </c>
      <c r="R17" s="66">
        <v>0</v>
      </c>
      <c r="S17" s="66">
        <v>0</v>
      </c>
      <c r="T17" s="66">
        <v>4</v>
      </c>
      <c r="U17" s="66">
        <v>110</v>
      </c>
      <c r="V17" s="66">
        <v>80</v>
      </c>
      <c r="W17" s="66">
        <v>87</v>
      </c>
      <c r="X17" s="66">
        <v>49</v>
      </c>
      <c r="Y17" s="66">
        <v>76</v>
      </c>
      <c r="Z17" s="66">
        <v>54</v>
      </c>
      <c r="AA17" s="66">
        <v>88</v>
      </c>
      <c r="AB17" s="66">
        <v>44</v>
      </c>
      <c r="AC17" s="66">
        <v>48</v>
      </c>
      <c r="AD17" s="66">
        <v>43</v>
      </c>
      <c r="AE17" s="66">
        <v>229</v>
      </c>
      <c r="AF17" s="66">
        <v>56</v>
      </c>
      <c r="AG17" s="66">
        <v>41</v>
      </c>
      <c r="AH17" s="66">
        <v>479</v>
      </c>
      <c r="AI17" s="66">
        <v>45</v>
      </c>
      <c r="AJ17" s="66">
        <v>50</v>
      </c>
      <c r="AK17" s="66">
        <v>93</v>
      </c>
      <c r="AL17" s="66">
        <v>134</v>
      </c>
      <c r="AM17" s="66">
        <v>58</v>
      </c>
      <c r="AN17" s="66">
        <v>61</v>
      </c>
      <c r="AO17" s="66">
        <v>246</v>
      </c>
      <c r="AP17" s="66">
        <v>37</v>
      </c>
      <c r="AQ17" s="66">
        <v>68</v>
      </c>
      <c r="AR17" s="66">
        <v>26</v>
      </c>
      <c r="AS17" s="66">
        <v>87</v>
      </c>
      <c r="AT17" s="66">
        <v>49</v>
      </c>
      <c r="AU17" s="66">
        <v>477</v>
      </c>
      <c r="AV17" s="66">
        <v>48</v>
      </c>
      <c r="AW17" s="66">
        <v>56</v>
      </c>
      <c r="AX17" s="66">
        <v>76</v>
      </c>
      <c r="AY17" s="66">
        <v>516</v>
      </c>
      <c r="AZ17" s="66">
        <v>94</v>
      </c>
      <c r="BA17" s="66">
        <v>80</v>
      </c>
      <c r="BB17" s="66">
        <v>66</v>
      </c>
      <c r="BC17" s="66">
        <v>1161</v>
      </c>
      <c r="BD17" s="66">
        <v>117</v>
      </c>
      <c r="BE17" s="66">
        <v>9</v>
      </c>
      <c r="BF17" s="66">
        <v>0</v>
      </c>
      <c r="BG17" s="66">
        <v>61</v>
      </c>
      <c r="BH17" s="66">
        <v>42</v>
      </c>
      <c r="BI17" s="66">
        <v>110</v>
      </c>
      <c r="BJ17" s="66">
        <v>119</v>
      </c>
      <c r="BK17" s="66">
        <v>60</v>
      </c>
      <c r="BL17" s="66">
        <v>230</v>
      </c>
      <c r="BM17" s="66">
        <v>43</v>
      </c>
      <c r="BN17" s="66">
        <v>33</v>
      </c>
      <c r="BO17" s="66">
        <v>23</v>
      </c>
      <c r="BP17" s="66">
        <v>57</v>
      </c>
      <c r="BQ17" s="66">
        <v>58</v>
      </c>
      <c r="BR17" s="66">
        <v>348</v>
      </c>
      <c r="BS17" s="66">
        <v>46</v>
      </c>
      <c r="BT17" s="66">
        <v>26</v>
      </c>
      <c r="BU17" s="66">
        <v>45</v>
      </c>
      <c r="BV17" s="66">
        <v>125</v>
      </c>
      <c r="BW17" s="66">
        <v>35</v>
      </c>
      <c r="BX17" s="66">
        <v>47</v>
      </c>
      <c r="BY17" s="66">
        <v>41</v>
      </c>
      <c r="BZ17" s="66">
        <v>177</v>
      </c>
      <c r="CA17" s="66">
        <v>34</v>
      </c>
      <c r="CB17" s="66">
        <v>57</v>
      </c>
      <c r="CC17" s="66">
        <v>76</v>
      </c>
      <c r="CD17" s="66">
        <v>345</v>
      </c>
      <c r="CE17" s="66">
        <v>60</v>
      </c>
      <c r="CF17" s="66">
        <v>41</v>
      </c>
      <c r="CG17" s="66">
        <v>34</v>
      </c>
      <c r="CH17" s="66">
        <v>27</v>
      </c>
      <c r="CI17" s="66">
        <v>163</v>
      </c>
      <c r="CJ17" s="66">
        <v>256</v>
      </c>
      <c r="CK17" s="66">
        <v>101</v>
      </c>
      <c r="CL17" s="66">
        <v>37</v>
      </c>
      <c r="CM17" s="66">
        <v>66</v>
      </c>
      <c r="CN17" s="66">
        <v>47</v>
      </c>
      <c r="CO17" s="66">
        <v>370</v>
      </c>
      <c r="CP17" s="66">
        <v>63</v>
      </c>
      <c r="CQ17" s="66">
        <v>50</v>
      </c>
      <c r="CR17" s="66">
        <v>43</v>
      </c>
      <c r="CS17" s="66">
        <v>4</v>
      </c>
      <c r="CT17" s="66">
        <v>66</v>
      </c>
      <c r="CU17" s="66">
        <v>33</v>
      </c>
      <c r="CV17" s="66">
        <v>137</v>
      </c>
      <c r="CW17" s="66">
        <v>42</v>
      </c>
      <c r="CX17" s="66">
        <v>166</v>
      </c>
      <c r="CY17" s="66">
        <v>41</v>
      </c>
      <c r="CZ17" s="66">
        <v>48</v>
      </c>
      <c r="DA17" s="66">
        <v>83</v>
      </c>
    </row>
    <row r="18" spans="1:105" ht="15" x14ac:dyDescent="0.35">
      <c r="A18" s="5" t="s">
        <v>259</v>
      </c>
      <c r="B18" s="5" t="s">
        <v>433</v>
      </c>
      <c r="C18" s="66">
        <v>388</v>
      </c>
      <c r="D18" s="66">
        <v>271</v>
      </c>
      <c r="E18" s="66">
        <v>21</v>
      </c>
      <c r="F18" s="66">
        <v>0</v>
      </c>
      <c r="G18" s="66">
        <v>358</v>
      </c>
      <c r="H18" s="66">
        <v>246</v>
      </c>
      <c r="I18" s="66">
        <v>286</v>
      </c>
      <c r="J18" s="66">
        <v>129</v>
      </c>
      <c r="K18" s="66">
        <v>157</v>
      </c>
      <c r="L18" s="66">
        <v>177</v>
      </c>
      <c r="M18" s="66">
        <v>588</v>
      </c>
      <c r="N18" s="66">
        <v>95</v>
      </c>
      <c r="O18" s="66">
        <v>415</v>
      </c>
      <c r="P18" s="66">
        <v>169</v>
      </c>
      <c r="Q18" s="66">
        <v>323</v>
      </c>
      <c r="R18" s="66">
        <v>366</v>
      </c>
      <c r="S18" s="66">
        <v>334</v>
      </c>
      <c r="T18" s="66">
        <v>270</v>
      </c>
      <c r="U18" s="66">
        <v>285</v>
      </c>
      <c r="V18" s="66">
        <v>518</v>
      </c>
      <c r="W18" s="66">
        <v>784</v>
      </c>
      <c r="X18" s="66">
        <v>379</v>
      </c>
      <c r="Y18" s="66">
        <v>357</v>
      </c>
      <c r="Z18" s="66">
        <v>317</v>
      </c>
      <c r="AA18" s="66">
        <v>503</v>
      </c>
      <c r="AB18" s="66">
        <v>250</v>
      </c>
      <c r="AC18" s="66">
        <v>308</v>
      </c>
      <c r="AD18" s="66">
        <v>139</v>
      </c>
      <c r="AE18" s="66">
        <v>419</v>
      </c>
      <c r="AF18" s="66">
        <v>894</v>
      </c>
      <c r="AG18" s="66">
        <v>605</v>
      </c>
      <c r="AH18" s="66">
        <v>365</v>
      </c>
      <c r="AI18" s="66">
        <v>552</v>
      </c>
      <c r="AJ18" s="66">
        <v>355</v>
      </c>
      <c r="AK18" s="66">
        <v>308</v>
      </c>
      <c r="AL18" s="66">
        <v>1254</v>
      </c>
      <c r="AM18" s="66">
        <v>428</v>
      </c>
      <c r="AN18" s="66">
        <v>434</v>
      </c>
      <c r="AO18" s="66">
        <v>812</v>
      </c>
      <c r="AP18" s="66">
        <v>563</v>
      </c>
      <c r="AQ18" s="66">
        <v>217</v>
      </c>
      <c r="AR18" s="66">
        <v>374</v>
      </c>
      <c r="AS18" s="66">
        <v>132</v>
      </c>
      <c r="AT18" s="66">
        <v>451</v>
      </c>
      <c r="AU18" s="66">
        <v>598</v>
      </c>
      <c r="AV18" s="66">
        <v>184</v>
      </c>
      <c r="AW18" s="66">
        <v>165</v>
      </c>
      <c r="AX18" s="66">
        <v>209</v>
      </c>
      <c r="AY18" s="66">
        <v>1184</v>
      </c>
      <c r="AZ18" s="66">
        <v>333</v>
      </c>
      <c r="BA18" s="66">
        <v>173</v>
      </c>
      <c r="BB18" s="66">
        <v>128</v>
      </c>
      <c r="BC18" s="66">
        <v>160</v>
      </c>
      <c r="BD18" s="66">
        <v>229</v>
      </c>
      <c r="BE18" s="66">
        <v>11</v>
      </c>
      <c r="BF18" s="66">
        <v>0</v>
      </c>
      <c r="BG18" s="66">
        <v>702</v>
      </c>
      <c r="BH18" s="66">
        <v>349</v>
      </c>
      <c r="BI18" s="66">
        <v>269</v>
      </c>
      <c r="BJ18" s="66">
        <v>92</v>
      </c>
      <c r="BK18" s="66">
        <v>381</v>
      </c>
      <c r="BL18" s="66">
        <v>70</v>
      </c>
      <c r="BM18" s="66">
        <v>248</v>
      </c>
      <c r="BN18" s="66">
        <v>275</v>
      </c>
      <c r="BO18" s="66">
        <v>285</v>
      </c>
      <c r="BP18" s="66">
        <v>401</v>
      </c>
      <c r="BQ18" s="66">
        <v>1012</v>
      </c>
      <c r="BR18" s="66">
        <v>676</v>
      </c>
      <c r="BS18" s="66">
        <v>742</v>
      </c>
      <c r="BT18" s="66">
        <v>265</v>
      </c>
      <c r="BU18" s="66">
        <v>166</v>
      </c>
      <c r="BV18" s="66">
        <v>6</v>
      </c>
      <c r="BW18" s="66">
        <v>100</v>
      </c>
      <c r="BX18" s="66">
        <v>0</v>
      </c>
      <c r="BY18" s="66">
        <v>418</v>
      </c>
      <c r="BZ18" s="66">
        <v>142</v>
      </c>
      <c r="CA18" s="66">
        <v>423</v>
      </c>
      <c r="CB18" s="66">
        <v>407</v>
      </c>
      <c r="CC18" s="66">
        <v>432</v>
      </c>
      <c r="CD18" s="66">
        <v>234</v>
      </c>
      <c r="CE18" s="66">
        <v>603</v>
      </c>
      <c r="CF18" s="66">
        <v>351</v>
      </c>
      <c r="CG18" s="66">
        <v>513</v>
      </c>
      <c r="CH18" s="66">
        <v>29</v>
      </c>
      <c r="CI18" s="66">
        <v>140</v>
      </c>
      <c r="CJ18" s="66">
        <v>433</v>
      </c>
      <c r="CK18" s="66">
        <v>547</v>
      </c>
      <c r="CL18" s="66">
        <v>310</v>
      </c>
      <c r="CM18" s="66">
        <v>328</v>
      </c>
      <c r="CN18" s="66">
        <v>872</v>
      </c>
      <c r="CO18" s="66">
        <v>278</v>
      </c>
      <c r="CP18" s="66">
        <v>188</v>
      </c>
      <c r="CQ18" s="66">
        <v>288</v>
      </c>
      <c r="CR18" s="66">
        <v>576</v>
      </c>
      <c r="CS18" s="66">
        <v>204</v>
      </c>
      <c r="CT18" s="66">
        <v>1047</v>
      </c>
      <c r="CU18" s="66">
        <v>71</v>
      </c>
      <c r="CV18" s="66">
        <v>433</v>
      </c>
      <c r="CW18" s="66">
        <v>30</v>
      </c>
      <c r="CX18" s="66">
        <v>203</v>
      </c>
      <c r="CY18" s="66">
        <v>311</v>
      </c>
      <c r="CZ18" s="66">
        <v>196</v>
      </c>
      <c r="DA18" s="66">
        <v>42</v>
      </c>
    </row>
    <row r="19" spans="1:105" ht="15" x14ac:dyDescent="0.35">
      <c r="A19" s="5" t="s">
        <v>260</v>
      </c>
      <c r="B19" s="5" t="s">
        <v>434</v>
      </c>
      <c r="C19" s="66">
        <v>0</v>
      </c>
      <c r="D19" s="66">
        <v>0</v>
      </c>
      <c r="E19" s="66">
        <v>0</v>
      </c>
      <c r="F19" s="66">
        <v>0</v>
      </c>
      <c r="G19" s="66">
        <v>0</v>
      </c>
      <c r="H19" s="66">
        <v>0</v>
      </c>
      <c r="I19" s="66">
        <v>0</v>
      </c>
      <c r="J19" s="66">
        <v>0</v>
      </c>
      <c r="K19" s="66">
        <v>0</v>
      </c>
      <c r="L19" s="66">
        <v>0</v>
      </c>
      <c r="M19" s="66">
        <v>0</v>
      </c>
      <c r="N19" s="66">
        <v>0</v>
      </c>
      <c r="O19" s="66">
        <v>0</v>
      </c>
      <c r="P19" s="66">
        <v>0</v>
      </c>
      <c r="Q19" s="66">
        <v>0</v>
      </c>
      <c r="R19" s="66">
        <v>0</v>
      </c>
      <c r="S19" s="66">
        <v>0</v>
      </c>
      <c r="T19" s="66">
        <v>0</v>
      </c>
      <c r="U19" s="66">
        <v>0</v>
      </c>
      <c r="V19" s="66">
        <v>110</v>
      </c>
      <c r="W19" s="66">
        <v>218</v>
      </c>
      <c r="X19" s="66">
        <v>143</v>
      </c>
      <c r="Y19" s="66">
        <v>390</v>
      </c>
      <c r="Z19" s="66">
        <v>260</v>
      </c>
      <c r="AA19" s="66">
        <v>333</v>
      </c>
      <c r="AB19" s="66">
        <v>257</v>
      </c>
      <c r="AC19" s="66">
        <v>355</v>
      </c>
      <c r="AD19" s="66">
        <v>218</v>
      </c>
      <c r="AE19" s="66">
        <v>307</v>
      </c>
      <c r="AF19" s="66">
        <v>316</v>
      </c>
      <c r="AG19" s="66">
        <v>178</v>
      </c>
      <c r="AH19" s="66">
        <v>265</v>
      </c>
      <c r="AI19" s="66">
        <v>367</v>
      </c>
      <c r="AJ19" s="66">
        <v>335</v>
      </c>
      <c r="AK19" s="66">
        <v>404</v>
      </c>
      <c r="AL19" s="66">
        <v>240</v>
      </c>
      <c r="AM19" s="66">
        <v>455</v>
      </c>
      <c r="AN19" s="66">
        <v>362</v>
      </c>
      <c r="AO19" s="66">
        <v>87</v>
      </c>
      <c r="AP19" s="66">
        <v>0</v>
      </c>
      <c r="AQ19" s="66">
        <v>0</v>
      </c>
      <c r="AR19" s="66">
        <v>612</v>
      </c>
      <c r="AS19" s="66">
        <v>887</v>
      </c>
      <c r="AT19" s="66">
        <v>602</v>
      </c>
      <c r="AU19" s="66">
        <v>538</v>
      </c>
      <c r="AV19" s="66">
        <v>133</v>
      </c>
      <c r="AW19" s="66">
        <v>8</v>
      </c>
      <c r="AX19" s="66">
        <v>25</v>
      </c>
      <c r="AY19" s="66">
        <v>22</v>
      </c>
      <c r="AZ19" s="66">
        <v>19</v>
      </c>
      <c r="BA19" s="66">
        <v>1043</v>
      </c>
      <c r="BB19" s="66">
        <v>632</v>
      </c>
      <c r="BC19" s="66">
        <v>868</v>
      </c>
      <c r="BD19" s="66">
        <v>404</v>
      </c>
      <c r="BE19" s="66">
        <v>204</v>
      </c>
      <c r="BF19" s="66">
        <v>0</v>
      </c>
      <c r="BG19" s="66">
        <v>364</v>
      </c>
      <c r="BH19" s="66">
        <v>1574</v>
      </c>
      <c r="BI19" s="66">
        <v>405</v>
      </c>
      <c r="BJ19" s="66">
        <v>554</v>
      </c>
      <c r="BK19" s="66">
        <v>368</v>
      </c>
      <c r="BL19" s="66">
        <v>206</v>
      </c>
      <c r="BM19" s="66">
        <v>239</v>
      </c>
      <c r="BN19" s="66">
        <v>454</v>
      </c>
      <c r="BO19" s="66">
        <v>220</v>
      </c>
      <c r="BP19" s="66">
        <v>708</v>
      </c>
      <c r="BQ19" s="66">
        <v>8</v>
      </c>
      <c r="BR19" s="66">
        <v>0</v>
      </c>
      <c r="BS19" s="66">
        <v>68</v>
      </c>
      <c r="BT19" s="66">
        <v>11</v>
      </c>
      <c r="BU19" s="66">
        <v>0</v>
      </c>
      <c r="BV19" s="66">
        <v>30</v>
      </c>
      <c r="BW19" s="66">
        <v>0</v>
      </c>
      <c r="BX19" s="66">
        <v>0</v>
      </c>
      <c r="BY19" s="66">
        <v>0</v>
      </c>
      <c r="BZ19" s="66">
        <v>783</v>
      </c>
      <c r="CA19" s="66">
        <v>1205</v>
      </c>
      <c r="CB19" s="66">
        <v>421</v>
      </c>
      <c r="CC19" s="66">
        <v>366</v>
      </c>
      <c r="CD19" s="66">
        <v>261</v>
      </c>
      <c r="CE19" s="66">
        <v>154</v>
      </c>
      <c r="CF19" s="66">
        <v>236</v>
      </c>
      <c r="CG19" s="66">
        <v>336</v>
      </c>
      <c r="CH19" s="66">
        <v>315</v>
      </c>
      <c r="CI19" s="66">
        <v>302</v>
      </c>
      <c r="CJ19" s="66">
        <v>125</v>
      </c>
      <c r="CK19" s="66">
        <v>199</v>
      </c>
      <c r="CL19" s="66">
        <v>132</v>
      </c>
      <c r="CM19" s="66">
        <v>78</v>
      </c>
      <c r="CN19" s="66">
        <v>117</v>
      </c>
      <c r="CO19" s="66">
        <v>130</v>
      </c>
      <c r="CP19" s="66">
        <v>237</v>
      </c>
      <c r="CQ19" s="66">
        <v>359</v>
      </c>
      <c r="CR19" s="66">
        <v>1038</v>
      </c>
      <c r="CS19" s="66">
        <v>226</v>
      </c>
      <c r="CT19" s="66">
        <v>254</v>
      </c>
      <c r="CU19" s="66">
        <v>67</v>
      </c>
      <c r="CV19" s="66">
        <v>335</v>
      </c>
      <c r="CW19" s="66">
        <v>383</v>
      </c>
      <c r="CX19" s="66">
        <v>1042</v>
      </c>
      <c r="CY19" s="66">
        <v>305</v>
      </c>
      <c r="CZ19" s="66">
        <v>361</v>
      </c>
      <c r="DA19" s="66">
        <v>153</v>
      </c>
    </row>
    <row r="20" spans="1:105" ht="15" x14ac:dyDescent="0.35">
      <c r="A20" s="5" t="s">
        <v>261</v>
      </c>
      <c r="B20" s="5" t="s">
        <v>435</v>
      </c>
      <c r="C20" s="66">
        <v>345</v>
      </c>
      <c r="D20" s="66">
        <v>266</v>
      </c>
      <c r="E20" s="66">
        <v>3</v>
      </c>
      <c r="F20" s="66">
        <v>0</v>
      </c>
      <c r="G20" s="66">
        <v>72</v>
      </c>
      <c r="H20" s="66">
        <v>86</v>
      </c>
      <c r="I20" s="66">
        <v>91</v>
      </c>
      <c r="J20" s="66">
        <v>236</v>
      </c>
      <c r="K20" s="66">
        <v>66</v>
      </c>
      <c r="L20" s="66">
        <v>86</v>
      </c>
      <c r="M20" s="66">
        <v>62</v>
      </c>
      <c r="N20" s="66">
        <v>139</v>
      </c>
      <c r="O20" s="66">
        <v>242</v>
      </c>
      <c r="P20" s="66">
        <v>338</v>
      </c>
      <c r="Q20" s="66">
        <v>142</v>
      </c>
      <c r="R20" s="66">
        <v>321</v>
      </c>
      <c r="S20" s="66">
        <v>124</v>
      </c>
      <c r="T20" s="66">
        <v>91</v>
      </c>
      <c r="U20" s="66">
        <v>159</v>
      </c>
      <c r="V20" s="66">
        <v>257</v>
      </c>
      <c r="W20" s="66">
        <v>133</v>
      </c>
      <c r="X20" s="66">
        <v>271</v>
      </c>
      <c r="Y20" s="66">
        <v>558</v>
      </c>
      <c r="Z20" s="66">
        <v>213</v>
      </c>
      <c r="AA20" s="66">
        <v>305</v>
      </c>
      <c r="AB20" s="66">
        <v>330</v>
      </c>
      <c r="AC20" s="66">
        <v>581</v>
      </c>
      <c r="AD20" s="66">
        <v>245</v>
      </c>
      <c r="AE20" s="66">
        <v>353</v>
      </c>
      <c r="AF20" s="66">
        <v>129</v>
      </c>
      <c r="AG20" s="66">
        <v>223</v>
      </c>
      <c r="AH20" s="66">
        <v>288</v>
      </c>
      <c r="AI20" s="66">
        <v>88</v>
      </c>
      <c r="AJ20" s="66">
        <v>118</v>
      </c>
      <c r="AK20" s="66">
        <v>83</v>
      </c>
      <c r="AL20" s="66">
        <v>156</v>
      </c>
      <c r="AM20" s="66">
        <v>235</v>
      </c>
      <c r="AN20" s="66">
        <v>102</v>
      </c>
      <c r="AO20" s="66">
        <v>129</v>
      </c>
      <c r="AP20" s="66">
        <v>240</v>
      </c>
      <c r="AQ20" s="66">
        <v>83</v>
      </c>
      <c r="AR20" s="66">
        <v>452</v>
      </c>
      <c r="AS20" s="66">
        <v>620</v>
      </c>
      <c r="AT20" s="66">
        <v>541</v>
      </c>
      <c r="AU20" s="66">
        <v>479</v>
      </c>
      <c r="AV20" s="66">
        <v>284</v>
      </c>
      <c r="AW20" s="66">
        <v>429</v>
      </c>
      <c r="AX20" s="66">
        <v>1074</v>
      </c>
      <c r="AY20" s="66">
        <v>1027</v>
      </c>
      <c r="AZ20" s="66">
        <v>449</v>
      </c>
      <c r="BA20" s="66">
        <v>1539</v>
      </c>
      <c r="BB20" s="66">
        <v>241</v>
      </c>
      <c r="BC20" s="66">
        <v>524</v>
      </c>
      <c r="BD20" s="66">
        <v>542</v>
      </c>
      <c r="BE20" s="66">
        <v>130</v>
      </c>
      <c r="BF20" s="66">
        <v>0</v>
      </c>
      <c r="BG20" s="66">
        <v>396</v>
      </c>
      <c r="BH20" s="66">
        <v>156</v>
      </c>
      <c r="BI20" s="66">
        <v>338</v>
      </c>
      <c r="BJ20" s="66">
        <v>326</v>
      </c>
      <c r="BK20" s="66">
        <v>440</v>
      </c>
      <c r="BL20" s="66">
        <v>236</v>
      </c>
      <c r="BM20" s="66">
        <v>133</v>
      </c>
      <c r="BN20" s="66">
        <v>510</v>
      </c>
      <c r="BO20" s="66">
        <v>406</v>
      </c>
      <c r="BP20" s="66">
        <v>287</v>
      </c>
      <c r="BQ20" s="66">
        <v>654</v>
      </c>
      <c r="BR20" s="66">
        <v>526</v>
      </c>
      <c r="BS20" s="66">
        <v>952</v>
      </c>
      <c r="BT20" s="66">
        <v>469</v>
      </c>
      <c r="BU20" s="66">
        <v>626</v>
      </c>
      <c r="BV20" s="66">
        <v>633</v>
      </c>
      <c r="BW20" s="66">
        <v>95</v>
      </c>
      <c r="BX20" s="66">
        <v>600</v>
      </c>
      <c r="BY20" s="66">
        <v>592</v>
      </c>
      <c r="BZ20" s="66">
        <v>763</v>
      </c>
      <c r="CA20" s="66">
        <v>608</v>
      </c>
      <c r="CB20" s="66">
        <v>739</v>
      </c>
      <c r="CC20" s="66">
        <v>543</v>
      </c>
      <c r="CD20" s="66">
        <v>276</v>
      </c>
      <c r="CE20" s="66">
        <v>118</v>
      </c>
      <c r="CF20" s="66">
        <v>349</v>
      </c>
      <c r="CG20" s="66">
        <v>590</v>
      </c>
      <c r="CH20" s="66">
        <v>154</v>
      </c>
      <c r="CI20" s="66">
        <v>457</v>
      </c>
      <c r="CJ20" s="66">
        <v>236</v>
      </c>
      <c r="CK20" s="66">
        <v>824</v>
      </c>
      <c r="CL20" s="66">
        <v>308</v>
      </c>
      <c r="CM20" s="66">
        <v>312</v>
      </c>
      <c r="CN20" s="66">
        <v>456</v>
      </c>
      <c r="CO20" s="66">
        <v>493</v>
      </c>
      <c r="CP20" s="66">
        <v>230</v>
      </c>
      <c r="CQ20" s="66">
        <v>242</v>
      </c>
      <c r="CR20" s="66">
        <v>268</v>
      </c>
      <c r="CS20" s="66">
        <v>90</v>
      </c>
      <c r="CT20" s="66">
        <v>1483</v>
      </c>
      <c r="CU20" s="66">
        <v>303</v>
      </c>
      <c r="CV20" s="66">
        <v>211</v>
      </c>
      <c r="CW20" s="66">
        <v>1245</v>
      </c>
      <c r="CX20" s="66">
        <v>357</v>
      </c>
      <c r="CY20" s="66">
        <v>282</v>
      </c>
      <c r="CZ20" s="66">
        <v>449</v>
      </c>
      <c r="DA20" s="66">
        <v>369</v>
      </c>
    </row>
    <row r="21" spans="1:105" ht="15" x14ac:dyDescent="0.35">
      <c r="A21" s="5" t="s">
        <v>262</v>
      </c>
      <c r="B21" s="5" t="s">
        <v>436</v>
      </c>
      <c r="C21" s="66">
        <v>241</v>
      </c>
      <c r="D21" s="66">
        <v>392</v>
      </c>
      <c r="E21" s="66">
        <v>16</v>
      </c>
      <c r="F21" s="66">
        <v>0</v>
      </c>
      <c r="G21" s="66">
        <v>231</v>
      </c>
      <c r="H21" s="66">
        <v>270</v>
      </c>
      <c r="I21" s="66">
        <v>189</v>
      </c>
      <c r="J21" s="66">
        <v>216</v>
      </c>
      <c r="K21" s="66">
        <v>234</v>
      </c>
      <c r="L21" s="66">
        <v>107</v>
      </c>
      <c r="M21" s="66">
        <v>283</v>
      </c>
      <c r="N21" s="66">
        <v>230</v>
      </c>
      <c r="O21" s="66">
        <v>218</v>
      </c>
      <c r="P21" s="66">
        <v>337</v>
      </c>
      <c r="Q21" s="66">
        <v>366</v>
      </c>
      <c r="R21" s="66">
        <v>491</v>
      </c>
      <c r="S21" s="66">
        <v>235</v>
      </c>
      <c r="T21" s="66">
        <v>61</v>
      </c>
      <c r="U21" s="66">
        <v>353</v>
      </c>
      <c r="V21" s="66">
        <v>367</v>
      </c>
      <c r="W21" s="66">
        <v>343</v>
      </c>
      <c r="X21" s="66">
        <v>269</v>
      </c>
      <c r="Y21" s="66">
        <v>582</v>
      </c>
      <c r="Z21" s="66">
        <v>206</v>
      </c>
      <c r="AA21" s="66">
        <v>248</v>
      </c>
      <c r="AB21" s="66">
        <v>112</v>
      </c>
      <c r="AC21" s="66">
        <v>240</v>
      </c>
      <c r="AD21" s="66">
        <v>140</v>
      </c>
      <c r="AE21" s="66">
        <v>263</v>
      </c>
      <c r="AF21" s="66">
        <v>439</v>
      </c>
      <c r="AG21" s="66">
        <v>193</v>
      </c>
      <c r="AH21" s="66">
        <v>408</v>
      </c>
      <c r="AI21" s="66">
        <v>430</v>
      </c>
      <c r="AJ21" s="66">
        <v>200</v>
      </c>
      <c r="AK21" s="66">
        <v>174</v>
      </c>
      <c r="AL21" s="66">
        <v>478</v>
      </c>
      <c r="AM21" s="66">
        <v>509</v>
      </c>
      <c r="AN21" s="66">
        <v>374</v>
      </c>
      <c r="AO21" s="66">
        <v>521</v>
      </c>
      <c r="AP21" s="66">
        <v>557</v>
      </c>
      <c r="AQ21" s="66">
        <v>253</v>
      </c>
      <c r="AR21" s="66">
        <v>349</v>
      </c>
      <c r="AS21" s="66">
        <v>518</v>
      </c>
      <c r="AT21" s="66">
        <v>130</v>
      </c>
      <c r="AU21" s="66">
        <v>233</v>
      </c>
      <c r="AV21" s="66">
        <v>172</v>
      </c>
      <c r="AW21" s="66">
        <v>190</v>
      </c>
      <c r="AX21" s="66">
        <v>175</v>
      </c>
      <c r="AY21" s="66">
        <v>651</v>
      </c>
      <c r="AZ21" s="66">
        <v>382</v>
      </c>
      <c r="BA21" s="66">
        <v>426</v>
      </c>
      <c r="BB21" s="66">
        <v>270</v>
      </c>
      <c r="BC21" s="66">
        <v>229</v>
      </c>
      <c r="BD21" s="66">
        <v>174</v>
      </c>
      <c r="BE21" s="66">
        <v>62</v>
      </c>
      <c r="BF21" s="66">
        <v>0</v>
      </c>
      <c r="BG21" s="66">
        <v>226</v>
      </c>
      <c r="BH21" s="66">
        <v>391</v>
      </c>
      <c r="BI21" s="66">
        <v>80</v>
      </c>
      <c r="BJ21" s="66">
        <v>258</v>
      </c>
      <c r="BK21" s="66">
        <v>147</v>
      </c>
      <c r="BL21" s="66">
        <v>240</v>
      </c>
      <c r="BM21" s="66">
        <v>512</v>
      </c>
      <c r="BN21" s="66">
        <v>174</v>
      </c>
      <c r="BO21" s="66">
        <v>172</v>
      </c>
      <c r="BP21" s="66">
        <v>116</v>
      </c>
      <c r="BQ21" s="66">
        <v>268</v>
      </c>
      <c r="BR21" s="66">
        <v>409</v>
      </c>
      <c r="BS21" s="66">
        <v>359</v>
      </c>
      <c r="BT21" s="66">
        <v>233</v>
      </c>
      <c r="BU21" s="66">
        <v>182</v>
      </c>
      <c r="BV21" s="66">
        <v>69</v>
      </c>
      <c r="BW21" s="66">
        <v>129</v>
      </c>
      <c r="BX21" s="66">
        <v>181</v>
      </c>
      <c r="BY21" s="66">
        <v>463</v>
      </c>
      <c r="BZ21" s="66">
        <v>196</v>
      </c>
      <c r="CA21" s="66">
        <v>271</v>
      </c>
      <c r="CB21" s="66">
        <v>144</v>
      </c>
      <c r="CC21" s="66">
        <v>230</v>
      </c>
      <c r="CD21" s="66">
        <v>113</v>
      </c>
      <c r="CE21" s="66">
        <v>244</v>
      </c>
      <c r="CF21" s="66">
        <v>437</v>
      </c>
      <c r="CG21" s="66">
        <v>349</v>
      </c>
      <c r="CH21" s="66">
        <v>186</v>
      </c>
      <c r="CI21" s="66">
        <v>287</v>
      </c>
      <c r="CJ21" s="66">
        <v>231</v>
      </c>
      <c r="CK21" s="66">
        <v>392</v>
      </c>
      <c r="CL21" s="66">
        <v>307</v>
      </c>
      <c r="CM21" s="66">
        <v>415</v>
      </c>
      <c r="CN21" s="66">
        <v>356</v>
      </c>
      <c r="CO21" s="66">
        <v>312</v>
      </c>
      <c r="CP21" s="66">
        <v>275</v>
      </c>
      <c r="CQ21" s="66">
        <v>318</v>
      </c>
      <c r="CR21" s="66">
        <v>286</v>
      </c>
      <c r="CS21" s="66">
        <v>259</v>
      </c>
      <c r="CT21" s="66">
        <v>454</v>
      </c>
      <c r="CU21" s="66">
        <v>163</v>
      </c>
      <c r="CV21" s="66">
        <v>140</v>
      </c>
      <c r="CW21" s="66">
        <v>271</v>
      </c>
      <c r="CX21" s="66">
        <v>245</v>
      </c>
      <c r="CY21" s="66">
        <v>407</v>
      </c>
      <c r="CZ21" s="66">
        <v>189</v>
      </c>
      <c r="DA21" s="66">
        <v>212</v>
      </c>
    </row>
    <row r="22" spans="1:105" ht="15" x14ac:dyDescent="0.35">
      <c r="A22" s="5" t="s">
        <v>263</v>
      </c>
      <c r="B22" s="5" t="s">
        <v>437</v>
      </c>
      <c r="C22" s="66">
        <v>404</v>
      </c>
      <c r="D22" s="66">
        <v>315</v>
      </c>
      <c r="E22" s="66">
        <v>51</v>
      </c>
      <c r="F22" s="66">
        <v>0</v>
      </c>
      <c r="G22" s="66">
        <v>43</v>
      </c>
      <c r="H22" s="66">
        <v>94</v>
      </c>
      <c r="I22" s="66">
        <v>38</v>
      </c>
      <c r="J22" s="66">
        <v>84</v>
      </c>
      <c r="K22" s="66">
        <v>36</v>
      </c>
      <c r="L22" s="66">
        <v>16</v>
      </c>
      <c r="M22" s="66">
        <v>66</v>
      </c>
      <c r="N22" s="66">
        <v>22</v>
      </c>
      <c r="O22" s="66">
        <v>24</v>
      </c>
      <c r="P22" s="66">
        <v>4</v>
      </c>
      <c r="Q22" s="66">
        <v>5</v>
      </c>
      <c r="R22" s="66">
        <v>18</v>
      </c>
      <c r="S22" s="66">
        <v>12</v>
      </c>
      <c r="T22" s="66">
        <v>41</v>
      </c>
      <c r="U22" s="66">
        <v>11</v>
      </c>
      <c r="V22" s="66">
        <v>41</v>
      </c>
      <c r="W22" s="66">
        <v>1</v>
      </c>
      <c r="X22" s="66">
        <v>21</v>
      </c>
      <c r="Y22" s="66">
        <v>31</v>
      </c>
      <c r="Z22" s="66">
        <v>4</v>
      </c>
      <c r="AA22" s="66">
        <v>11</v>
      </c>
      <c r="AB22" s="66">
        <v>6</v>
      </c>
      <c r="AC22" s="66">
        <v>14</v>
      </c>
      <c r="AD22" s="66">
        <v>4</v>
      </c>
      <c r="AE22" s="66">
        <v>31</v>
      </c>
      <c r="AF22" s="66">
        <v>2</v>
      </c>
      <c r="AG22" s="66">
        <v>11</v>
      </c>
      <c r="AH22" s="66">
        <v>15</v>
      </c>
      <c r="AI22" s="66">
        <v>9</v>
      </c>
      <c r="AJ22" s="66">
        <v>98</v>
      </c>
      <c r="AK22" s="66">
        <v>40</v>
      </c>
      <c r="AL22" s="66">
        <v>24</v>
      </c>
      <c r="AM22" s="66">
        <v>59</v>
      </c>
      <c r="AN22" s="66">
        <v>49</v>
      </c>
      <c r="AO22" s="66">
        <v>19</v>
      </c>
      <c r="AP22" s="66">
        <v>89</v>
      </c>
      <c r="AQ22" s="66">
        <v>50</v>
      </c>
      <c r="AR22" s="66">
        <v>212</v>
      </c>
      <c r="AS22" s="66">
        <v>279</v>
      </c>
      <c r="AT22" s="66">
        <v>137</v>
      </c>
      <c r="AU22" s="66">
        <v>164</v>
      </c>
      <c r="AV22" s="66">
        <v>247</v>
      </c>
      <c r="AW22" s="66">
        <v>200</v>
      </c>
      <c r="AX22" s="66">
        <v>230</v>
      </c>
      <c r="AY22" s="66">
        <v>287</v>
      </c>
      <c r="AZ22" s="66">
        <v>484</v>
      </c>
      <c r="BA22" s="66">
        <v>419</v>
      </c>
      <c r="BB22" s="66">
        <v>378</v>
      </c>
      <c r="BC22" s="66">
        <v>431</v>
      </c>
      <c r="BD22" s="66">
        <v>366</v>
      </c>
      <c r="BE22" s="66">
        <v>219</v>
      </c>
      <c r="BF22" s="66">
        <v>0</v>
      </c>
      <c r="BG22" s="66">
        <v>53</v>
      </c>
      <c r="BH22" s="66">
        <v>51</v>
      </c>
      <c r="BI22" s="66">
        <v>35</v>
      </c>
      <c r="BJ22" s="66">
        <v>24</v>
      </c>
      <c r="BK22" s="66">
        <v>20</v>
      </c>
      <c r="BL22" s="66">
        <v>16</v>
      </c>
      <c r="BM22" s="66">
        <v>24</v>
      </c>
      <c r="BN22" s="66">
        <v>39</v>
      </c>
      <c r="BO22" s="66">
        <v>12</v>
      </c>
      <c r="BP22" s="66">
        <v>18</v>
      </c>
      <c r="BQ22" s="66">
        <v>12</v>
      </c>
      <c r="BR22" s="66">
        <v>5</v>
      </c>
      <c r="BS22" s="66">
        <v>7</v>
      </c>
      <c r="BT22" s="66">
        <v>6</v>
      </c>
      <c r="BU22" s="66">
        <v>13</v>
      </c>
      <c r="BV22" s="66">
        <v>7</v>
      </c>
      <c r="BW22" s="66">
        <v>24</v>
      </c>
      <c r="BX22" s="66">
        <v>29</v>
      </c>
      <c r="BY22" s="66">
        <v>14</v>
      </c>
      <c r="BZ22" s="66">
        <v>40</v>
      </c>
      <c r="CA22" s="66">
        <v>6</v>
      </c>
      <c r="CB22" s="66">
        <v>6</v>
      </c>
      <c r="CC22" s="66">
        <v>10</v>
      </c>
      <c r="CD22" s="66">
        <v>85</v>
      </c>
      <c r="CE22" s="66">
        <v>2</v>
      </c>
      <c r="CF22" s="66">
        <v>13</v>
      </c>
      <c r="CG22" s="66">
        <v>19</v>
      </c>
      <c r="CH22" s="66">
        <v>8</v>
      </c>
      <c r="CI22" s="66">
        <v>103</v>
      </c>
      <c r="CJ22" s="66">
        <v>61</v>
      </c>
      <c r="CK22" s="66">
        <v>52</v>
      </c>
      <c r="CL22" s="66">
        <v>51</v>
      </c>
      <c r="CM22" s="66">
        <v>14</v>
      </c>
      <c r="CN22" s="66">
        <v>131</v>
      </c>
      <c r="CO22" s="66">
        <v>60</v>
      </c>
      <c r="CP22" s="66">
        <v>168</v>
      </c>
      <c r="CQ22" s="66">
        <v>166</v>
      </c>
      <c r="CR22" s="66">
        <v>196</v>
      </c>
      <c r="CS22" s="66">
        <v>170</v>
      </c>
      <c r="CT22" s="66">
        <v>90</v>
      </c>
      <c r="CU22" s="66">
        <v>126</v>
      </c>
      <c r="CV22" s="66">
        <v>312</v>
      </c>
      <c r="CW22" s="66">
        <v>235</v>
      </c>
      <c r="CX22" s="66">
        <v>186</v>
      </c>
      <c r="CY22" s="66">
        <v>459</v>
      </c>
      <c r="CZ22" s="66">
        <v>549</v>
      </c>
      <c r="DA22" s="66">
        <v>150</v>
      </c>
    </row>
    <row r="23" spans="1:105" ht="15" x14ac:dyDescent="0.35">
      <c r="A23" s="5" t="s">
        <v>264</v>
      </c>
      <c r="B23" s="5" t="s">
        <v>438</v>
      </c>
      <c r="C23" s="66">
        <v>466</v>
      </c>
      <c r="D23" s="66">
        <v>497</v>
      </c>
      <c r="E23" s="66">
        <v>130</v>
      </c>
      <c r="F23" s="66">
        <v>0</v>
      </c>
      <c r="G23" s="66">
        <v>101</v>
      </c>
      <c r="H23" s="66">
        <v>231</v>
      </c>
      <c r="I23" s="66">
        <v>58</v>
      </c>
      <c r="J23" s="66">
        <v>68</v>
      </c>
      <c r="K23" s="66">
        <v>32</v>
      </c>
      <c r="L23" s="66">
        <v>23</v>
      </c>
      <c r="M23" s="66">
        <v>31</v>
      </c>
      <c r="N23" s="66">
        <v>46</v>
      </c>
      <c r="O23" s="66">
        <v>23</v>
      </c>
      <c r="P23" s="66">
        <v>24</v>
      </c>
      <c r="Q23" s="66">
        <v>28</v>
      </c>
      <c r="R23" s="66">
        <v>32</v>
      </c>
      <c r="S23" s="66">
        <v>16</v>
      </c>
      <c r="T23" s="66">
        <v>24</v>
      </c>
      <c r="U23" s="66">
        <v>2</v>
      </c>
      <c r="V23" s="66">
        <v>33</v>
      </c>
      <c r="W23" s="66">
        <v>12</v>
      </c>
      <c r="X23" s="66">
        <v>30</v>
      </c>
      <c r="Y23" s="66">
        <v>60</v>
      </c>
      <c r="Z23" s="66">
        <v>8</v>
      </c>
      <c r="AA23" s="66">
        <v>5</v>
      </c>
      <c r="AB23" s="66">
        <v>8</v>
      </c>
      <c r="AC23" s="66">
        <v>11</v>
      </c>
      <c r="AD23" s="66">
        <v>0</v>
      </c>
      <c r="AE23" s="66">
        <v>10</v>
      </c>
      <c r="AF23" s="66">
        <v>12</v>
      </c>
      <c r="AG23" s="66">
        <v>5</v>
      </c>
      <c r="AH23" s="66">
        <v>19</v>
      </c>
      <c r="AI23" s="66">
        <v>62</v>
      </c>
      <c r="AJ23" s="66">
        <v>94</v>
      </c>
      <c r="AK23" s="66">
        <v>43</v>
      </c>
      <c r="AL23" s="66">
        <v>29</v>
      </c>
      <c r="AM23" s="66">
        <v>71</v>
      </c>
      <c r="AN23" s="66">
        <v>51</v>
      </c>
      <c r="AO23" s="66">
        <v>36</v>
      </c>
      <c r="AP23" s="66">
        <v>37</v>
      </c>
      <c r="AQ23" s="66">
        <v>145</v>
      </c>
      <c r="AR23" s="66">
        <v>126</v>
      </c>
      <c r="AS23" s="66">
        <v>145</v>
      </c>
      <c r="AT23" s="66">
        <v>307</v>
      </c>
      <c r="AU23" s="66">
        <v>198</v>
      </c>
      <c r="AV23" s="66">
        <v>282</v>
      </c>
      <c r="AW23" s="66">
        <v>281</v>
      </c>
      <c r="AX23" s="66">
        <v>210</v>
      </c>
      <c r="AY23" s="66">
        <v>272</v>
      </c>
      <c r="AZ23" s="66">
        <v>264</v>
      </c>
      <c r="BA23" s="66">
        <v>478</v>
      </c>
      <c r="BB23" s="66">
        <v>436</v>
      </c>
      <c r="BC23" s="66">
        <v>579</v>
      </c>
      <c r="BD23" s="66">
        <v>151</v>
      </c>
      <c r="BE23" s="66">
        <v>220</v>
      </c>
      <c r="BF23" s="66">
        <v>0</v>
      </c>
      <c r="BG23" s="66">
        <v>1</v>
      </c>
      <c r="BH23" s="66">
        <v>0</v>
      </c>
      <c r="BI23" s="66">
        <v>0</v>
      </c>
      <c r="BJ23" s="66">
        <v>1</v>
      </c>
      <c r="BK23" s="66">
        <v>1</v>
      </c>
      <c r="BL23" s="66">
        <v>0</v>
      </c>
      <c r="BM23" s="66">
        <v>0</v>
      </c>
      <c r="BN23" s="66">
        <v>3</v>
      </c>
      <c r="BO23" s="66">
        <v>5</v>
      </c>
      <c r="BP23" s="66">
        <v>3</v>
      </c>
      <c r="BQ23" s="66">
        <v>0</v>
      </c>
      <c r="BR23" s="66">
        <v>0</v>
      </c>
      <c r="BS23" s="66">
        <v>0</v>
      </c>
      <c r="BT23" s="66">
        <v>0</v>
      </c>
      <c r="BU23" s="66">
        <v>0</v>
      </c>
      <c r="BV23" s="66">
        <v>0</v>
      </c>
      <c r="BW23" s="66">
        <v>0</v>
      </c>
      <c r="BX23" s="66">
        <v>0</v>
      </c>
      <c r="BY23" s="66">
        <v>0</v>
      </c>
      <c r="BZ23" s="66">
        <v>0</v>
      </c>
      <c r="CA23" s="66">
        <v>0</v>
      </c>
      <c r="CB23" s="66">
        <v>0</v>
      </c>
      <c r="CC23" s="66">
        <v>0</v>
      </c>
      <c r="CD23" s="66">
        <v>0</v>
      </c>
      <c r="CE23" s="66">
        <v>0</v>
      </c>
      <c r="CF23" s="66">
        <v>0</v>
      </c>
      <c r="CG23" s="66">
        <v>0</v>
      </c>
      <c r="CH23" s="66">
        <v>0</v>
      </c>
      <c r="CI23" s="66">
        <v>0</v>
      </c>
      <c r="CJ23" s="66">
        <v>0</v>
      </c>
      <c r="CK23" s="66">
        <v>0</v>
      </c>
      <c r="CL23" s="66">
        <v>0</v>
      </c>
      <c r="CM23" s="66">
        <v>3</v>
      </c>
      <c r="CN23" s="66">
        <v>71</v>
      </c>
      <c r="CO23" s="66">
        <v>46</v>
      </c>
      <c r="CP23" s="66">
        <v>163</v>
      </c>
      <c r="CQ23" s="66">
        <v>252</v>
      </c>
      <c r="CR23" s="66">
        <v>527</v>
      </c>
      <c r="CS23" s="66">
        <v>148</v>
      </c>
      <c r="CT23" s="66">
        <v>200</v>
      </c>
      <c r="CU23" s="66">
        <v>192</v>
      </c>
      <c r="CV23" s="66">
        <v>214</v>
      </c>
      <c r="CW23" s="66">
        <v>210</v>
      </c>
      <c r="CX23" s="66">
        <v>205</v>
      </c>
      <c r="CY23" s="66">
        <v>442</v>
      </c>
      <c r="CZ23" s="66">
        <v>564</v>
      </c>
      <c r="DA23" s="66">
        <v>285</v>
      </c>
    </row>
    <row r="24" spans="1:105" ht="15" x14ac:dyDescent="0.35">
      <c r="A24" s="5" t="s">
        <v>265</v>
      </c>
      <c r="B24" s="5" t="s">
        <v>439</v>
      </c>
      <c r="C24" s="66">
        <v>0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6">
        <v>0</v>
      </c>
      <c r="O24" s="66">
        <v>0</v>
      </c>
      <c r="P24" s="66">
        <v>0</v>
      </c>
      <c r="Q24" s="66">
        <v>0</v>
      </c>
      <c r="R24" s="66">
        <v>0</v>
      </c>
      <c r="S24" s="66">
        <v>0</v>
      </c>
      <c r="T24" s="66">
        <v>0</v>
      </c>
      <c r="U24" s="66">
        <v>0</v>
      </c>
      <c r="V24" s="66">
        <v>75</v>
      </c>
      <c r="W24" s="66">
        <v>103</v>
      </c>
      <c r="X24" s="66">
        <v>95</v>
      </c>
      <c r="Y24" s="66">
        <v>211</v>
      </c>
      <c r="Z24" s="66">
        <v>164</v>
      </c>
      <c r="AA24" s="66">
        <v>227</v>
      </c>
      <c r="AB24" s="66">
        <v>129</v>
      </c>
      <c r="AC24" s="66">
        <v>150</v>
      </c>
      <c r="AD24" s="66">
        <v>121</v>
      </c>
      <c r="AE24" s="66">
        <v>147</v>
      </c>
      <c r="AF24" s="66">
        <v>222</v>
      </c>
      <c r="AG24" s="66">
        <v>124</v>
      </c>
      <c r="AH24" s="66">
        <v>130</v>
      </c>
      <c r="AI24" s="66">
        <v>359</v>
      </c>
      <c r="AJ24" s="66">
        <v>156</v>
      </c>
      <c r="AK24" s="66">
        <v>220</v>
      </c>
      <c r="AL24" s="66">
        <v>149</v>
      </c>
      <c r="AM24" s="66">
        <v>161</v>
      </c>
      <c r="AN24" s="66">
        <v>236</v>
      </c>
      <c r="AO24" s="66">
        <v>231</v>
      </c>
      <c r="AP24" s="66">
        <v>107</v>
      </c>
      <c r="AQ24" s="66">
        <v>345</v>
      </c>
      <c r="AR24" s="66">
        <v>482</v>
      </c>
      <c r="AS24" s="66">
        <v>657</v>
      </c>
      <c r="AT24" s="66">
        <v>394</v>
      </c>
      <c r="AU24" s="66">
        <v>356</v>
      </c>
      <c r="AV24" s="66">
        <v>212</v>
      </c>
      <c r="AW24" s="66">
        <v>220</v>
      </c>
      <c r="AX24" s="66">
        <v>455</v>
      </c>
      <c r="AY24" s="66">
        <v>306</v>
      </c>
      <c r="AZ24" s="66">
        <v>85</v>
      </c>
      <c r="BA24" s="66">
        <v>424</v>
      </c>
      <c r="BB24" s="66">
        <v>276</v>
      </c>
      <c r="BC24" s="66">
        <v>625</v>
      </c>
      <c r="BD24" s="66">
        <v>230</v>
      </c>
      <c r="BE24" s="66">
        <v>55</v>
      </c>
      <c r="BF24" s="66">
        <v>0</v>
      </c>
      <c r="BG24" s="66">
        <v>139</v>
      </c>
      <c r="BH24" s="66">
        <v>1368</v>
      </c>
      <c r="BI24" s="66">
        <v>75</v>
      </c>
      <c r="BJ24" s="66">
        <v>175</v>
      </c>
      <c r="BK24" s="66">
        <v>147</v>
      </c>
      <c r="BL24" s="66">
        <v>188</v>
      </c>
      <c r="BM24" s="66">
        <v>148</v>
      </c>
      <c r="BN24" s="66">
        <v>234</v>
      </c>
      <c r="BO24" s="66">
        <v>49</v>
      </c>
      <c r="BP24" s="66">
        <v>47</v>
      </c>
      <c r="BQ24" s="66">
        <v>0</v>
      </c>
      <c r="BR24" s="66">
        <v>0</v>
      </c>
      <c r="BS24" s="66">
        <v>0</v>
      </c>
      <c r="BT24" s="66">
        <v>0</v>
      </c>
      <c r="BU24" s="66">
        <v>1</v>
      </c>
      <c r="BV24" s="66">
        <v>0</v>
      </c>
      <c r="BW24" s="66">
        <v>0</v>
      </c>
      <c r="BX24" s="66">
        <v>0</v>
      </c>
      <c r="BY24" s="66">
        <v>0</v>
      </c>
      <c r="BZ24" s="66">
        <v>327</v>
      </c>
      <c r="CA24" s="66">
        <v>895</v>
      </c>
      <c r="CB24" s="66">
        <v>225</v>
      </c>
      <c r="CC24" s="66">
        <v>177</v>
      </c>
      <c r="CD24" s="66">
        <v>56</v>
      </c>
      <c r="CE24" s="66">
        <v>64</v>
      </c>
      <c r="CF24" s="66">
        <v>49</v>
      </c>
      <c r="CG24" s="66">
        <v>142</v>
      </c>
      <c r="CH24" s="66">
        <v>173</v>
      </c>
      <c r="CI24" s="66">
        <v>63</v>
      </c>
      <c r="CJ24" s="66">
        <v>185</v>
      </c>
      <c r="CK24" s="66">
        <v>65</v>
      </c>
      <c r="CL24" s="66">
        <v>88</v>
      </c>
      <c r="CM24" s="66">
        <v>36</v>
      </c>
      <c r="CN24" s="66">
        <v>68</v>
      </c>
      <c r="CO24" s="66">
        <v>62</v>
      </c>
      <c r="CP24" s="66">
        <v>64</v>
      </c>
      <c r="CQ24" s="66">
        <v>167</v>
      </c>
      <c r="CR24" s="66">
        <v>781</v>
      </c>
      <c r="CS24" s="66">
        <v>101</v>
      </c>
      <c r="CT24" s="66">
        <v>206</v>
      </c>
      <c r="CU24" s="66">
        <v>93</v>
      </c>
      <c r="CV24" s="66">
        <v>80</v>
      </c>
      <c r="CW24" s="66">
        <v>162</v>
      </c>
      <c r="CX24" s="66">
        <v>501</v>
      </c>
      <c r="CY24" s="66">
        <v>170</v>
      </c>
      <c r="CZ24" s="66">
        <v>101</v>
      </c>
      <c r="DA24" s="66">
        <v>155</v>
      </c>
    </row>
    <row r="25" spans="1:105" ht="15" x14ac:dyDescent="0.35">
      <c r="A25" s="5" t="s">
        <v>266</v>
      </c>
      <c r="B25" s="5" t="s">
        <v>440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310</v>
      </c>
      <c r="K25" s="66">
        <v>224</v>
      </c>
      <c r="L25" s="66">
        <v>134</v>
      </c>
      <c r="M25" s="66">
        <v>624</v>
      </c>
      <c r="N25" s="66">
        <v>419</v>
      </c>
      <c r="O25" s="66">
        <v>223</v>
      </c>
      <c r="P25" s="66">
        <v>219</v>
      </c>
      <c r="Q25" s="66">
        <v>346</v>
      </c>
      <c r="R25" s="66">
        <v>362</v>
      </c>
      <c r="S25" s="66">
        <v>102</v>
      </c>
      <c r="T25" s="66">
        <v>384</v>
      </c>
      <c r="U25" s="66">
        <v>286</v>
      </c>
      <c r="V25" s="66">
        <v>183</v>
      </c>
      <c r="W25" s="66">
        <v>303</v>
      </c>
      <c r="X25" s="66">
        <v>307</v>
      </c>
      <c r="Y25" s="66">
        <v>318</v>
      </c>
      <c r="Z25" s="66">
        <v>98</v>
      </c>
      <c r="AA25" s="66">
        <v>355</v>
      </c>
      <c r="AB25" s="66">
        <v>88</v>
      </c>
      <c r="AC25" s="66">
        <v>247</v>
      </c>
      <c r="AD25" s="66">
        <v>131</v>
      </c>
      <c r="AE25" s="66">
        <v>250</v>
      </c>
      <c r="AF25" s="66">
        <v>395</v>
      </c>
      <c r="AG25" s="66">
        <v>711</v>
      </c>
      <c r="AH25" s="66">
        <v>356</v>
      </c>
      <c r="AI25" s="66">
        <v>446</v>
      </c>
      <c r="AJ25" s="66">
        <v>156</v>
      </c>
      <c r="AK25" s="66">
        <v>387</v>
      </c>
      <c r="AL25" s="66">
        <v>261</v>
      </c>
      <c r="AM25" s="66">
        <v>356</v>
      </c>
      <c r="AN25" s="66">
        <v>266</v>
      </c>
      <c r="AO25" s="66">
        <v>433</v>
      </c>
      <c r="AP25" s="66">
        <v>508</v>
      </c>
      <c r="AQ25" s="66">
        <v>241</v>
      </c>
      <c r="AR25" s="66">
        <v>542</v>
      </c>
      <c r="AS25" s="66">
        <v>369</v>
      </c>
      <c r="AT25" s="66">
        <v>196</v>
      </c>
      <c r="AU25" s="66">
        <v>628</v>
      </c>
      <c r="AV25" s="66">
        <v>364</v>
      </c>
      <c r="AW25" s="66">
        <v>181</v>
      </c>
      <c r="AX25" s="66">
        <v>364</v>
      </c>
      <c r="AY25" s="66">
        <v>688</v>
      </c>
      <c r="AZ25" s="66">
        <v>505</v>
      </c>
      <c r="BA25" s="66">
        <v>265</v>
      </c>
      <c r="BB25" s="66">
        <v>257</v>
      </c>
      <c r="BC25" s="66">
        <v>281</v>
      </c>
      <c r="BD25" s="66">
        <v>243</v>
      </c>
      <c r="BE25" s="66">
        <v>57</v>
      </c>
      <c r="BF25" s="66">
        <v>0</v>
      </c>
      <c r="BG25" s="66">
        <v>107</v>
      </c>
      <c r="BH25" s="66">
        <v>167</v>
      </c>
      <c r="BI25" s="66">
        <v>106</v>
      </c>
      <c r="BJ25" s="66">
        <v>136</v>
      </c>
      <c r="BK25" s="66">
        <v>114</v>
      </c>
      <c r="BL25" s="66">
        <v>113</v>
      </c>
      <c r="BM25" s="66">
        <v>182</v>
      </c>
      <c r="BN25" s="66">
        <v>198</v>
      </c>
      <c r="BO25" s="66">
        <v>134</v>
      </c>
      <c r="BP25" s="66">
        <v>135</v>
      </c>
      <c r="BQ25" s="66">
        <v>244</v>
      </c>
      <c r="BR25" s="66">
        <v>345</v>
      </c>
      <c r="BS25" s="66">
        <v>201</v>
      </c>
      <c r="BT25" s="66">
        <v>53</v>
      </c>
      <c r="BU25" s="66">
        <v>155</v>
      </c>
      <c r="BV25" s="66">
        <v>235</v>
      </c>
      <c r="BW25" s="66">
        <v>161</v>
      </c>
      <c r="BX25" s="66">
        <v>169</v>
      </c>
      <c r="BY25" s="66">
        <v>525</v>
      </c>
      <c r="BZ25" s="66">
        <v>403</v>
      </c>
      <c r="CA25" s="66">
        <v>338</v>
      </c>
      <c r="CB25" s="66">
        <v>84</v>
      </c>
      <c r="CC25" s="66">
        <v>188</v>
      </c>
      <c r="CD25" s="66">
        <v>144</v>
      </c>
      <c r="CE25" s="66">
        <v>219</v>
      </c>
      <c r="CF25" s="66">
        <v>289</v>
      </c>
      <c r="CG25" s="66">
        <v>198</v>
      </c>
      <c r="CH25" s="66">
        <v>93</v>
      </c>
      <c r="CI25" s="66">
        <v>315</v>
      </c>
      <c r="CJ25" s="66">
        <v>117</v>
      </c>
      <c r="CK25" s="66">
        <v>410</v>
      </c>
      <c r="CL25" s="66">
        <v>239</v>
      </c>
      <c r="CM25" s="66">
        <v>363</v>
      </c>
      <c r="CN25" s="66">
        <v>312</v>
      </c>
      <c r="CO25" s="66">
        <v>154</v>
      </c>
      <c r="CP25" s="66">
        <v>284</v>
      </c>
      <c r="CQ25" s="66">
        <v>335</v>
      </c>
      <c r="CR25" s="66">
        <v>542</v>
      </c>
      <c r="CS25" s="66">
        <v>489</v>
      </c>
      <c r="CT25" s="66">
        <v>79</v>
      </c>
      <c r="CU25" s="66">
        <v>249</v>
      </c>
      <c r="CV25" s="66">
        <v>90</v>
      </c>
      <c r="CW25" s="66">
        <v>156</v>
      </c>
      <c r="CX25" s="66">
        <v>90</v>
      </c>
      <c r="CY25" s="66">
        <v>527</v>
      </c>
      <c r="CZ25" s="66">
        <v>278</v>
      </c>
      <c r="DA25" s="66">
        <v>355</v>
      </c>
    </row>
    <row r="26" spans="1:105" ht="15" x14ac:dyDescent="0.35">
      <c r="A26" s="5" t="s">
        <v>267</v>
      </c>
      <c r="B26" s="5" t="s">
        <v>441</v>
      </c>
      <c r="C26" s="66">
        <v>348</v>
      </c>
      <c r="D26" s="66">
        <v>281</v>
      </c>
      <c r="E26" s="66">
        <v>35</v>
      </c>
      <c r="F26" s="66">
        <v>0</v>
      </c>
      <c r="G26" s="66">
        <v>30</v>
      </c>
      <c r="H26" s="66">
        <v>76</v>
      </c>
      <c r="I26" s="66">
        <v>128</v>
      </c>
      <c r="J26" s="66">
        <v>319</v>
      </c>
      <c r="K26" s="66">
        <v>196</v>
      </c>
      <c r="L26" s="66">
        <v>235</v>
      </c>
      <c r="M26" s="66">
        <v>102</v>
      </c>
      <c r="N26" s="66">
        <v>133</v>
      </c>
      <c r="O26" s="66">
        <v>165</v>
      </c>
      <c r="P26" s="66">
        <v>108</v>
      </c>
      <c r="Q26" s="66">
        <v>239</v>
      </c>
      <c r="R26" s="66">
        <v>118</v>
      </c>
      <c r="S26" s="66">
        <v>306</v>
      </c>
      <c r="T26" s="66">
        <v>208</v>
      </c>
      <c r="U26" s="66">
        <v>163</v>
      </c>
      <c r="V26" s="66">
        <v>222</v>
      </c>
      <c r="W26" s="66">
        <v>198</v>
      </c>
      <c r="X26" s="66">
        <v>346</v>
      </c>
      <c r="Y26" s="66">
        <v>146</v>
      </c>
      <c r="Z26" s="66">
        <v>200</v>
      </c>
      <c r="AA26" s="66">
        <v>239</v>
      </c>
      <c r="AB26" s="66">
        <v>192</v>
      </c>
      <c r="AC26" s="66">
        <v>475</v>
      </c>
      <c r="AD26" s="66">
        <v>222</v>
      </c>
      <c r="AE26" s="66">
        <v>241</v>
      </c>
      <c r="AF26" s="66">
        <v>276</v>
      </c>
      <c r="AG26" s="66">
        <v>320</v>
      </c>
      <c r="AH26" s="66">
        <v>87</v>
      </c>
      <c r="AI26" s="66">
        <v>165</v>
      </c>
      <c r="AJ26" s="66">
        <v>119</v>
      </c>
      <c r="AK26" s="66">
        <v>207</v>
      </c>
      <c r="AL26" s="66">
        <v>754</v>
      </c>
      <c r="AM26" s="66">
        <v>130</v>
      </c>
      <c r="AN26" s="66">
        <v>276</v>
      </c>
      <c r="AO26" s="66">
        <v>541</v>
      </c>
      <c r="AP26" s="66">
        <v>424</v>
      </c>
      <c r="AQ26" s="66">
        <v>106</v>
      </c>
      <c r="AR26" s="66">
        <v>227</v>
      </c>
      <c r="AS26" s="66">
        <v>453</v>
      </c>
      <c r="AT26" s="66">
        <v>342</v>
      </c>
      <c r="AU26" s="66">
        <v>492</v>
      </c>
      <c r="AV26" s="66">
        <v>213</v>
      </c>
      <c r="AW26" s="66">
        <v>448</v>
      </c>
      <c r="AX26" s="66">
        <v>307</v>
      </c>
      <c r="AY26" s="66">
        <v>446</v>
      </c>
      <c r="AZ26" s="66">
        <v>463</v>
      </c>
      <c r="BA26" s="66">
        <v>801</v>
      </c>
      <c r="BB26" s="66">
        <v>601</v>
      </c>
      <c r="BC26" s="66">
        <v>645</v>
      </c>
      <c r="BD26" s="66">
        <v>462</v>
      </c>
      <c r="BE26" s="66">
        <v>567</v>
      </c>
      <c r="BF26" s="66">
        <v>0</v>
      </c>
      <c r="BG26" s="66">
        <v>173</v>
      </c>
      <c r="BH26" s="66">
        <v>462</v>
      </c>
      <c r="BI26" s="66">
        <v>191</v>
      </c>
      <c r="BJ26" s="66">
        <v>457</v>
      </c>
      <c r="BK26" s="66">
        <v>148</v>
      </c>
      <c r="BL26" s="66">
        <v>211</v>
      </c>
      <c r="BM26" s="66">
        <v>369</v>
      </c>
      <c r="BN26" s="66">
        <v>480</v>
      </c>
      <c r="BO26" s="66">
        <v>68</v>
      </c>
      <c r="BP26" s="66">
        <v>417</v>
      </c>
      <c r="BQ26" s="66">
        <v>333</v>
      </c>
      <c r="BR26" s="66">
        <v>344</v>
      </c>
      <c r="BS26" s="66">
        <v>524</v>
      </c>
      <c r="BT26" s="66">
        <v>184</v>
      </c>
      <c r="BU26" s="66">
        <v>227</v>
      </c>
      <c r="BV26" s="66">
        <v>279</v>
      </c>
      <c r="BW26" s="66">
        <v>178</v>
      </c>
      <c r="BX26" s="66">
        <v>172</v>
      </c>
      <c r="BY26" s="66">
        <v>578</v>
      </c>
      <c r="BZ26" s="66">
        <v>247</v>
      </c>
      <c r="CA26" s="66">
        <v>354</v>
      </c>
      <c r="CB26" s="66">
        <v>150</v>
      </c>
      <c r="CC26" s="66">
        <v>243</v>
      </c>
      <c r="CD26" s="66">
        <v>405</v>
      </c>
      <c r="CE26" s="66">
        <v>160</v>
      </c>
      <c r="CF26" s="66">
        <v>315</v>
      </c>
      <c r="CG26" s="66">
        <v>247</v>
      </c>
      <c r="CH26" s="66">
        <v>194</v>
      </c>
      <c r="CI26" s="66">
        <v>280</v>
      </c>
      <c r="CJ26" s="66">
        <v>287</v>
      </c>
      <c r="CK26" s="66">
        <v>229</v>
      </c>
      <c r="CL26" s="66">
        <v>550</v>
      </c>
      <c r="CM26" s="66">
        <v>183</v>
      </c>
      <c r="CN26" s="66">
        <v>432</v>
      </c>
      <c r="CO26" s="66">
        <v>261</v>
      </c>
      <c r="CP26" s="66">
        <v>224</v>
      </c>
      <c r="CQ26" s="66">
        <v>407</v>
      </c>
      <c r="CR26" s="66">
        <v>207</v>
      </c>
      <c r="CS26" s="66">
        <v>166</v>
      </c>
      <c r="CT26" s="66">
        <v>355</v>
      </c>
      <c r="CU26" s="66">
        <v>280</v>
      </c>
      <c r="CV26" s="66">
        <v>296</v>
      </c>
      <c r="CW26" s="66">
        <v>435</v>
      </c>
      <c r="CX26" s="66">
        <v>274</v>
      </c>
      <c r="CY26" s="66">
        <v>470</v>
      </c>
      <c r="CZ26" s="66">
        <v>440</v>
      </c>
      <c r="DA26" s="66">
        <v>671</v>
      </c>
    </row>
    <row r="27" spans="1:105" ht="15" x14ac:dyDescent="0.35">
      <c r="A27" s="5" t="s">
        <v>268</v>
      </c>
      <c r="B27" s="5" t="s">
        <v>442</v>
      </c>
      <c r="C27" s="66">
        <v>109</v>
      </c>
      <c r="D27" s="66">
        <v>244</v>
      </c>
      <c r="E27" s="66">
        <v>54</v>
      </c>
      <c r="F27" s="66">
        <v>0</v>
      </c>
      <c r="G27" s="66">
        <v>217</v>
      </c>
      <c r="H27" s="66">
        <v>86</v>
      </c>
      <c r="I27" s="66">
        <v>50</v>
      </c>
      <c r="J27" s="66">
        <v>140</v>
      </c>
      <c r="K27" s="66">
        <v>375</v>
      </c>
      <c r="L27" s="66">
        <v>96</v>
      </c>
      <c r="M27" s="66">
        <v>387</v>
      </c>
      <c r="N27" s="66">
        <v>276</v>
      </c>
      <c r="O27" s="66">
        <v>128</v>
      </c>
      <c r="P27" s="66">
        <v>83</v>
      </c>
      <c r="Q27" s="66">
        <v>134</v>
      </c>
      <c r="R27" s="66">
        <v>77</v>
      </c>
      <c r="S27" s="66">
        <v>47</v>
      </c>
      <c r="T27" s="66">
        <v>83</v>
      </c>
      <c r="U27" s="66">
        <v>0</v>
      </c>
      <c r="V27" s="66">
        <v>1</v>
      </c>
      <c r="W27" s="66">
        <v>10</v>
      </c>
      <c r="X27" s="66">
        <v>108</v>
      </c>
      <c r="Y27" s="66">
        <v>164</v>
      </c>
      <c r="Z27" s="66">
        <v>105</v>
      </c>
      <c r="AA27" s="66">
        <v>61</v>
      </c>
      <c r="AB27" s="66">
        <v>40</v>
      </c>
      <c r="AC27" s="66">
        <v>62</v>
      </c>
      <c r="AD27" s="66">
        <v>140</v>
      </c>
      <c r="AE27" s="66">
        <v>121</v>
      </c>
      <c r="AF27" s="66">
        <v>72</v>
      </c>
      <c r="AG27" s="66">
        <v>89</v>
      </c>
      <c r="AH27" s="66">
        <v>78</v>
      </c>
      <c r="AI27" s="66">
        <v>84</v>
      </c>
      <c r="AJ27" s="66">
        <v>97</v>
      </c>
      <c r="AK27" s="66">
        <v>62</v>
      </c>
      <c r="AL27" s="66">
        <v>115</v>
      </c>
      <c r="AM27" s="66">
        <v>144</v>
      </c>
      <c r="AN27" s="66">
        <v>55</v>
      </c>
      <c r="AO27" s="66">
        <v>80</v>
      </c>
      <c r="AP27" s="66">
        <v>88</v>
      </c>
      <c r="AQ27" s="66">
        <v>108</v>
      </c>
      <c r="AR27" s="66">
        <v>65</v>
      </c>
      <c r="AS27" s="66">
        <v>106</v>
      </c>
      <c r="AT27" s="66">
        <v>78</v>
      </c>
      <c r="AU27" s="66">
        <v>147</v>
      </c>
      <c r="AV27" s="66">
        <v>31</v>
      </c>
      <c r="AW27" s="66">
        <v>81</v>
      </c>
      <c r="AX27" s="66">
        <v>84</v>
      </c>
      <c r="AY27" s="66">
        <v>119</v>
      </c>
      <c r="AZ27" s="66">
        <v>213</v>
      </c>
      <c r="BA27" s="66">
        <v>107</v>
      </c>
      <c r="BB27" s="66">
        <v>117</v>
      </c>
      <c r="BC27" s="66">
        <v>173</v>
      </c>
      <c r="BD27" s="66">
        <v>92</v>
      </c>
      <c r="BE27" s="66">
        <v>20</v>
      </c>
      <c r="BF27" s="66">
        <v>0</v>
      </c>
      <c r="BG27" s="66">
        <v>56</v>
      </c>
      <c r="BH27" s="66">
        <v>22</v>
      </c>
      <c r="BI27" s="66">
        <v>86</v>
      </c>
      <c r="BJ27" s="66">
        <v>137</v>
      </c>
      <c r="BK27" s="66">
        <v>54</v>
      </c>
      <c r="BL27" s="66">
        <v>28</v>
      </c>
      <c r="BM27" s="66">
        <v>35</v>
      </c>
      <c r="BN27" s="66">
        <v>67</v>
      </c>
      <c r="BO27" s="66">
        <v>45</v>
      </c>
      <c r="BP27" s="66">
        <v>84</v>
      </c>
      <c r="BQ27" s="66">
        <v>43</v>
      </c>
      <c r="BR27" s="66">
        <v>36</v>
      </c>
      <c r="BS27" s="66">
        <v>54</v>
      </c>
      <c r="BT27" s="66">
        <v>61</v>
      </c>
      <c r="BU27" s="66">
        <v>35</v>
      </c>
      <c r="BV27" s="66">
        <v>9</v>
      </c>
      <c r="BW27" s="66">
        <v>14</v>
      </c>
      <c r="BX27" s="66">
        <v>76</v>
      </c>
      <c r="BY27" s="66">
        <v>101</v>
      </c>
      <c r="BZ27" s="66">
        <v>291</v>
      </c>
      <c r="CA27" s="66">
        <v>66</v>
      </c>
      <c r="CB27" s="66">
        <v>39</v>
      </c>
      <c r="CC27" s="66">
        <v>548</v>
      </c>
      <c r="CD27" s="66">
        <v>55</v>
      </c>
      <c r="CE27" s="66">
        <v>45</v>
      </c>
      <c r="CF27" s="66">
        <v>24</v>
      </c>
      <c r="CG27" s="66">
        <v>424</v>
      </c>
      <c r="CH27" s="66">
        <v>66</v>
      </c>
      <c r="CI27" s="66">
        <v>107</v>
      </c>
      <c r="CJ27" s="66">
        <v>21</v>
      </c>
      <c r="CK27" s="66">
        <v>30</v>
      </c>
      <c r="CL27" s="66">
        <v>29</v>
      </c>
      <c r="CM27" s="66">
        <v>38</v>
      </c>
      <c r="CN27" s="66">
        <v>40</v>
      </c>
      <c r="CO27" s="66">
        <v>35</v>
      </c>
      <c r="CP27" s="66">
        <v>16</v>
      </c>
      <c r="CQ27" s="66">
        <v>24</v>
      </c>
      <c r="CR27" s="66">
        <v>17</v>
      </c>
      <c r="CS27" s="66">
        <v>94</v>
      </c>
      <c r="CT27" s="66">
        <v>49</v>
      </c>
      <c r="CU27" s="66">
        <v>51</v>
      </c>
      <c r="CV27" s="66">
        <v>14</v>
      </c>
      <c r="CW27" s="66">
        <v>54</v>
      </c>
      <c r="CX27" s="66">
        <v>96</v>
      </c>
      <c r="CY27" s="66">
        <v>38</v>
      </c>
      <c r="CZ27" s="66">
        <v>22</v>
      </c>
      <c r="DA27" s="66">
        <v>102</v>
      </c>
    </row>
    <row r="28" spans="1:105" ht="15" x14ac:dyDescent="0.35">
      <c r="A28" s="5" t="s">
        <v>269</v>
      </c>
      <c r="B28" s="5" t="s">
        <v>443</v>
      </c>
      <c r="C28" s="66">
        <v>683</v>
      </c>
      <c r="D28" s="66">
        <v>147</v>
      </c>
      <c r="E28" s="66">
        <v>28</v>
      </c>
      <c r="F28" s="66">
        <v>0</v>
      </c>
      <c r="G28" s="66">
        <v>174</v>
      </c>
      <c r="H28" s="66">
        <v>449</v>
      </c>
      <c r="I28" s="66">
        <v>91</v>
      </c>
      <c r="J28" s="66">
        <v>213</v>
      </c>
      <c r="K28" s="66">
        <v>237</v>
      </c>
      <c r="L28" s="66">
        <v>287</v>
      </c>
      <c r="M28" s="66">
        <v>512</v>
      </c>
      <c r="N28" s="66">
        <v>159</v>
      </c>
      <c r="O28" s="66">
        <v>409</v>
      </c>
      <c r="P28" s="66">
        <v>163</v>
      </c>
      <c r="Q28" s="66">
        <v>179</v>
      </c>
      <c r="R28" s="66">
        <v>396</v>
      </c>
      <c r="S28" s="66">
        <v>102</v>
      </c>
      <c r="T28" s="66">
        <v>175</v>
      </c>
      <c r="U28" s="66">
        <v>468</v>
      </c>
      <c r="V28" s="66">
        <v>377</v>
      </c>
      <c r="W28" s="66">
        <v>514</v>
      </c>
      <c r="X28" s="66">
        <v>198</v>
      </c>
      <c r="Y28" s="66">
        <v>387</v>
      </c>
      <c r="Z28" s="66">
        <v>93</v>
      </c>
      <c r="AA28" s="66">
        <v>172</v>
      </c>
      <c r="AB28" s="66">
        <v>187</v>
      </c>
      <c r="AC28" s="66">
        <v>184</v>
      </c>
      <c r="AD28" s="66">
        <v>166</v>
      </c>
      <c r="AE28" s="66">
        <v>260</v>
      </c>
      <c r="AF28" s="66">
        <v>655</v>
      </c>
      <c r="AG28" s="66">
        <v>387</v>
      </c>
      <c r="AH28" s="66">
        <v>210</v>
      </c>
      <c r="AI28" s="66">
        <v>364</v>
      </c>
      <c r="AJ28" s="66">
        <v>244</v>
      </c>
      <c r="AK28" s="66">
        <v>140</v>
      </c>
      <c r="AL28" s="66">
        <v>425</v>
      </c>
      <c r="AM28" s="66">
        <v>424</v>
      </c>
      <c r="AN28" s="66">
        <v>371</v>
      </c>
      <c r="AO28" s="66">
        <v>413</v>
      </c>
      <c r="AP28" s="66">
        <v>434</v>
      </c>
      <c r="AQ28" s="66">
        <v>430</v>
      </c>
      <c r="AR28" s="66">
        <v>456</v>
      </c>
      <c r="AS28" s="66">
        <v>415</v>
      </c>
      <c r="AT28" s="66">
        <v>464</v>
      </c>
      <c r="AU28" s="66">
        <v>652</v>
      </c>
      <c r="AV28" s="66">
        <v>482</v>
      </c>
      <c r="AW28" s="66">
        <v>243</v>
      </c>
      <c r="AX28" s="66">
        <v>181</v>
      </c>
      <c r="AY28" s="66">
        <v>676</v>
      </c>
      <c r="AZ28" s="66">
        <v>469</v>
      </c>
      <c r="BA28" s="66">
        <v>216</v>
      </c>
      <c r="BB28" s="66">
        <v>280</v>
      </c>
      <c r="BC28" s="66">
        <v>448</v>
      </c>
      <c r="BD28" s="66">
        <v>137</v>
      </c>
      <c r="BE28" s="66">
        <v>116</v>
      </c>
      <c r="BF28" s="66">
        <v>0</v>
      </c>
      <c r="BG28" s="66">
        <v>477</v>
      </c>
      <c r="BH28" s="66">
        <v>76</v>
      </c>
      <c r="BI28" s="66">
        <v>58</v>
      </c>
      <c r="BJ28" s="66">
        <v>211</v>
      </c>
      <c r="BK28" s="66">
        <v>226</v>
      </c>
      <c r="BL28" s="66">
        <v>69</v>
      </c>
      <c r="BM28" s="66">
        <v>448</v>
      </c>
      <c r="BN28" s="66">
        <v>84</v>
      </c>
      <c r="BO28" s="66">
        <v>107</v>
      </c>
      <c r="BP28" s="66">
        <v>285</v>
      </c>
      <c r="BQ28" s="66">
        <v>697</v>
      </c>
      <c r="BR28" s="66">
        <v>447</v>
      </c>
      <c r="BS28" s="66">
        <v>357</v>
      </c>
      <c r="BT28" s="66">
        <v>88</v>
      </c>
      <c r="BU28" s="66">
        <v>178</v>
      </c>
      <c r="BV28" s="66">
        <v>147</v>
      </c>
      <c r="BW28" s="66">
        <v>278</v>
      </c>
      <c r="BX28" s="66">
        <v>268</v>
      </c>
      <c r="BY28" s="66">
        <v>246</v>
      </c>
      <c r="BZ28" s="66">
        <v>302</v>
      </c>
      <c r="CA28" s="66">
        <v>387</v>
      </c>
      <c r="CB28" s="66">
        <v>210</v>
      </c>
      <c r="CC28" s="66">
        <v>261</v>
      </c>
      <c r="CD28" s="66">
        <v>375</v>
      </c>
      <c r="CE28" s="66">
        <v>102</v>
      </c>
      <c r="CF28" s="66">
        <v>191</v>
      </c>
      <c r="CG28" s="66">
        <v>324</v>
      </c>
      <c r="CH28" s="66">
        <v>93</v>
      </c>
      <c r="CI28" s="66">
        <v>210</v>
      </c>
      <c r="CJ28" s="66">
        <v>164</v>
      </c>
      <c r="CK28" s="66">
        <v>264</v>
      </c>
      <c r="CL28" s="66">
        <v>262</v>
      </c>
      <c r="CM28" s="66">
        <v>333</v>
      </c>
      <c r="CN28" s="66">
        <v>130</v>
      </c>
      <c r="CO28" s="66">
        <v>263</v>
      </c>
      <c r="CP28" s="66">
        <v>439</v>
      </c>
      <c r="CQ28" s="66">
        <v>109</v>
      </c>
      <c r="CR28" s="66">
        <v>440</v>
      </c>
      <c r="CS28" s="66">
        <v>398</v>
      </c>
      <c r="CT28" s="66">
        <v>163</v>
      </c>
      <c r="CU28" s="66">
        <v>210</v>
      </c>
      <c r="CV28" s="66">
        <v>200</v>
      </c>
      <c r="CW28" s="66">
        <v>391</v>
      </c>
      <c r="CX28" s="66">
        <v>90</v>
      </c>
      <c r="CY28" s="66">
        <v>252</v>
      </c>
      <c r="CZ28" s="66">
        <v>620</v>
      </c>
      <c r="DA28" s="66">
        <v>203</v>
      </c>
    </row>
    <row r="29" spans="1:105" ht="15" x14ac:dyDescent="0.35">
      <c r="A29" s="5" t="s">
        <v>270</v>
      </c>
      <c r="B29" s="5" t="s">
        <v>444</v>
      </c>
      <c r="C29" s="66">
        <v>0</v>
      </c>
      <c r="D29" s="66">
        <v>0</v>
      </c>
      <c r="E29" s="66">
        <v>0</v>
      </c>
      <c r="F29" s="66">
        <v>0</v>
      </c>
      <c r="G29" s="66">
        <v>0</v>
      </c>
      <c r="H29" s="66">
        <v>0</v>
      </c>
      <c r="I29" s="66">
        <v>0</v>
      </c>
      <c r="J29" s="66">
        <v>0</v>
      </c>
      <c r="K29" s="66">
        <v>0</v>
      </c>
      <c r="L29" s="66">
        <v>0</v>
      </c>
      <c r="M29" s="66">
        <v>0</v>
      </c>
      <c r="N29" s="66">
        <v>0</v>
      </c>
      <c r="O29" s="66">
        <v>0</v>
      </c>
      <c r="P29" s="66">
        <v>0</v>
      </c>
      <c r="Q29" s="66">
        <v>0</v>
      </c>
      <c r="R29" s="66">
        <v>0</v>
      </c>
      <c r="S29" s="66">
        <v>0</v>
      </c>
      <c r="T29" s="66">
        <v>0</v>
      </c>
      <c r="U29" s="66">
        <v>0</v>
      </c>
      <c r="V29" s="66">
        <v>0</v>
      </c>
      <c r="W29" s="66">
        <v>0</v>
      </c>
      <c r="X29" s="66">
        <v>0</v>
      </c>
      <c r="Y29" s="66">
        <v>0</v>
      </c>
      <c r="Z29" s="66">
        <v>0</v>
      </c>
      <c r="AA29" s="66">
        <v>0</v>
      </c>
      <c r="AB29" s="66">
        <v>0</v>
      </c>
      <c r="AC29" s="66">
        <v>0</v>
      </c>
      <c r="AD29" s="66">
        <v>0</v>
      </c>
      <c r="AE29" s="66">
        <v>0</v>
      </c>
      <c r="AF29" s="66">
        <v>35</v>
      </c>
      <c r="AG29" s="66">
        <v>244</v>
      </c>
      <c r="AH29" s="66">
        <v>130</v>
      </c>
      <c r="AI29" s="66">
        <v>370</v>
      </c>
      <c r="AJ29" s="66">
        <v>126</v>
      </c>
      <c r="AK29" s="66">
        <v>147</v>
      </c>
      <c r="AL29" s="66">
        <v>211</v>
      </c>
      <c r="AM29" s="66">
        <v>187</v>
      </c>
      <c r="AN29" s="66">
        <v>207</v>
      </c>
      <c r="AO29" s="66">
        <v>713</v>
      </c>
      <c r="AP29" s="66">
        <v>214</v>
      </c>
      <c r="AQ29" s="66">
        <v>164</v>
      </c>
      <c r="AR29" s="66">
        <v>218</v>
      </c>
      <c r="AS29" s="66">
        <v>296</v>
      </c>
      <c r="AT29" s="66">
        <v>299</v>
      </c>
      <c r="AU29" s="66">
        <v>497</v>
      </c>
      <c r="AV29" s="66">
        <v>69</v>
      </c>
      <c r="AW29" s="66">
        <v>105</v>
      </c>
      <c r="AX29" s="66">
        <v>566</v>
      </c>
      <c r="AY29" s="66">
        <v>290</v>
      </c>
      <c r="AZ29" s="66">
        <v>661</v>
      </c>
      <c r="BA29" s="66">
        <v>420</v>
      </c>
      <c r="BB29" s="66">
        <v>572</v>
      </c>
      <c r="BC29" s="66">
        <v>263</v>
      </c>
      <c r="BD29" s="66">
        <v>283</v>
      </c>
      <c r="BE29" s="66">
        <v>147</v>
      </c>
      <c r="BF29" s="66">
        <v>0</v>
      </c>
      <c r="BG29" s="66">
        <v>77</v>
      </c>
      <c r="BH29" s="66">
        <v>556</v>
      </c>
      <c r="BI29" s="66">
        <v>626</v>
      </c>
      <c r="BJ29" s="66">
        <v>137</v>
      </c>
      <c r="BK29" s="66">
        <v>460</v>
      </c>
      <c r="BL29" s="66">
        <v>67</v>
      </c>
      <c r="BM29" s="66">
        <v>352</v>
      </c>
      <c r="BN29" s="66">
        <v>352</v>
      </c>
      <c r="BO29" s="66">
        <v>389</v>
      </c>
      <c r="BP29" s="66">
        <v>190</v>
      </c>
      <c r="BQ29" s="66">
        <v>228</v>
      </c>
      <c r="BR29" s="66">
        <v>207</v>
      </c>
      <c r="BS29" s="66">
        <v>814</v>
      </c>
      <c r="BT29" s="66">
        <v>205</v>
      </c>
      <c r="BU29" s="66">
        <v>137</v>
      </c>
      <c r="BV29" s="66">
        <v>81</v>
      </c>
      <c r="BW29" s="66">
        <v>84</v>
      </c>
      <c r="BX29" s="66">
        <v>125</v>
      </c>
      <c r="BY29" s="66">
        <v>556</v>
      </c>
      <c r="BZ29" s="66">
        <v>216</v>
      </c>
      <c r="CA29" s="66">
        <v>187</v>
      </c>
      <c r="CB29" s="66">
        <v>476</v>
      </c>
      <c r="CC29" s="66">
        <v>125</v>
      </c>
      <c r="CD29" s="66">
        <v>225</v>
      </c>
      <c r="CE29" s="66">
        <v>134</v>
      </c>
      <c r="CF29" s="66">
        <v>168</v>
      </c>
      <c r="CG29" s="66">
        <v>41</v>
      </c>
      <c r="CH29" s="66">
        <v>68</v>
      </c>
      <c r="CI29" s="66">
        <v>271</v>
      </c>
      <c r="CJ29" s="66">
        <v>114</v>
      </c>
      <c r="CK29" s="66">
        <v>233</v>
      </c>
      <c r="CL29" s="66">
        <v>571</v>
      </c>
      <c r="CM29" s="66">
        <v>399</v>
      </c>
      <c r="CN29" s="66">
        <v>597</v>
      </c>
      <c r="CO29" s="66">
        <v>135</v>
      </c>
      <c r="CP29" s="66">
        <v>119</v>
      </c>
      <c r="CQ29" s="66">
        <v>133</v>
      </c>
      <c r="CR29" s="66">
        <v>419</v>
      </c>
      <c r="CS29" s="66">
        <v>196</v>
      </c>
      <c r="CT29" s="66">
        <v>260</v>
      </c>
      <c r="CU29" s="66">
        <v>127</v>
      </c>
      <c r="CV29" s="66">
        <v>264</v>
      </c>
      <c r="CW29" s="66">
        <v>284</v>
      </c>
      <c r="CX29" s="66">
        <v>213</v>
      </c>
      <c r="CY29" s="66">
        <v>509</v>
      </c>
      <c r="CZ29" s="66">
        <v>307</v>
      </c>
      <c r="DA29" s="66">
        <v>342</v>
      </c>
    </row>
    <row r="30" spans="1:105" ht="15" x14ac:dyDescent="0.35">
      <c r="A30" s="5" t="s">
        <v>271</v>
      </c>
      <c r="B30" s="5" t="s">
        <v>445</v>
      </c>
      <c r="C30" s="66">
        <v>0</v>
      </c>
      <c r="D30" s="66">
        <v>0</v>
      </c>
      <c r="E30" s="66">
        <v>0</v>
      </c>
      <c r="F30" s="66">
        <v>0</v>
      </c>
      <c r="G30" s="66">
        <v>0</v>
      </c>
      <c r="H30" s="66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66">
        <v>0</v>
      </c>
      <c r="O30" s="66">
        <v>108</v>
      </c>
      <c r="P30" s="66">
        <v>213</v>
      </c>
      <c r="Q30" s="66">
        <v>176</v>
      </c>
      <c r="R30" s="66">
        <v>336</v>
      </c>
      <c r="S30" s="66">
        <v>393</v>
      </c>
      <c r="T30" s="66">
        <v>164</v>
      </c>
      <c r="U30" s="66">
        <v>16</v>
      </c>
      <c r="V30" s="66">
        <v>6</v>
      </c>
      <c r="W30" s="66">
        <v>0</v>
      </c>
      <c r="X30" s="66">
        <v>15</v>
      </c>
      <c r="Y30" s="66">
        <v>0</v>
      </c>
      <c r="Z30" s="66">
        <v>0</v>
      </c>
      <c r="AA30" s="66">
        <v>0</v>
      </c>
      <c r="AB30" s="66">
        <v>0</v>
      </c>
      <c r="AC30" s="66">
        <v>0</v>
      </c>
      <c r="AD30" s="66">
        <v>5</v>
      </c>
      <c r="AE30" s="66">
        <v>133</v>
      </c>
      <c r="AF30" s="66">
        <v>322</v>
      </c>
      <c r="AG30" s="66">
        <v>144</v>
      </c>
      <c r="AH30" s="66">
        <v>172</v>
      </c>
      <c r="AI30" s="66">
        <v>479</v>
      </c>
      <c r="AJ30" s="66">
        <v>94</v>
      </c>
      <c r="AK30" s="66">
        <v>42</v>
      </c>
      <c r="AL30" s="66">
        <v>4</v>
      </c>
      <c r="AM30" s="66">
        <v>226</v>
      </c>
      <c r="AN30" s="66">
        <v>344</v>
      </c>
      <c r="AO30" s="66">
        <v>66</v>
      </c>
      <c r="AP30" s="66">
        <v>112</v>
      </c>
      <c r="AQ30" s="66">
        <v>189</v>
      </c>
      <c r="AR30" s="66">
        <v>162</v>
      </c>
      <c r="AS30" s="66">
        <v>198</v>
      </c>
      <c r="AT30" s="66">
        <v>149</v>
      </c>
      <c r="AU30" s="66">
        <v>158</v>
      </c>
      <c r="AV30" s="66">
        <v>238</v>
      </c>
      <c r="AW30" s="66">
        <v>177</v>
      </c>
      <c r="AX30" s="66">
        <v>257</v>
      </c>
      <c r="AY30" s="66">
        <v>287</v>
      </c>
      <c r="AZ30" s="66">
        <v>392</v>
      </c>
      <c r="BA30" s="66">
        <v>324</v>
      </c>
      <c r="BB30" s="66">
        <v>215</v>
      </c>
      <c r="BC30" s="66">
        <v>240</v>
      </c>
      <c r="BD30" s="66">
        <v>160</v>
      </c>
      <c r="BE30" s="66">
        <v>67</v>
      </c>
      <c r="BF30" s="66">
        <v>0</v>
      </c>
      <c r="BG30" s="66">
        <v>256</v>
      </c>
      <c r="BH30" s="66">
        <v>208</v>
      </c>
      <c r="BI30" s="66">
        <v>96</v>
      </c>
      <c r="BJ30" s="66">
        <v>222</v>
      </c>
      <c r="BK30" s="66">
        <v>149</v>
      </c>
      <c r="BL30" s="66">
        <v>92</v>
      </c>
      <c r="BM30" s="66">
        <v>111</v>
      </c>
      <c r="BN30" s="66">
        <v>138</v>
      </c>
      <c r="BO30" s="66">
        <v>98</v>
      </c>
      <c r="BP30" s="66">
        <v>196</v>
      </c>
      <c r="BQ30" s="66">
        <v>167</v>
      </c>
      <c r="BR30" s="66">
        <v>272</v>
      </c>
      <c r="BS30" s="66">
        <v>189</v>
      </c>
      <c r="BT30" s="66">
        <v>119</v>
      </c>
      <c r="BU30" s="66">
        <v>278</v>
      </c>
      <c r="BV30" s="66">
        <v>126</v>
      </c>
      <c r="BW30" s="66">
        <v>123</v>
      </c>
      <c r="BX30" s="66">
        <v>89</v>
      </c>
      <c r="BY30" s="66">
        <v>95</v>
      </c>
      <c r="BZ30" s="66">
        <v>400</v>
      </c>
      <c r="CA30" s="66">
        <v>84</v>
      </c>
      <c r="CB30" s="66">
        <v>181</v>
      </c>
      <c r="CC30" s="66">
        <v>108</v>
      </c>
      <c r="CD30" s="66">
        <v>84</v>
      </c>
      <c r="CE30" s="66">
        <v>84</v>
      </c>
      <c r="CF30" s="66">
        <v>66</v>
      </c>
      <c r="CG30" s="66">
        <v>114</v>
      </c>
      <c r="CH30" s="66">
        <v>144</v>
      </c>
      <c r="CI30" s="66">
        <v>250</v>
      </c>
      <c r="CJ30" s="66">
        <v>258</v>
      </c>
      <c r="CK30" s="66">
        <v>112</v>
      </c>
      <c r="CL30" s="66">
        <v>140</v>
      </c>
      <c r="CM30" s="66">
        <v>127</v>
      </c>
      <c r="CN30" s="66">
        <v>131</v>
      </c>
      <c r="CO30" s="66">
        <v>148</v>
      </c>
      <c r="CP30" s="66">
        <v>168</v>
      </c>
      <c r="CQ30" s="66">
        <v>94</v>
      </c>
      <c r="CR30" s="66">
        <v>166</v>
      </c>
      <c r="CS30" s="66">
        <v>135</v>
      </c>
      <c r="CT30" s="66">
        <v>208</v>
      </c>
      <c r="CU30" s="66">
        <v>171</v>
      </c>
      <c r="CV30" s="66">
        <v>192</v>
      </c>
      <c r="CW30" s="66">
        <v>133</v>
      </c>
      <c r="CX30" s="66">
        <v>139</v>
      </c>
      <c r="CY30" s="66">
        <v>251</v>
      </c>
      <c r="CZ30" s="66">
        <v>160</v>
      </c>
      <c r="DA30" s="66">
        <v>194</v>
      </c>
    </row>
    <row r="31" spans="1:105" ht="15" x14ac:dyDescent="0.35">
      <c r="A31" s="5" t="s">
        <v>272</v>
      </c>
      <c r="B31" s="5" t="s">
        <v>446</v>
      </c>
      <c r="C31" s="66">
        <v>0</v>
      </c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66">
        <v>0</v>
      </c>
      <c r="O31" s="66">
        <v>0</v>
      </c>
      <c r="P31" s="66">
        <v>0</v>
      </c>
      <c r="Q31" s="66">
        <v>48</v>
      </c>
      <c r="R31" s="66">
        <v>139</v>
      </c>
      <c r="S31" s="66">
        <v>897</v>
      </c>
      <c r="T31" s="66">
        <v>410</v>
      </c>
      <c r="U31" s="66">
        <v>742</v>
      </c>
      <c r="V31" s="66">
        <v>74</v>
      </c>
      <c r="W31" s="66">
        <v>583</v>
      </c>
      <c r="X31" s="66">
        <v>62</v>
      </c>
      <c r="Y31" s="66">
        <v>173</v>
      </c>
      <c r="Z31" s="66">
        <v>37</v>
      </c>
      <c r="AA31" s="66">
        <v>122</v>
      </c>
      <c r="AB31" s="66">
        <v>101</v>
      </c>
      <c r="AC31" s="66">
        <v>328</v>
      </c>
      <c r="AD31" s="66">
        <v>109</v>
      </c>
      <c r="AE31" s="66">
        <v>74</v>
      </c>
      <c r="AF31" s="66">
        <v>246</v>
      </c>
      <c r="AG31" s="66">
        <v>103</v>
      </c>
      <c r="AH31" s="66">
        <v>144</v>
      </c>
      <c r="AI31" s="66">
        <v>336</v>
      </c>
      <c r="AJ31" s="66">
        <v>78</v>
      </c>
      <c r="AK31" s="66">
        <v>1240</v>
      </c>
      <c r="AL31" s="66">
        <v>68</v>
      </c>
      <c r="AM31" s="66">
        <v>255</v>
      </c>
      <c r="AN31" s="66">
        <v>231</v>
      </c>
      <c r="AO31" s="66">
        <v>712</v>
      </c>
      <c r="AP31" s="66">
        <v>397</v>
      </c>
      <c r="AQ31" s="66">
        <v>103</v>
      </c>
      <c r="AR31" s="66">
        <v>476</v>
      </c>
      <c r="AS31" s="66">
        <v>490</v>
      </c>
      <c r="AT31" s="66">
        <v>1245</v>
      </c>
      <c r="AU31" s="66">
        <v>545</v>
      </c>
      <c r="AV31" s="66">
        <v>3</v>
      </c>
      <c r="AW31" s="66">
        <v>3</v>
      </c>
      <c r="AX31" s="66">
        <v>1979</v>
      </c>
      <c r="AY31" s="66">
        <v>3</v>
      </c>
      <c r="AZ31" s="66">
        <v>336</v>
      </c>
      <c r="BA31" s="66">
        <v>564</v>
      </c>
      <c r="BB31" s="66">
        <v>1772</v>
      </c>
      <c r="BC31" s="66">
        <v>234</v>
      </c>
      <c r="BD31" s="66">
        <v>314</v>
      </c>
      <c r="BE31" s="66">
        <v>13</v>
      </c>
      <c r="BF31" s="66">
        <v>0</v>
      </c>
      <c r="BG31" s="66">
        <v>285</v>
      </c>
      <c r="BH31" s="66">
        <v>72</v>
      </c>
      <c r="BI31" s="66">
        <v>116</v>
      </c>
      <c r="BJ31" s="66">
        <v>84</v>
      </c>
      <c r="BK31" s="66">
        <v>556</v>
      </c>
      <c r="BL31" s="66">
        <v>13</v>
      </c>
      <c r="BM31" s="66">
        <v>39</v>
      </c>
      <c r="BN31" s="66">
        <v>125</v>
      </c>
      <c r="BO31" s="66">
        <v>604</v>
      </c>
      <c r="BP31" s="66">
        <v>319</v>
      </c>
      <c r="BQ31" s="66">
        <v>192</v>
      </c>
      <c r="BR31" s="66">
        <v>120</v>
      </c>
      <c r="BS31" s="66">
        <v>742</v>
      </c>
      <c r="BT31" s="66">
        <v>83</v>
      </c>
      <c r="BU31" s="66">
        <v>96</v>
      </c>
      <c r="BV31" s="66">
        <v>125</v>
      </c>
      <c r="BW31" s="66">
        <v>364</v>
      </c>
      <c r="BX31" s="66">
        <v>152</v>
      </c>
      <c r="BY31" s="66">
        <v>160</v>
      </c>
      <c r="BZ31" s="66">
        <v>312</v>
      </c>
      <c r="CA31" s="66">
        <v>85</v>
      </c>
      <c r="CB31" s="66">
        <v>305</v>
      </c>
      <c r="CC31" s="66">
        <v>84</v>
      </c>
      <c r="CD31" s="66">
        <v>434</v>
      </c>
      <c r="CE31" s="66">
        <v>338</v>
      </c>
      <c r="CF31" s="66">
        <v>126</v>
      </c>
      <c r="CG31" s="66">
        <v>84</v>
      </c>
      <c r="CH31" s="66">
        <v>175</v>
      </c>
      <c r="CI31" s="66">
        <v>231</v>
      </c>
      <c r="CJ31" s="66">
        <v>186</v>
      </c>
      <c r="CK31" s="66">
        <v>381</v>
      </c>
      <c r="CL31" s="66">
        <v>857</v>
      </c>
      <c r="CM31" s="66">
        <v>336</v>
      </c>
      <c r="CN31" s="66">
        <v>366</v>
      </c>
      <c r="CO31" s="66">
        <v>1621</v>
      </c>
      <c r="CP31" s="66">
        <v>250</v>
      </c>
      <c r="CQ31" s="66">
        <v>307</v>
      </c>
      <c r="CR31" s="66">
        <v>545</v>
      </c>
      <c r="CS31" s="66">
        <v>311</v>
      </c>
      <c r="CT31" s="66">
        <v>1819</v>
      </c>
      <c r="CU31" s="66">
        <v>240</v>
      </c>
      <c r="CV31" s="66">
        <v>829</v>
      </c>
      <c r="CW31" s="66">
        <v>351</v>
      </c>
      <c r="CX31" s="66">
        <v>2652</v>
      </c>
      <c r="CY31" s="66">
        <v>649</v>
      </c>
      <c r="CZ31" s="66">
        <v>351</v>
      </c>
      <c r="DA31" s="66">
        <v>21</v>
      </c>
    </row>
    <row r="32" spans="1:105" ht="15" x14ac:dyDescent="0.35">
      <c r="A32" s="5" t="s">
        <v>273</v>
      </c>
      <c r="B32" s="5" t="s">
        <v>447</v>
      </c>
      <c r="C32" s="66">
        <v>0</v>
      </c>
      <c r="D32" s="66">
        <v>0</v>
      </c>
      <c r="E32" s="66">
        <v>1</v>
      </c>
      <c r="F32" s="66">
        <v>0</v>
      </c>
      <c r="G32" s="66">
        <v>327</v>
      </c>
      <c r="H32" s="66">
        <v>184</v>
      </c>
      <c r="I32" s="66">
        <v>125</v>
      </c>
      <c r="J32" s="66">
        <v>224</v>
      </c>
      <c r="K32" s="66">
        <v>107</v>
      </c>
      <c r="L32" s="66">
        <v>109</v>
      </c>
      <c r="M32" s="66">
        <v>179</v>
      </c>
      <c r="N32" s="66">
        <v>81</v>
      </c>
      <c r="O32" s="66">
        <v>159</v>
      </c>
      <c r="P32" s="66">
        <v>138</v>
      </c>
      <c r="Q32" s="66">
        <v>153</v>
      </c>
      <c r="R32" s="66">
        <v>133</v>
      </c>
      <c r="S32" s="66">
        <v>49</v>
      </c>
      <c r="T32" s="66">
        <v>122</v>
      </c>
      <c r="U32" s="66">
        <v>127</v>
      </c>
      <c r="V32" s="66">
        <v>182</v>
      </c>
      <c r="W32" s="66">
        <v>230</v>
      </c>
      <c r="X32" s="66">
        <v>78</v>
      </c>
      <c r="Y32" s="66">
        <v>176</v>
      </c>
      <c r="Z32" s="66">
        <v>117</v>
      </c>
      <c r="AA32" s="66">
        <v>170</v>
      </c>
      <c r="AB32" s="66">
        <v>150</v>
      </c>
      <c r="AC32" s="66">
        <v>119</v>
      </c>
      <c r="AD32" s="66">
        <v>80</v>
      </c>
      <c r="AE32" s="66">
        <v>148</v>
      </c>
      <c r="AF32" s="66">
        <v>130</v>
      </c>
      <c r="AG32" s="66">
        <v>101</v>
      </c>
      <c r="AH32" s="66">
        <v>408</v>
      </c>
      <c r="AI32" s="66">
        <v>62</v>
      </c>
      <c r="AJ32" s="66">
        <v>385</v>
      </c>
      <c r="AK32" s="66">
        <v>40</v>
      </c>
      <c r="AL32" s="66">
        <v>31</v>
      </c>
      <c r="AM32" s="66">
        <v>67</v>
      </c>
      <c r="AN32" s="66">
        <v>84</v>
      </c>
      <c r="AO32" s="66">
        <v>139</v>
      </c>
      <c r="AP32" s="66">
        <v>37</v>
      </c>
      <c r="AQ32" s="66">
        <v>41</v>
      </c>
      <c r="AR32" s="66">
        <v>83</v>
      </c>
      <c r="AS32" s="66">
        <v>60</v>
      </c>
      <c r="AT32" s="66">
        <v>75</v>
      </c>
      <c r="AU32" s="66">
        <v>113</v>
      </c>
      <c r="AV32" s="66">
        <v>75</v>
      </c>
      <c r="AW32" s="66">
        <v>44</v>
      </c>
      <c r="AX32" s="66">
        <v>96</v>
      </c>
      <c r="AY32" s="66">
        <v>314</v>
      </c>
      <c r="AZ32" s="66">
        <v>105</v>
      </c>
      <c r="BA32" s="66">
        <v>89</v>
      </c>
      <c r="BB32" s="66">
        <v>77</v>
      </c>
      <c r="BC32" s="66">
        <v>109</v>
      </c>
      <c r="BD32" s="66">
        <v>61</v>
      </c>
      <c r="BE32" s="66">
        <v>9</v>
      </c>
      <c r="BF32" s="66">
        <v>0</v>
      </c>
      <c r="BG32" s="66">
        <v>44</v>
      </c>
      <c r="BH32" s="66">
        <v>13</v>
      </c>
      <c r="BI32" s="66">
        <v>44</v>
      </c>
      <c r="BJ32" s="66">
        <v>110</v>
      </c>
      <c r="BK32" s="66">
        <v>41</v>
      </c>
      <c r="BL32" s="66">
        <v>39</v>
      </c>
      <c r="BM32" s="66">
        <v>69</v>
      </c>
      <c r="BN32" s="66">
        <v>57</v>
      </c>
      <c r="BO32" s="66">
        <v>60</v>
      </c>
      <c r="BP32" s="66">
        <v>73</v>
      </c>
      <c r="BQ32" s="66">
        <v>71</v>
      </c>
      <c r="BR32" s="66">
        <v>26</v>
      </c>
      <c r="BS32" s="66">
        <v>131</v>
      </c>
      <c r="BT32" s="66">
        <v>111</v>
      </c>
      <c r="BU32" s="66">
        <v>103</v>
      </c>
      <c r="BV32" s="66">
        <v>33</v>
      </c>
      <c r="BW32" s="66">
        <v>33</v>
      </c>
      <c r="BX32" s="66">
        <v>46</v>
      </c>
      <c r="BY32" s="66">
        <v>87</v>
      </c>
      <c r="BZ32" s="66">
        <v>151</v>
      </c>
      <c r="CA32" s="66">
        <v>52</v>
      </c>
      <c r="CB32" s="66">
        <v>58</v>
      </c>
      <c r="CC32" s="66">
        <v>513</v>
      </c>
      <c r="CD32" s="66">
        <v>16</v>
      </c>
      <c r="CE32" s="66">
        <v>19</v>
      </c>
      <c r="CF32" s="66">
        <v>8</v>
      </c>
      <c r="CG32" s="66">
        <v>56</v>
      </c>
      <c r="CH32" s="66">
        <v>34</v>
      </c>
      <c r="CI32" s="66">
        <v>48</v>
      </c>
      <c r="CJ32" s="66">
        <v>30</v>
      </c>
      <c r="CK32" s="66">
        <v>39</v>
      </c>
      <c r="CL32" s="66">
        <v>7</v>
      </c>
      <c r="CM32" s="66">
        <v>59</v>
      </c>
      <c r="CN32" s="66">
        <v>16</v>
      </c>
      <c r="CO32" s="66">
        <v>21</v>
      </c>
      <c r="CP32" s="66">
        <v>29</v>
      </c>
      <c r="CQ32" s="66">
        <v>556</v>
      </c>
      <c r="CR32" s="66">
        <v>26</v>
      </c>
      <c r="CS32" s="66">
        <v>176</v>
      </c>
      <c r="CT32" s="66">
        <v>30</v>
      </c>
      <c r="CU32" s="66">
        <v>67</v>
      </c>
      <c r="CV32" s="66">
        <v>16</v>
      </c>
      <c r="CW32" s="66">
        <v>19</v>
      </c>
      <c r="CX32" s="66">
        <v>32</v>
      </c>
      <c r="CY32" s="66">
        <v>29</v>
      </c>
      <c r="CZ32" s="66">
        <v>45</v>
      </c>
      <c r="DA32" s="66">
        <v>90</v>
      </c>
    </row>
    <row r="33" spans="1:105" ht="15" x14ac:dyDescent="0.35">
      <c r="A33" s="5" t="s">
        <v>274</v>
      </c>
      <c r="B33" s="5" t="s">
        <v>448</v>
      </c>
      <c r="C33" s="66">
        <v>1265</v>
      </c>
      <c r="D33" s="66">
        <v>477</v>
      </c>
      <c r="E33" s="66">
        <v>48</v>
      </c>
      <c r="F33" s="66">
        <v>0</v>
      </c>
      <c r="G33" s="66">
        <v>132</v>
      </c>
      <c r="H33" s="66">
        <v>66</v>
      </c>
      <c r="I33" s="66">
        <v>158</v>
      </c>
      <c r="J33" s="66">
        <v>136</v>
      </c>
      <c r="K33" s="66">
        <v>359</v>
      </c>
      <c r="L33" s="66">
        <v>70</v>
      </c>
      <c r="M33" s="66">
        <v>90</v>
      </c>
      <c r="N33" s="66">
        <v>146</v>
      </c>
      <c r="O33" s="66">
        <v>249</v>
      </c>
      <c r="P33" s="66">
        <v>181</v>
      </c>
      <c r="Q33" s="66">
        <v>91</v>
      </c>
      <c r="R33" s="66">
        <v>273</v>
      </c>
      <c r="S33" s="66">
        <v>279</v>
      </c>
      <c r="T33" s="66">
        <v>252</v>
      </c>
      <c r="U33" s="66">
        <v>85</v>
      </c>
      <c r="V33" s="66">
        <v>435</v>
      </c>
      <c r="W33" s="66">
        <v>139</v>
      </c>
      <c r="X33" s="66">
        <v>227</v>
      </c>
      <c r="Y33" s="66">
        <v>255</v>
      </c>
      <c r="Z33" s="66">
        <v>597</v>
      </c>
      <c r="AA33" s="66">
        <v>285</v>
      </c>
      <c r="AB33" s="66">
        <v>61</v>
      </c>
      <c r="AC33" s="66">
        <v>239</v>
      </c>
      <c r="AD33" s="66">
        <v>276</v>
      </c>
      <c r="AE33" s="66">
        <v>43</v>
      </c>
      <c r="AF33" s="66">
        <v>231</v>
      </c>
      <c r="AG33" s="66">
        <v>144</v>
      </c>
      <c r="AH33" s="66">
        <v>337</v>
      </c>
      <c r="AI33" s="66">
        <v>292</v>
      </c>
      <c r="AJ33" s="66">
        <v>352</v>
      </c>
      <c r="AK33" s="66">
        <v>331</v>
      </c>
      <c r="AL33" s="66">
        <v>388</v>
      </c>
      <c r="AM33" s="66">
        <v>303</v>
      </c>
      <c r="AN33" s="66">
        <v>131</v>
      </c>
      <c r="AO33" s="66">
        <v>331</v>
      </c>
      <c r="AP33" s="66">
        <v>397</v>
      </c>
      <c r="AQ33" s="66">
        <v>252</v>
      </c>
      <c r="AR33" s="66">
        <v>412</v>
      </c>
      <c r="AS33" s="66">
        <v>441</v>
      </c>
      <c r="AT33" s="66">
        <v>581</v>
      </c>
      <c r="AU33" s="66">
        <v>263</v>
      </c>
      <c r="AV33" s="66">
        <v>372</v>
      </c>
      <c r="AW33" s="66">
        <v>415</v>
      </c>
      <c r="AX33" s="66">
        <v>553</v>
      </c>
      <c r="AY33" s="66">
        <v>1309</v>
      </c>
      <c r="AZ33" s="66">
        <v>855</v>
      </c>
      <c r="BA33" s="66">
        <v>1021</v>
      </c>
      <c r="BB33" s="66">
        <v>675</v>
      </c>
      <c r="BC33" s="66">
        <v>849</v>
      </c>
      <c r="BD33" s="66">
        <v>646</v>
      </c>
      <c r="BE33" s="66">
        <v>85</v>
      </c>
      <c r="BF33" s="66">
        <v>0</v>
      </c>
      <c r="BG33" s="66">
        <v>328</v>
      </c>
      <c r="BH33" s="66">
        <v>97</v>
      </c>
      <c r="BI33" s="66">
        <v>231</v>
      </c>
      <c r="BJ33" s="66">
        <v>117</v>
      </c>
      <c r="BK33" s="66">
        <v>158</v>
      </c>
      <c r="BL33" s="66">
        <v>425</v>
      </c>
      <c r="BM33" s="66">
        <v>224</v>
      </c>
      <c r="BN33" s="66">
        <v>160</v>
      </c>
      <c r="BO33" s="66">
        <v>243</v>
      </c>
      <c r="BP33" s="66">
        <v>91</v>
      </c>
      <c r="BQ33" s="66">
        <v>396</v>
      </c>
      <c r="BR33" s="66">
        <v>367</v>
      </c>
      <c r="BS33" s="66">
        <v>161</v>
      </c>
      <c r="BT33" s="66">
        <v>196</v>
      </c>
      <c r="BU33" s="66">
        <v>240</v>
      </c>
      <c r="BV33" s="66">
        <v>253</v>
      </c>
      <c r="BW33" s="66">
        <v>161</v>
      </c>
      <c r="BX33" s="66">
        <v>380</v>
      </c>
      <c r="BY33" s="66">
        <v>218</v>
      </c>
      <c r="BZ33" s="66">
        <v>411</v>
      </c>
      <c r="CA33" s="66">
        <v>595</v>
      </c>
      <c r="CB33" s="66">
        <v>269</v>
      </c>
      <c r="CC33" s="66">
        <v>498</v>
      </c>
      <c r="CD33" s="66">
        <v>286</v>
      </c>
      <c r="CE33" s="66">
        <v>150</v>
      </c>
      <c r="CF33" s="66">
        <v>372</v>
      </c>
      <c r="CG33" s="66">
        <v>463</v>
      </c>
      <c r="CH33" s="66">
        <v>96</v>
      </c>
      <c r="CI33" s="66">
        <v>507</v>
      </c>
      <c r="CJ33" s="66">
        <v>159</v>
      </c>
      <c r="CK33" s="66">
        <v>589</v>
      </c>
      <c r="CL33" s="66">
        <v>163</v>
      </c>
      <c r="CM33" s="66">
        <v>539</v>
      </c>
      <c r="CN33" s="66">
        <v>253</v>
      </c>
      <c r="CO33" s="66">
        <v>184</v>
      </c>
      <c r="CP33" s="66">
        <v>271</v>
      </c>
      <c r="CQ33" s="66">
        <v>115</v>
      </c>
      <c r="CR33" s="66">
        <v>501</v>
      </c>
      <c r="CS33" s="66">
        <v>378</v>
      </c>
      <c r="CT33" s="66">
        <v>340</v>
      </c>
      <c r="CU33" s="66">
        <v>499</v>
      </c>
      <c r="CV33" s="66">
        <v>422</v>
      </c>
      <c r="CW33" s="66">
        <v>228</v>
      </c>
      <c r="CX33" s="66">
        <v>845</v>
      </c>
      <c r="CY33" s="66">
        <v>1079</v>
      </c>
      <c r="CZ33" s="66">
        <v>660</v>
      </c>
      <c r="DA33" s="66">
        <v>567</v>
      </c>
    </row>
    <row r="34" spans="1:105" ht="15" x14ac:dyDescent="0.35">
      <c r="A34" s="5" t="s">
        <v>275</v>
      </c>
      <c r="B34" s="5" t="s">
        <v>449</v>
      </c>
      <c r="C34" s="66">
        <v>0</v>
      </c>
      <c r="D34" s="66">
        <v>0</v>
      </c>
      <c r="E34" s="66">
        <v>0</v>
      </c>
      <c r="F34" s="66">
        <v>0</v>
      </c>
      <c r="G34" s="66">
        <v>48</v>
      </c>
      <c r="H34" s="66">
        <v>115</v>
      </c>
      <c r="I34" s="66">
        <v>240</v>
      </c>
      <c r="J34" s="66">
        <v>162</v>
      </c>
      <c r="K34" s="66">
        <v>158</v>
      </c>
      <c r="L34" s="66">
        <v>155</v>
      </c>
      <c r="M34" s="66">
        <v>520</v>
      </c>
      <c r="N34" s="66">
        <v>106</v>
      </c>
      <c r="O34" s="66">
        <v>125</v>
      </c>
      <c r="P34" s="66">
        <v>167</v>
      </c>
      <c r="Q34" s="66">
        <v>55</v>
      </c>
      <c r="R34" s="66">
        <v>208</v>
      </c>
      <c r="S34" s="66">
        <v>143</v>
      </c>
      <c r="T34" s="66">
        <v>210</v>
      </c>
      <c r="U34" s="66">
        <v>76</v>
      </c>
      <c r="V34" s="66">
        <v>78</v>
      </c>
      <c r="W34" s="66">
        <v>154</v>
      </c>
      <c r="X34" s="66">
        <v>405</v>
      </c>
      <c r="Y34" s="66">
        <v>32</v>
      </c>
      <c r="Z34" s="66">
        <v>145</v>
      </c>
      <c r="AA34" s="66">
        <v>123</v>
      </c>
      <c r="AB34" s="66">
        <v>55</v>
      </c>
      <c r="AC34" s="66">
        <v>152</v>
      </c>
      <c r="AD34" s="66">
        <v>181</v>
      </c>
      <c r="AE34" s="66">
        <v>125</v>
      </c>
      <c r="AF34" s="66">
        <v>308</v>
      </c>
      <c r="AG34" s="66">
        <v>123</v>
      </c>
      <c r="AH34" s="66">
        <v>88</v>
      </c>
      <c r="AI34" s="66">
        <v>172</v>
      </c>
      <c r="AJ34" s="66">
        <v>63</v>
      </c>
      <c r="AK34" s="66">
        <v>60</v>
      </c>
      <c r="AL34" s="66">
        <v>62</v>
      </c>
      <c r="AM34" s="66">
        <v>52</v>
      </c>
      <c r="AN34" s="66">
        <v>0</v>
      </c>
      <c r="AO34" s="66">
        <v>0</v>
      </c>
      <c r="AP34" s="66">
        <v>0</v>
      </c>
      <c r="AQ34" s="66">
        <v>1</v>
      </c>
      <c r="AR34" s="66">
        <v>0</v>
      </c>
      <c r="AS34" s="66">
        <v>0</v>
      </c>
      <c r="AT34" s="66">
        <v>207</v>
      </c>
      <c r="AU34" s="66">
        <v>326</v>
      </c>
      <c r="AV34" s="66">
        <v>32</v>
      </c>
      <c r="AW34" s="66">
        <v>250</v>
      </c>
      <c r="AX34" s="66">
        <v>347</v>
      </c>
      <c r="AY34" s="66">
        <v>139</v>
      </c>
      <c r="AZ34" s="66">
        <v>146</v>
      </c>
      <c r="BA34" s="66">
        <v>202</v>
      </c>
      <c r="BB34" s="66">
        <v>487</v>
      </c>
      <c r="BC34" s="66">
        <v>122</v>
      </c>
      <c r="BD34" s="66">
        <v>81</v>
      </c>
      <c r="BE34" s="66">
        <v>211</v>
      </c>
      <c r="BF34" s="66">
        <v>0</v>
      </c>
      <c r="BG34" s="66">
        <v>79</v>
      </c>
      <c r="BH34" s="66">
        <v>197</v>
      </c>
      <c r="BI34" s="66">
        <v>369</v>
      </c>
      <c r="BJ34" s="66">
        <v>159</v>
      </c>
      <c r="BK34" s="66">
        <v>41</v>
      </c>
      <c r="BL34" s="66">
        <v>80</v>
      </c>
      <c r="BM34" s="66">
        <v>201</v>
      </c>
      <c r="BN34" s="66">
        <v>240</v>
      </c>
      <c r="BO34" s="66">
        <v>91</v>
      </c>
      <c r="BP34" s="66">
        <v>40</v>
      </c>
      <c r="BQ34" s="66">
        <v>90</v>
      </c>
      <c r="BR34" s="66">
        <v>151</v>
      </c>
      <c r="BS34" s="66">
        <v>172</v>
      </c>
      <c r="BT34" s="66">
        <v>174</v>
      </c>
      <c r="BU34" s="66">
        <v>79</v>
      </c>
      <c r="BV34" s="66">
        <v>63</v>
      </c>
      <c r="BW34" s="66">
        <v>69</v>
      </c>
      <c r="BX34" s="66">
        <v>66</v>
      </c>
      <c r="BY34" s="66">
        <v>331</v>
      </c>
      <c r="BZ34" s="66">
        <v>63</v>
      </c>
      <c r="CA34" s="66">
        <v>103</v>
      </c>
      <c r="CB34" s="66">
        <v>371</v>
      </c>
      <c r="CC34" s="66">
        <v>102</v>
      </c>
      <c r="CD34" s="66">
        <v>346</v>
      </c>
      <c r="CE34" s="66">
        <v>79</v>
      </c>
      <c r="CF34" s="66">
        <v>67</v>
      </c>
      <c r="CG34" s="66">
        <v>79</v>
      </c>
      <c r="CH34" s="66">
        <v>81</v>
      </c>
      <c r="CI34" s="66">
        <v>118</v>
      </c>
      <c r="CJ34" s="66">
        <v>116</v>
      </c>
      <c r="CK34" s="66">
        <v>65</v>
      </c>
      <c r="CL34" s="66">
        <v>517</v>
      </c>
      <c r="CM34" s="66">
        <v>217</v>
      </c>
      <c r="CN34" s="66">
        <v>224</v>
      </c>
      <c r="CO34" s="66">
        <v>137</v>
      </c>
      <c r="CP34" s="66">
        <v>111</v>
      </c>
      <c r="CQ34" s="66">
        <v>15</v>
      </c>
      <c r="CR34" s="66">
        <v>268</v>
      </c>
      <c r="CS34" s="66">
        <v>87</v>
      </c>
      <c r="CT34" s="66">
        <v>90</v>
      </c>
      <c r="CU34" s="66">
        <v>232</v>
      </c>
      <c r="CV34" s="66">
        <v>392</v>
      </c>
      <c r="CW34" s="66">
        <v>167</v>
      </c>
      <c r="CX34" s="66">
        <v>157</v>
      </c>
      <c r="CY34" s="66">
        <v>124</v>
      </c>
      <c r="CZ34" s="66">
        <v>318</v>
      </c>
      <c r="DA34" s="66">
        <v>258</v>
      </c>
    </row>
    <row r="35" spans="1:105" ht="15" x14ac:dyDescent="0.35">
      <c r="A35" s="5" t="s">
        <v>276</v>
      </c>
      <c r="B35" s="5" t="s">
        <v>450</v>
      </c>
      <c r="C35" s="66">
        <v>0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66">
        <v>0</v>
      </c>
      <c r="O35" s="66">
        <v>0</v>
      </c>
      <c r="P35" s="66">
        <v>0</v>
      </c>
      <c r="Q35" s="66">
        <v>0</v>
      </c>
      <c r="R35" s="66">
        <v>0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66">
        <v>0</v>
      </c>
      <c r="AA35" s="66">
        <v>0</v>
      </c>
      <c r="AB35" s="66">
        <v>0</v>
      </c>
      <c r="AC35" s="66">
        <v>0</v>
      </c>
      <c r="AD35" s="66">
        <v>0</v>
      </c>
      <c r="AE35" s="66">
        <v>0</v>
      </c>
      <c r="AF35" s="66">
        <v>0</v>
      </c>
      <c r="AG35" s="66">
        <v>13</v>
      </c>
      <c r="AH35" s="66">
        <v>59</v>
      </c>
      <c r="AI35" s="66">
        <v>51</v>
      </c>
      <c r="AJ35" s="66">
        <v>160</v>
      </c>
      <c r="AK35" s="66">
        <v>72</v>
      </c>
      <c r="AL35" s="66">
        <v>67</v>
      </c>
      <c r="AM35" s="66">
        <v>54</v>
      </c>
      <c r="AN35" s="66">
        <v>56</v>
      </c>
      <c r="AO35" s="66">
        <v>62</v>
      </c>
      <c r="AP35" s="66">
        <v>83</v>
      </c>
      <c r="AQ35" s="66">
        <v>115</v>
      </c>
      <c r="AR35" s="66">
        <v>204</v>
      </c>
      <c r="AS35" s="66">
        <v>150</v>
      </c>
      <c r="AT35" s="66">
        <v>125</v>
      </c>
      <c r="AU35" s="66">
        <v>173</v>
      </c>
      <c r="AV35" s="66">
        <v>105</v>
      </c>
      <c r="AW35" s="66">
        <v>97</v>
      </c>
      <c r="AX35" s="66">
        <v>185</v>
      </c>
      <c r="AY35" s="66">
        <v>103</v>
      </c>
      <c r="AZ35" s="66">
        <v>173</v>
      </c>
      <c r="BA35" s="66">
        <v>101</v>
      </c>
      <c r="BB35" s="66">
        <v>266</v>
      </c>
      <c r="BC35" s="66">
        <v>104</v>
      </c>
      <c r="BD35" s="66">
        <v>160</v>
      </c>
      <c r="BE35" s="66">
        <v>55</v>
      </c>
      <c r="BF35" s="66">
        <v>0</v>
      </c>
      <c r="BG35" s="66">
        <v>39</v>
      </c>
      <c r="BH35" s="66">
        <v>99</v>
      </c>
      <c r="BI35" s="66">
        <v>92</v>
      </c>
      <c r="BJ35" s="66">
        <v>114</v>
      </c>
      <c r="BK35" s="66">
        <v>72</v>
      </c>
      <c r="BL35" s="66">
        <v>128</v>
      </c>
      <c r="BM35" s="66">
        <v>176</v>
      </c>
      <c r="BN35" s="66">
        <v>135</v>
      </c>
      <c r="BO35" s="66">
        <v>139</v>
      </c>
      <c r="BP35" s="66">
        <v>110</v>
      </c>
      <c r="BQ35" s="66">
        <v>163</v>
      </c>
      <c r="BR35" s="66">
        <v>116</v>
      </c>
      <c r="BS35" s="66">
        <v>167</v>
      </c>
      <c r="BT35" s="66">
        <v>64</v>
      </c>
      <c r="BU35" s="66">
        <v>132</v>
      </c>
      <c r="BV35" s="66">
        <v>80</v>
      </c>
      <c r="BW35" s="66">
        <v>48</v>
      </c>
      <c r="BX35" s="66">
        <v>172</v>
      </c>
      <c r="BY35" s="66">
        <v>175</v>
      </c>
      <c r="BZ35" s="66">
        <v>220</v>
      </c>
      <c r="CA35" s="66">
        <v>41</v>
      </c>
      <c r="CB35" s="66">
        <v>64</v>
      </c>
      <c r="CC35" s="66">
        <v>143</v>
      </c>
      <c r="CD35" s="66">
        <v>221</v>
      </c>
      <c r="CE35" s="66">
        <v>69</v>
      </c>
      <c r="CF35" s="66">
        <v>73</v>
      </c>
      <c r="CG35" s="66">
        <v>45</v>
      </c>
      <c r="CH35" s="66">
        <v>98</v>
      </c>
      <c r="CI35" s="66">
        <v>144</v>
      </c>
      <c r="CJ35" s="66">
        <v>472</v>
      </c>
      <c r="CK35" s="66">
        <v>93</v>
      </c>
      <c r="CL35" s="66">
        <v>144</v>
      </c>
      <c r="CM35" s="66">
        <v>173</v>
      </c>
      <c r="CN35" s="66">
        <v>30</v>
      </c>
      <c r="CO35" s="66">
        <v>119</v>
      </c>
      <c r="CP35" s="66">
        <v>104</v>
      </c>
      <c r="CQ35" s="66">
        <v>69</v>
      </c>
      <c r="CR35" s="66">
        <v>806</v>
      </c>
      <c r="CS35" s="66">
        <v>301</v>
      </c>
      <c r="CT35" s="66">
        <v>45</v>
      </c>
      <c r="CU35" s="66">
        <v>100</v>
      </c>
      <c r="CV35" s="66">
        <v>82</v>
      </c>
      <c r="CW35" s="66">
        <v>101</v>
      </c>
      <c r="CX35" s="66">
        <v>507</v>
      </c>
      <c r="CY35" s="66">
        <v>279</v>
      </c>
      <c r="CZ35" s="66">
        <v>117</v>
      </c>
      <c r="DA35" s="66">
        <v>201</v>
      </c>
    </row>
    <row r="36" spans="1:105" ht="15" x14ac:dyDescent="0.35">
      <c r="A36" s="5" t="s">
        <v>277</v>
      </c>
      <c r="B36" s="5" t="s">
        <v>451</v>
      </c>
      <c r="C36" s="66">
        <v>20</v>
      </c>
      <c r="D36" s="66">
        <v>28</v>
      </c>
      <c r="E36" s="66">
        <v>13</v>
      </c>
      <c r="F36" s="66">
        <v>0</v>
      </c>
      <c r="G36" s="66">
        <v>17</v>
      </c>
      <c r="H36" s="66">
        <v>33</v>
      </c>
      <c r="I36" s="66">
        <v>26</v>
      </c>
      <c r="J36" s="66">
        <v>26</v>
      </c>
      <c r="K36" s="66">
        <v>45</v>
      </c>
      <c r="L36" s="66">
        <v>23</v>
      </c>
      <c r="M36" s="66">
        <v>85</v>
      </c>
      <c r="N36" s="66">
        <v>82</v>
      </c>
      <c r="O36" s="66">
        <v>42</v>
      </c>
      <c r="P36" s="66">
        <v>29</v>
      </c>
      <c r="Q36" s="66">
        <v>71</v>
      </c>
      <c r="R36" s="66">
        <v>56</v>
      </c>
      <c r="S36" s="66">
        <v>30</v>
      </c>
      <c r="T36" s="66">
        <v>99</v>
      </c>
      <c r="U36" s="66">
        <v>149</v>
      </c>
      <c r="V36" s="66">
        <v>100</v>
      </c>
      <c r="W36" s="66">
        <v>184</v>
      </c>
      <c r="X36" s="66">
        <v>102</v>
      </c>
      <c r="Y36" s="66">
        <v>101</v>
      </c>
      <c r="Z36" s="66">
        <v>107</v>
      </c>
      <c r="AA36" s="66">
        <v>211</v>
      </c>
      <c r="AB36" s="66">
        <v>97</v>
      </c>
      <c r="AC36" s="66">
        <v>193</v>
      </c>
      <c r="AD36" s="66">
        <v>145</v>
      </c>
      <c r="AE36" s="66">
        <v>91</v>
      </c>
      <c r="AF36" s="66">
        <v>198</v>
      </c>
      <c r="AG36" s="66">
        <v>113</v>
      </c>
      <c r="AH36" s="66">
        <v>100</v>
      </c>
      <c r="AI36" s="66">
        <v>45</v>
      </c>
      <c r="AJ36" s="66">
        <v>30</v>
      </c>
      <c r="AK36" s="66">
        <v>51</v>
      </c>
      <c r="AL36" s="66">
        <v>85</v>
      </c>
      <c r="AM36" s="66">
        <v>100</v>
      </c>
      <c r="AN36" s="66">
        <v>45</v>
      </c>
      <c r="AO36" s="66">
        <v>164</v>
      </c>
      <c r="AP36" s="66">
        <v>59</v>
      </c>
      <c r="AQ36" s="66">
        <v>29</v>
      </c>
      <c r="AR36" s="66">
        <v>71</v>
      </c>
      <c r="AS36" s="66">
        <v>453</v>
      </c>
      <c r="AT36" s="66">
        <v>16</v>
      </c>
      <c r="AU36" s="66">
        <v>44</v>
      </c>
      <c r="AV36" s="66">
        <v>22</v>
      </c>
      <c r="AW36" s="66">
        <v>13</v>
      </c>
      <c r="AX36" s="66">
        <v>50</v>
      </c>
      <c r="AY36" s="66">
        <v>32</v>
      </c>
      <c r="AZ36" s="66">
        <v>29</v>
      </c>
      <c r="BA36" s="66">
        <v>55</v>
      </c>
      <c r="BB36" s="66">
        <v>12</v>
      </c>
      <c r="BC36" s="66">
        <v>23</v>
      </c>
      <c r="BD36" s="66">
        <v>21</v>
      </c>
      <c r="BE36" s="66">
        <v>15</v>
      </c>
      <c r="BF36" s="66">
        <v>0</v>
      </c>
      <c r="BG36" s="66">
        <v>40</v>
      </c>
      <c r="BH36" s="66">
        <v>338</v>
      </c>
      <c r="BI36" s="66">
        <v>18</v>
      </c>
      <c r="BJ36" s="66">
        <v>39</v>
      </c>
      <c r="BK36" s="66">
        <v>49</v>
      </c>
      <c r="BL36" s="66">
        <v>28</v>
      </c>
      <c r="BM36" s="66">
        <v>137</v>
      </c>
      <c r="BN36" s="66">
        <v>127</v>
      </c>
      <c r="BO36" s="66">
        <v>305</v>
      </c>
      <c r="BP36" s="66">
        <v>81</v>
      </c>
      <c r="BQ36" s="66">
        <v>11</v>
      </c>
      <c r="BR36" s="66">
        <v>8</v>
      </c>
      <c r="BS36" s="66">
        <v>220</v>
      </c>
      <c r="BT36" s="66">
        <v>9</v>
      </c>
      <c r="BU36" s="66">
        <v>0</v>
      </c>
      <c r="BV36" s="66">
        <v>25</v>
      </c>
      <c r="BW36" s="66">
        <v>0</v>
      </c>
      <c r="BX36" s="66">
        <v>79</v>
      </c>
      <c r="BY36" s="66">
        <v>88</v>
      </c>
      <c r="BZ36" s="66">
        <v>92</v>
      </c>
      <c r="CA36" s="66">
        <v>69</v>
      </c>
      <c r="CB36" s="66">
        <v>52</v>
      </c>
      <c r="CC36" s="66">
        <v>43</v>
      </c>
      <c r="CD36" s="66">
        <v>37</v>
      </c>
      <c r="CE36" s="66">
        <v>18</v>
      </c>
      <c r="CF36" s="66">
        <v>33</v>
      </c>
      <c r="CG36" s="66">
        <v>48</v>
      </c>
      <c r="CH36" s="66">
        <v>6</v>
      </c>
      <c r="CI36" s="66">
        <v>32</v>
      </c>
      <c r="CJ36" s="66">
        <v>19</v>
      </c>
      <c r="CK36" s="66">
        <v>150</v>
      </c>
      <c r="CL36" s="66">
        <v>17</v>
      </c>
      <c r="CM36" s="66">
        <v>18</v>
      </c>
      <c r="CN36" s="66">
        <v>25</v>
      </c>
      <c r="CO36" s="66">
        <v>40</v>
      </c>
      <c r="CP36" s="66">
        <v>54</v>
      </c>
      <c r="CQ36" s="66">
        <v>19</v>
      </c>
      <c r="CR36" s="66">
        <v>46</v>
      </c>
      <c r="CS36" s="66">
        <v>22</v>
      </c>
      <c r="CT36" s="66">
        <v>33</v>
      </c>
      <c r="CU36" s="66">
        <v>17</v>
      </c>
      <c r="CV36" s="66">
        <v>35</v>
      </c>
      <c r="CW36" s="66">
        <v>17</v>
      </c>
      <c r="CX36" s="66">
        <v>23</v>
      </c>
      <c r="CY36" s="66">
        <v>32</v>
      </c>
      <c r="CZ36" s="66">
        <v>20</v>
      </c>
      <c r="DA36" s="66">
        <v>25</v>
      </c>
    </row>
    <row r="37" spans="1:105" ht="15" x14ac:dyDescent="0.35">
      <c r="A37" s="5" t="s">
        <v>278</v>
      </c>
      <c r="B37" s="5" t="s">
        <v>452</v>
      </c>
      <c r="C37" s="66">
        <v>141</v>
      </c>
      <c r="D37" s="66">
        <v>232</v>
      </c>
      <c r="E37" s="66">
        <v>4</v>
      </c>
      <c r="F37" s="66">
        <v>0</v>
      </c>
      <c r="G37" s="66">
        <v>44</v>
      </c>
      <c r="H37" s="66">
        <v>30</v>
      </c>
      <c r="I37" s="66">
        <v>46</v>
      </c>
      <c r="J37" s="66">
        <v>29</v>
      </c>
      <c r="K37" s="66">
        <v>19</v>
      </c>
      <c r="L37" s="66">
        <v>34</v>
      </c>
      <c r="M37" s="66">
        <v>94</v>
      </c>
      <c r="N37" s="66">
        <v>177</v>
      </c>
      <c r="O37" s="66">
        <v>47</v>
      </c>
      <c r="P37" s="66">
        <v>25</v>
      </c>
      <c r="Q37" s="66">
        <v>66</v>
      </c>
      <c r="R37" s="66">
        <v>60</v>
      </c>
      <c r="S37" s="66">
        <v>39</v>
      </c>
      <c r="T37" s="66">
        <v>102</v>
      </c>
      <c r="U37" s="66">
        <v>105</v>
      </c>
      <c r="V37" s="66">
        <v>45</v>
      </c>
      <c r="W37" s="66">
        <v>49</v>
      </c>
      <c r="X37" s="66">
        <v>46</v>
      </c>
      <c r="Y37" s="66">
        <v>50</v>
      </c>
      <c r="Z37" s="66">
        <v>140</v>
      </c>
      <c r="AA37" s="66">
        <v>62</v>
      </c>
      <c r="AB37" s="66">
        <v>29</v>
      </c>
      <c r="AC37" s="66">
        <v>57</v>
      </c>
      <c r="AD37" s="66">
        <v>93</v>
      </c>
      <c r="AE37" s="66">
        <v>60</v>
      </c>
      <c r="AF37" s="66">
        <v>49</v>
      </c>
      <c r="AG37" s="66">
        <v>38</v>
      </c>
      <c r="AH37" s="66">
        <v>351</v>
      </c>
      <c r="AI37" s="66">
        <v>105</v>
      </c>
      <c r="AJ37" s="66">
        <v>333</v>
      </c>
      <c r="AK37" s="66">
        <v>44</v>
      </c>
      <c r="AL37" s="66">
        <v>83</v>
      </c>
      <c r="AM37" s="66">
        <v>80</v>
      </c>
      <c r="AN37" s="66">
        <v>1</v>
      </c>
      <c r="AO37" s="66">
        <v>0</v>
      </c>
      <c r="AP37" s="66">
        <v>0</v>
      </c>
      <c r="AQ37" s="66">
        <v>0</v>
      </c>
      <c r="AR37" s="66">
        <v>2</v>
      </c>
      <c r="AS37" s="66">
        <v>0</v>
      </c>
      <c r="AT37" s="66">
        <v>0</v>
      </c>
      <c r="AU37" s="66">
        <v>0</v>
      </c>
      <c r="AV37" s="66">
        <v>0</v>
      </c>
      <c r="AW37" s="66">
        <v>79</v>
      </c>
      <c r="AX37" s="66">
        <v>52</v>
      </c>
      <c r="AY37" s="66">
        <v>134</v>
      </c>
      <c r="AZ37" s="66">
        <v>87</v>
      </c>
      <c r="BA37" s="66">
        <v>53</v>
      </c>
      <c r="BB37" s="66">
        <v>67</v>
      </c>
      <c r="BC37" s="66">
        <v>67</v>
      </c>
      <c r="BD37" s="66">
        <v>25</v>
      </c>
      <c r="BE37" s="66">
        <v>8</v>
      </c>
      <c r="BF37" s="66">
        <v>0</v>
      </c>
      <c r="BG37" s="66">
        <v>74</v>
      </c>
      <c r="BH37" s="66">
        <v>33</v>
      </c>
      <c r="BI37" s="66">
        <v>19</v>
      </c>
      <c r="BJ37" s="66">
        <v>114</v>
      </c>
      <c r="BK37" s="66">
        <v>50</v>
      </c>
      <c r="BL37" s="66">
        <v>20</v>
      </c>
      <c r="BM37" s="66">
        <v>25</v>
      </c>
      <c r="BN37" s="66">
        <v>24</v>
      </c>
      <c r="BO37" s="66">
        <v>74</v>
      </c>
      <c r="BP37" s="66">
        <v>32</v>
      </c>
      <c r="BQ37" s="66">
        <v>68</v>
      </c>
      <c r="BR37" s="66">
        <v>52</v>
      </c>
      <c r="BS37" s="66">
        <v>35</v>
      </c>
      <c r="BT37" s="66">
        <v>19</v>
      </c>
      <c r="BU37" s="66">
        <v>61</v>
      </c>
      <c r="BV37" s="66">
        <v>54</v>
      </c>
      <c r="BW37" s="66">
        <v>19</v>
      </c>
      <c r="BX37" s="66">
        <v>59</v>
      </c>
      <c r="BY37" s="66">
        <v>67</v>
      </c>
      <c r="BZ37" s="66">
        <v>141</v>
      </c>
      <c r="CA37" s="66">
        <v>23</v>
      </c>
      <c r="CB37" s="66">
        <v>13</v>
      </c>
      <c r="CC37" s="66">
        <v>537</v>
      </c>
      <c r="CD37" s="66">
        <v>15</v>
      </c>
      <c r="CE37" s="66">
        <v>29</v>
      </c>
      <c r="CF37" s="66">
        <v>11</v>
      </c>
      <c r="CG37" s="66">
        <v>546</v>
      </c>
      <c r="CH37" s="66">
        <v>34</v>
      </c>
      <c r="CI37" s="66">
        <v>45</v>
      </c>
      <c r="CJ37" s="66">
        <v>33</v>
      </c>
      <c r="CK37" s="66">
        <v>37</v>
      </c>
      <c r="CL37" s="66">
        <v>25</v>
      </c>
      <c r="CM37" s="66">
        <v>51</v>
      </c>
      <c r="CN37" s="66">
        <v>21</v>
      </c>
      <c r="CO37" s="66">
        <v>43</v>
      </c>
      <c r="CP37" s="66">
        <v>33</v>
      </c>
      <c r="CQ37" s="66">
        <v>551</v>
      </c>
      <c r="CR37" s="66">
        <v>16</v>
      </c>
      <c r="CS37" s="66">
        <v>150</v>
      </c>
      <c r="CT37" s="66">
        <v>39</v>
      </c>
      <c r="CU37" s="66">
        <v>23</v>
      </c>
      <c r="CV37" s="66">
        <v>30</v>
      </c>
      <c r="CW37" s="66">
        <v>16</v>
      </c>
      <c r="CX37" s="66">
        <v>34</v>
      </c>
      <c r="CY37" s="66">
        <v>24</v>
      </c>
      <c r="CZ37" s="66">
        <v>21</v>
      </c>
      <c r="DA37" s="66">
        <v>96</v>
      </c>
    </row>
    <row r="38" spans="1:105" ht="15" x14ac:dyDescent="0.35">
      <c r="A38" s="5" t="s">
        <v>279</v>
      </c>
      <c r="B38" s="5" t="s">
        <v>453</v>
      </c>
      <c r="C38" s="66">
        <v>37</v>
      </c>
      <c r="D38" s="66">
        <v>9</v>
      </c>
      <c r="E38" s="66">
        <v>9</v>
      </c>
      <c r="F38" s="66">
        <v>0</v>
      </c>
      <c r="G38" s="66">
        <v>0</v>
      </c>
      <c r="H38" s="66">
        <v>0</v>
      </c>
      <c r="I38" s="66">
        <v>9</v>
      </c>
      <c r="J38" s="66">
        <v>0</v>
      </c>
      <c r="K38" s="66">
        <v>0</v>
      </c>
      <c r="L38" s="66">
        <v>3</v>
      </c>
      <c r="M38" s="66">
        <v>0</v>
      </c>
      <c r="N38" s="66">
        <v>0</v>
      </c>
      <c r="O38" s="66">
        <v>0</v>
      </c>
      <c r="P38" s="66">
        <v>0</v>
      </c>
      <c r="Q38" s="66">
        <v>0</v>
      </c>
      <c r="R38" s="66">
        <v>0</v>
      </c>
      <c r="S38" s="66">
        <v>4</v>
      </c>
      <c r="T38" s="66">
        <v>6</v>
      </c>
      <c r="U38" s="66"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3</v>
      </c>
      <c r="AC38" s="66">
        <v>0</v>
      </c>
      <c r="AD38" s="66">
        <v>0</v>
      </c>
      <c r="AE38" s="66">
        <v>0</v>
      </c>
      <c r="AF38" s="66">
        <v>18</v>
      </c>
      <c r="AG38" s="66">
        <v>2</v>
      </c>
      <c r="AH38" s="66">
        <v>1</v>
      </c>
      <c r="AI38" s="66">
        <v>35</v>
      </c>
      <c r="AJ38" s="66">
        <v>24</v>
      </c>
      <c r="AK38" s="66">
        <v>47</v>
      </c>
      <c r="AL38" s="66">
        <v>24</v>
      </c>
      <c r="AM38" s="66">
        <v>36</v>
      </c>
      <c r="AN38" s="66">
        <v>60</v>
      </c>
      <c r="AO38" s="66">
        <v>1943</v>
      </c>
      <c r="AP38" s="66">
        <v>156</v>
      </c>
      <c r="AQ38" s="66">
        <v>91</v>
      </c>
      <c r="AR38" s="66">
        <v>274</v>
      </c>
      <c r="AS38" s="66">
        <v>300</v>
      </c>
      <c r="AT38" s="66">
        <v>3382</v>
      </c>
      <c r="AU38" s="66">
        <v>259</v>
      </c>
      <c r="AV38" s="66">
        <v>742</v>
      </c>
      <c r="AW38" s="66">
        <v>184</v>
      </c>
      <c r="AX38" s="66">
        <v>9715</v>
      </c>
      <c r="AY38" s="66">
        <v>416</v>
      </c>
      <c r="AZ38" s="66">
        <v>1423</v>
      </c>
      <c r="BA38" s="66">
        <v>647</v>
      </c>
      <c r="BB38" s="66">
        <v>0</v>
      </c>
      <c r="BC38" s="66">
        <v>652</v>
      </c>
      <c r="BD38" s="66">
        <v>801</v>
      </c>
      <c r="BE38" s="66">
        <v>184</v>
      </c>
      <c r="BF38" s="66">
        <v>0</v>
      </c>
      <c r="BG38" s="66">
        <v>3</v>
      </c>
      <c r="BH38" s="66">
        <v>13</v>
      </c>
      <c r="BI38" s="66">
        <v>11</v>
      </c>
      <c r="BJ38" s="66">
        <v>1</v>
      </c>
      <c r="BK38" s="66">
        <v>12</v>
      </c>
      <c r="BL38" s="66">
        <v>11</v>
      </c>
      <c r="BM38" s="66">
        <v>5</v>
      </c>
      <c r="BN38" s="66">
        <v>6</v>
      </c>
      <c r="BO38" s="66">
        <v>3</v>
      </c>
      <c r="BP38" s="66">
        <v>2</v>
      </c>
      <c r="BQ38" s="66">
        <v>5</v>
      </c>
      <c r="BR38" s="66">
        <v>0</v>
      </c>
      <c r="BS38" s="66">
        <v>3</v>
      </c>
      <c r="BT38" s="66">
        <v>0</v>
      </c>
      <c r="BU38" s="66">
        <v>0</v>
      </c>
      <c r="BV38" s="66">
        <v>6</v>
      </c>
      <c r="BW38" s="66">
        <v>0</v>
      </c>
      <c r="BX38" s="66">
        <v>0</v>
      </c>
      <c r="BY38" s="66">
        <v>48</v>
      </c>
      <c r="BZ38" s="66">
        <v>0</v>
      </c>
      <c r="CA38" s="66">
        <v>12</v>
      </c>
      <c r="CB38" s="66">
        <v>1</v>
      </c>
      <c r="CC38" s="66">
        <v>0</v>
      </c>
      <c r="CD38" s="66">
        <v>2</v>
      </c>
      <c r="CE38" s="66">
        <v>1</v>
      </c>
      <c r="CF38" s="66">
        <v>3</v>
      </c>
      <c r="CG38" s="66">
        <v>120</v>
      </c>
      <c r="CH38" s="66">
        <v>0</v>
      </c>
      <c r="CI38" s="66">
        <v>1</v>
      </c>
      <c r="CJ38" s="66">
        <v>7</v>
      </c>
      <c r="CK38" s="66">
        <v>12</v>
      </c>
      <c r="CL38" s="66">
        <v>6</v>
      </c>
      <c r="CM38" s="66">
        <v>17</v>
      </c>
      <c r="CN38" s="66">
        <v>18</v>
      </c>
      <c r="CO38" s="66">
        <v>64</v>
      </c>
      <c r="CP38" s="66">
        <v>56</v>
      </c>
      <c r="CQ38" s="66">
        <v>294</v>
      </c>
      <c r="CR38" s="66">
        <v>373</v>
      </c>
      <c r="CS38" s="66">
        <v>40</v>
      </c>
      <c r="CT38" s="66">
        <v>202</v>
      </c>
      <c r="CU38" s="66">
        <v>487</v>
      </c>
      <c r="CV38" s="66">
        <v>526</v>
      </c>
      <c r="CW38" s="66">
        <v>686</v>
      </c>
      <c r="CX38" s="66">
        <v>319</v>
      </c>
      <c r="CY38" s="66">
        <v>594</v>
      </c>
      <c r="CZ38" s="66">
        <v>735</v>
      </c>
      <c r="DA38" s="66">
        <v>1170</v>
      </c>
    </row>
    <row r="39" spans="1:105" ht="15" x14ac:dyDescent="0.35">
      <c r="A39" s="5" t="s">
        <v>280</v>
      </c>
      <c r="B39" s="5" t="s">
        <v>454</v>
      </c>
      <c r="C39" s="66">
        <v>818</v>
      </c>
      <c r="D39" s="66">
        <v>103</v>
      </c>
      <c r="E39" s="66">
        <v>12</v>
      </c>
      <c r="F39" s="66">
        <v>0</v>
      </c>
      <c r="G39" s="66">
        <v>611</v>
      </c>
      <c r="H39" s="66">
        <v>121</v>
      </c>
      <c r="I39" s="66">
        <v>26</v>
      </c>
      <c r="J39" s="66">
        <v>16</v>
      </c>
      <c r="K39" s="66">
        <v>6</v>
      </c>
      <c r="L39" s="66">
        <v>16</v>
      </c>
      <c r="M39" s="66">
        <v>19</v>
      </c>
      <c r="N39" s="66">
        <v>273</v>
      </c>
      <c r="O39" s="66">
        <v>188</v>
      </c>
      <c r="P39" s="66">
        <v>91</v>
      </c>
      <c r="Q39" s="66">
        <v>77</v>
      </c>
      <c r="R39" s="66">
        <v>33</v>
      </c>
      <c r="S39" s="66">
        <v>19</v>
      </c>
      <c r="T39" s="66">
        <v>282</v>
      </c>
      <c r="U39" s="66">
        <v>58</v>
      </c>
      <c r="V39" s="66">
        <v>161</v>
      </c>
      <c r="W39" s="66">
        <v>134</v>
      </c>
      <c r="X39" s="66">
        <v>33</v>
      </c>
      <c r="Y39" s="66">
        <v>152</v>
      </c>
      <c r="Z39" s="66">
        <v>114</v>
      </c>
      <c r="AA39" s="66">
        <v>97</v>
      </c>
      <c r="AB39" s="66">
        <v>111</v>
      </c>
      <c r="AC39" s="66">
        <v>205</v>
      </c>
      <c r="AD39" s="66">
        <v>223</v>
      </c>
      <c r="AE39" s="66">
        <v>88</v>
      </c>
      <c r="AF39" s="66">
        <v>180</v>
      </c>
      <c r="AG39" s="66">
        <v>218</v>
      </c>
      <c r="AH39" s="66">
        <v>55</v>
      </c>
      <c r="AI39" s="66">
        <v>87</v>
      </c>
      <c r="AJ39" s="66">
        <v>25</v>
      </c>
      <c r="AK39" s="66">
        <v>98</v>
      </c>
      <c r="AL39" s="66">
        <v>123</v>
      </c>
      <c r="AM39" s="66">
        <v>160</v>
      </c>
      <c r="AN39" s="66">
        <v>200</v>
      </c>
      <c r="AO39" s="66">
        <v>63</v>
      </c>
      <c r="AP39" s="66">
        <v>149</v>
      </c>
      <c r="AQ39" s="66">
        <v>127</v>
      </c>
      <c r="AR39" s="66">
        <v>50</v>
      </c>
      <c r="AS39" s="66">
        <v>35</v>
      </c>
      <c r="AT39" s="66">
        <v>97</v>
      </c>
      <c r="AU39" s="66">
        <v>55</v>
      </c>
      <c r="AV39" s="66">
        <v>319</v>
      </c>
      <c r="AW39" s="66">
        <v>20</v>
      </c>
      <c r="AX39" s="66">
        <v>170</v>
      </c>
      <c r="AY39" s="66">
        <v>94</v>
      </c>
      <c r="AZ39" s="66">
        <v>45</v>
      </c>
      <c r="BA39" s="66">
        <v>90</v>
      </c>
      <c r="BB39" s="66">
        <v>92</v>
      </c>
      <c r="BC39" s="66">
        <v>29</v>
      </c>
      <c r="BD39" s="66">
        <v>20</v>
      </c>
      <c r="BE39" s="66">
        <v>32</v>
      </c>
      <c r="BF39" s="66">
        <v>0</v>
      </c>
      <c r="BG39" s="66">
        <v>24</v>
      </c>
      <c r="BH39" s="66">
        <v>55</v>
      </c>
      <c r="BI39" s="66">
        <v>23</v>
      </c>
      <c r="BJ39" s="66">
        <v>35</v>
      </c>
      <c r="BK39" s="66">
        <v>22</v>
      </c>
      <c r="BL39" s="66">
        <v>197</v>
      </c>
      <c r="BM39" s="66">
        <v>37</v>
      </c>
      <c r="BN39" s="66">
        <v>18</v>
      </c>
      <c r="BO39" s="66">
        <v>91</v>
      </c>
      <c r="BP39" s="66">
        <v>84</v>
      </c>
      <c r="BQ39" s="66">
        <v>191</v>
      </c>
      <c r="BR39" s="66">
        <v>55</v>
      </c>
      <c r="BS39" s="66">
        <v>78</v>
      </c>
      <c r="BT39" s="66">
        <v>74</v>
      </c>
      <c r="BU39" s="66">
        <v>33</v>
      </c>
      <c r="BV39" s="66">
        <v>23</v>
      </c>
      <c r="BW39" s="66">
        <v>50</v>
      </c>
      <c r="BX39" s="66">
        <v>176</v>
      </c>
      <c r="BY39" s="66">
        <v>98</v>
      </c>
      <c r="BZ39" s="66">
        <v>29</v>
      </c>
      <c r="CA39" s="66">
        <v>40</v>
      </c>
      <c r="CB39" s="66">
        <v>55</v>
      </c>
      <c r="CC39" s="66">
        <v>116</v>
      </c>
      <c r="CD39" s="66">
        <v>151</v>
      </c>
      <c r="CE39" s="66">
        <v>76</v>
      </c>
      <c r="CF39" s="66">
        <v>22</v>
      </c>
      <c r="CG39" s="66">
        <v>259</v>
      </c>
      <c r="CH39" s="66">
        <v>113</v>
      </c>
      <c r="CI39" s="66">
        <v>319</v>
      </c>
      <c r="CJ39" s="66">
        <v>23</v>
      </c>
      <c r="CK39" s="66">
        <v>105</v>
      </c>
      <c r="CL39" s="66">
        <v>37</v>
      </c>
      <c r="CM39" s="66">
        <v>138</v>
      </c>
      <c r="CN39" s="66">
        <v>155</v>
      </c>
      <c r="CO39" s="66">
        <v>25</v>
      </c>
      <c r="CP39" s="66">
        <v>131</v>
      </c>
      <c r="CQ39" s="66">
        <v>117</v>
      </c>
      <c r="CR39" s="66">
        <v>67</v>
      </c>
      <c r="CS39" s="66">
        <v>52</v>
      </c>
      <c r="CT39" s="66">
        <v>22</v>
      </c>
      <c r="CU39" s="66">
        <v>32</v>
      </c>
      <c r="CV39" s="66">
        <v>61</v>
      </c>
      <c r="CW39" s="66">
        <v>107</v>
      </c>
      <c r="CX39" s="66">
        <v>10</v>
      </c>
      <c r="CY39" s="66">
        <v>38</v>
      </c>
      <c r="CZ39" s="66">
        <v>100</v>
      </c>
      <c r="DA39" s="66">
        <v>8</v>
      </c>
    </row>
    <row r="40" spans="1:105" ht="15" x14ac:dyDescent="0.35">
      <c r="A40" s="5" t="s">
        <v>281</v>
      </c>
      <c r="B40" s="5" t="s">
        <v>455</v>
      </c>
      <c r="C40" s="66">
        <v>577</v>
      </c>
      <c r="D40" s="66">
        <v>783</v>
      </c>
      <c r="E40" s="66">
        <v>54</v>
      </c>
      <c r="F40" s="66">
        <v>0</v>
      </c>
      <c r="G40" s="66">
        <v>314</v>
      </c>
      <c r="H40" s="66">
        <v>162</v>
      </c>
      <c r="I40" s="66">
        <v>72</v>
      </c>
      <c r="J40" s="66">
        <v>0</v>
      </c>
      <c r="K40" s="66">
        <v>226</v>
      </c>
      <c r="L40" s="66">
        <v>370</v>
      </c>
      <c r="M40" s="66">
        <v>788</v>
      </c>
      <c r="N40" s="66">
        <v>238</v>
      </c>
      <c r="O40" s="66">
        <v>195</v>
      </c>
      <c r="P40" s="66">
        <v>1200</v>
      </c>
      <c r="Q40" s="66">
        <v>185</v>
      </c>
      <c r="R40" s="66">
        <v>115</v>
      </c>
      <c r="S40" s="66">
        <v>84</v>
      </c>
      <c r="T40" s="66">
        <v>179</v>
      </c>
      <c r="U40" s="66">
        <v>80</v>
      </c>
      <c r="V40" s="66">
        <v>190</v>
      </c>
      <c r="W40" s="66">
        <v>259</v>
      </c>
      <c r="X40" s="66">
        <v>249</v>
      </c>
      <c r="Y40" s="66">
        <v>99</v>
      </c>
      <c r="Z40" s="66">
        <v>236</v>
      </c>
      <c r="AA40" s="66">
        <v>94</v>
      </c>
      <c r="AB40" s="66">
        <v>128</v>
      </c>
      <c r="AC40" s="66">
        <v>155</v>
      </c>
      <c r="AD40" s="66">
        <v>42</v>
      </c>
      <c r="AE40" s="66">
        <v>210</v>
      </c>
      <c r="AF40" s="66">
        <v>380</v>
      </c>
      <c r="AG40" s="66">
        <v>36</v>
      </c>
      <c r="AH40" s="66">
        <v>79</v>
      </c>
      <c r="AI40" s="66">
        <v>71</v>
      </c>
      <c r="AJ40" s="66">
        <v>142</v>
      </c>
      <c r="AK40" s="66">
        <v>44</v>
      </c>
      <c r="AL40" s="66">
        <v>407</v>
      </c>
      <c r="AM40" s="66">
        <v>49</v>
      </c>
      <c r="AN40" s="66">
        <v>284</v>
      </c>
      <c r="AO40" s="66">
        <v>601</v>
      </c>
      <c r="AP40" s="66">
        <v>128</v>
      </c>
      <c r="AQ40" s="66">
        <v>242</v>
      </c>
      <c r="AR40" s="66">
        <v>437</v>
      </c>
      <c r="AS40" s="66">
        <v>456</v>
      </c>
      <c r="AT40" s="66">
        <v>118</v>
      </c>
      <c r="AU40" s="66">
        <v>792</v>
      </c>
      <c r="AV40" s="66">
        <v>98</v>
      </c>
      <c r="AW40" s="66">
        <v>151</v>
      </c>
      <c r="AX40" s="66">
        <v>534</v>
      </c>
      <c r="AY40" s="66">
        <v>394</v>
      </c>
      <c r="AZ40" s="66">
        <v>502</v>
      </c>
      <c r="BA40" s="66">
        <v>527</v>
      </c>
      <c r="BB40" s="66">
        <v>813</v>
      </c>
      <c r="BC40" s="66">
        <v>250</v>
      </c>
      <c r="BD40" s="66">
        <v>643</v>
      </c>
      <c r="BE40" s="66">
        <v>333</v>
      </c>
      <c r="BF40" s="66">
        <v>0</v>
      </c>
      <c r="BG40" s="66">
        <v>137</v>
      </c>
      <c r="BH40" s="66">
        <v>377</v>
      </c>
      <c r="BI40" s="66">
        <v>123</v>
      </c>
      <c r="BJ40" s="66">
        <v>130</v>
      </c>
      <c r="BK40" s="66">
        <v>94</v>
      </c>
      <c r="BL40" s="66">
        <v>70</v>
      </c>
      <c r="BM40" s="66">
        <v>443</v>
      </c>
      <c r="BN40" s="66">
        <v>391</v>
      </c>
      <c r="BO40" s="66">
        <v>85</v>
      </c>
      <c r="BP40" s="66">
        <v>171</v>
      </c>
      <c r="BQ40" s="66">
        <v>122</v>
      </c>
      <c r="BR40" s="66">
        <v>106</v>
      </c>
      <c r="BS40" s="66">
        <v>67</v>
      </c>
      <c r="BT40" s="66">
        <v>140</v>
      </c>
      <c r="BU40" s="66">
        <v>239</v>
      </c>
      <c r="BV40" s="66">
        <v>24</v>
      </c>
      <c r="BW40" s="66">
        <v>65</v>
      </c>
      <c r="BX40" s="66">
        <v>46</v>
      </c>
      <c r="BY40" s="66">
        <v>186</v>
      </c>
      <c r="BZ40" s="66">
        <v>548</v>
      </c>
      <c r="CA40" s="66">
        <v>332</v>
      </c>
      <c r="CB40" s="66">
        <v>165</v>
      </c>
      <c r="CC40" s="66">
        <v>96</v>
      </c>
      <c r="CD40" s="66">
        <v>203</v>
      </c>
      <c r="CE40" s="66">
        <v>80</v>
      </c>
      <c r="CF40" s="66">
        <v>183</v>
      </c>
      <c r="CG40" s="66">
        <v>155</v>
      </c>
      <c r="CH40" s="66">
        <v>48</v>
      </c>
      <c r="CI40" s="66">
        <v>144</v>
      </c>
      <c r="CJ40" s="66">
        <v>174</v>
      </c>
      <c r="CK40" s="66">
        <v>668</v>
      </c>
      <c r="CL40" s="66">
        <v>960</v>
      </c>
      <c r="CM40" s="66">
        <v>535</v>
      </c>
      <c r="CN40" s="66">
        <v>121</v>
      </c>
      <c r="CO40" s="66">
        <v>0</v>
      </c>
      <c r="CP40" s="66">
        <v>291</v>
      </c>
      <c r="CQ40" s="66">
        <v>170</v>
      </c>
      <c r="CR40" s="66">
        <v>555</v>
      </c>
      <c r="CS40" s="66">
        <v>273</v>
      </c>
      <c r="CT40" s="66">
        <v>122</v>
      </c>
      <c r="CU40" s="66">
        <v>172</v>
      </c>
      <c r="CV40" s="66">
        <v>426</v>
      </c>
      <c r="CW40" s="66">
        <v>146</v>
      </c>
      <c r="CX40" s="66">
        <v>222</v>
      </c>
      <c r="CY40" s="66">
        <v>425</v>
      </c>
      <c r="CZ40" s="66">
        <v>833</v>
      </c>
      <c r="DA40" s="66">
        <v>285</v>
      </c>
    </row>
    <row r="41" spans="1:105" ht="15" x14ac:dyDescent="0.35">
      <c r="A41" s="5" t="s">
        <v>282</v>
      </c>
      <c r="B41" s="5" t="s">
        <v>456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6">
        <v>1</v>
      </c>
      <c r="O41" s="66">
        <v>0</v>
      </c>
      <c r="P41" s="66">
        <v>4</v>
      </c>
      <c r="Q41" s="66">
        <v>28</v>
      </c>
      <c r="R41" s="66">
        <v>13</v>
      </c>
      <c r="S41" s="66">
        <v>328</v>
      </c>
      <c r="T41" s="66">
        <v>10</v>
      </c>
      <c r="U41" s="66">
        <v>34</v>
      </c>
      <c r="V41" s="66">
        <v>25</v>
      </c>
      <c r="W41" s="66">
        <v>260</v>
      </c>
      <c r="X41" s="66">
        <v>37</v>
      </c>
      <c r="Y41" s="66">
        <v>31</v>
      </c>
      <c r="Z41" s="66">
        <v>54</v>
      </c>
      <c r="AA41" s="66">
        <v>19</v>
      </c>
      <c r="AB41" s="66">
        <v>27</v>
      </c>
      <c r="AC41" s="66">
        <v>12</v>
      </c>
      <c r="AD41" s="66">
        <v>13</v>
      </c>
      <c r="AE41" s="66">
        <v>116</v>
      </c>
      <c r="AF41" s="66">
        <v>5</v>
      </c>
      <c r="AG41" s="66">
        <v>10</v>
      </c>
      <c r="AH41" s="66">
        <v>225</v>
      </c>
      <c r="AI41" s="66">
        <v>6</v>
      </c>
      <c r="AJ41" s="66">
        <v>18</v>
      </c>
      <c r="AK41" s="66">
        <v>8</v>
      </c>
      <c r="AL41" s="66">
        <v>8</v>
      </c>
      <c r="AM41" s="66">
        <v>18</v>
      </c>
      <c r="AN41" s="66">
        <v>90</v>
      </c>
      <c r="AO41" s="66">
        <v>2</v>
      </c>
      <c r="AP41" s="66">
        <v>6</v>
      </c>
      <c r="AQ41" s="66">
        <v>76</v>
      </c>
      <c r="AR41" s="66">
        <v>11</v>
      </c>
      <c r="AS41" s="66">
        <v>55</v>
      </c>
      <c r="AT41" s="66">
        <v>24</v>
      </c>
      <c r="AU41" s="66">
        <v>417</v>
      </c>
      <c r="AV41" s="66">
        <v>103</v>
      </c>
      <c r="AW41" s="66">
        <v>12</v>
      </c>
      <c r="AX41" s="66">
        <v>188</v>
      </c>
      <c r="AY41" s="66">
        <v>483</v>
      </c>
      <c r="AZ41" s="66">
        <v>31</v>
      </c>
      <c r="BA41" s="66">
        <v>9</v>
      </c>
      <c r="BB41" s="66">
        <v>44</v>
      </c>
      <c r="BC41" s="66">
        <v>1018</v>
      </c>
      <c r="BD41" s="66">
        <v>26</v>
      </c>
      <c r="BE41" s="66">
        <v>2</v>
      </c>
      <c r="BF41" s="66">
        <v>0</v>
      </c>
      <c r="BG41" s="66">
        <v>5</v>
      </c>
      <c r="BH41" s="66">
        <v>6</v>
      </c>
      <c r="BI41" s="66">
        <v>3</v>
      </c>
      <c r="BJ41" s="66">
        <v>10</v>
      </c>
      <c r="BK41" s="66">
        <v>1</v>
      </c>
      <c r="BL41" s="66">
        <v>1015</v>
      </c>
      <c r="BM41" s="66">
        <v>23</v>
      </c>
      <c r="BN41" s="66">
        <v>8</v>
      </c>
      <c r="BO41" s="66">
        <v>16</v>
      </c>
      <c r="BP41" s="66">
        <v>9</v>
      </c>
      <c r="BQ41" s="66">
        <v>41</v>
      </c>
      <c r="BR41" s="66">
        <v>308</v>
      </c>
      <c r="BS41" s="66">
        <v>10</v>
      </c>
      <c r="BT41" s="66">
        <v>7</v>
      </c>
      <c r="BU41" s="66">
        <v>38</v>
      </c>
      <c r="BV41" s="66">
        <v>6</v>
      </c>
      <c r="BW41" s="66">
        <v>4</v>
      </c>
      <c r="BX41" s="66">
        <v>9</v>
      </c>
      <c r="BY41" s="66">
        <v>4</v>
      </c>
      <c r="BZ41" s="66">
        <v>81</v>
      </c>
      <c r="CA41" s="66">
        <v>5</v>
      </c>
      <c r="CB41" s="66">
        <v>2</v>
      </c>
      <c r="CC41" s="66">
        <v>6</v>
      </c>
      <c r="CD41" s="66">
        <v>208</v>
      </c>
      <c r="CE41" s="66">
        <v>2</v>
      </c>
      <c r="CF41" s="66">
        <v>3</v>
      </c>
      <c r="CG41" s="66">
        <v>9</v>
      </c>
      <c r="CH41" s="66">
        <v>5</v>
      </c>
      <c r="CI41" s="66">
        <v>13</v>
      </c>
      <c r="CJ41" s="66">
        <v>3</v>
      </c>
      <c r="CK41" s="66">
        <v>5</v>
      </c>
      <c r="CL41" s="66">
        <v>2</v>
      </c>
      <c r="CM41" s="66">
        <v>1</v>
      </c>
      <c r="CN41" s="66">
        <v>6</v>
      </c>
      <c r="CO41" s="66">
        <v>4</v>
      </c>
      <c r="CP41" s="66">
        <v>3</v>
      </c>
      <c r="CQ41" s="66">
        <v>6</v>
      </c>
      <c r="CR41" s="66">
        <v>4</v>
      </c>
      <c r="CS41" s="66">
        <v>54</v>
      </c>
      <c r="CT41" s="66">
        <v>2</v>
      </c>
      <c r="CU41" s="66">
        <v>5</v>
      </c>
      <c r="CV41" s="66">
        <v>2</v>
      </c>
      <c r="CW41" s="66">
        <v>8</v>
      </c>
      <c r="CX41" s="66">
        <v>96</v>
      </c>
      <c r="CY41" s="66">
        <v>60</v>
      </c>
      <c r="CZ41" s="66">
        <v>5</v>
      </c>
      <c r="DA41" s="66">
        <v>10</v>
      </c>
    </row>
    <row r="42" spans="1:105" ht="15" x14ac:dyDescent="0.35">
      <c r="A42" s="5" t="s">
        <v>283</v>
      </c>
      <c r="B42" s="5" t="s">
        <v>457</v>
      </c>
      <c r="C42" s="66">
        <v>265</v>
      </c>
      <c r="D42" s="66">
        <v>257</v>
      </c>
      <c r="E42" s="66">
        <v>22</v>
      </c>
      <c r="F42" s="66">
        <v>0</v>
      </c>
      <c r="G42" s="66">
        <v>426</v>
      </c>
      <c r="H42" s="66">
        <v>443</v>
      </c>
      <c r="I42" s="66">
        <v>46</v>
      </c>
      <c r="J42" s="66">
        <v>318</v>
      </c>
      <c r="K42" s="66">
        <v>87</v>
      </c>
      <c r="L42" s="66">
        <v>135</v>
      </c>
      <c r="M42" s="66">
        <v>369</v>
      </c>
      <c r="N42" s="66">
        <v>389</v>
      </c>
      <c r="O42" s="66">
        <v>402</v>
      </c>
      <c r="P42" s="66">
        <v>62</v>
      </c>
      <c r="Q42" s="66">
        <v>334</v>
      </c>
      <c r="R42" s="66">
        <v>421</v>
      </c>
      <c r="S42" s="66">
        <v>152</v>
      </c>
      <c r="T42" s="66">
        <v>138</v>
      </c>
      <c r="U42" s="66">
        <v>275</v>
      </c>
      <c r="V42" s="66">
        <v>161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0</v>
      </c>
      <c r="AC42" s="66">
        <v>788</v>
      </c>
      <c r="AD42" s="66">
        <v>208</v>
      </c>
      <c r="AE42" s="66">
        <v>501</v>
      </c>
      <c r="AF42" s="66">
        <v>552</v>
      </c>
      <c r="AG42" s="66">
        <v>366</v>
      </c>
      <c r="AH42" s="66">
        <v>513</v>
      </c>
      <c r="AI42" s="66">
        <v>521</v>
      </c>
      <c r="AJ42" s="66">
        <v>464</v>
      </c>
      <c r="AK42" s="66">
        <v>152</v>
      </c>
      <c r="AL42" s="66">
        <v>529</v>
      </c>
      <c r="AM42" s="66">
        <v>875</v>
      </c>
      <c r="AN42" s="66">
        <v>271</v>
      </c>
      <c r="AO42" s="66">
        <v>1067</v>
      </c>
      <c r="AP42" s="66">
        <v>352</v>
      </c>
      <c r="AQ42" s="66">
        <v>173</v>
      </c>
      <c r="AR42" s="66">
        <v>71</v>
      </c>
      <c r="AS42" s="66">
        <v>339</v>
      </c>
      <c r="AT42" s="66">
        <v>290</v>
      </c>
      <c r="AU42" s="66">
        <v>406</v>
      </c>
      <c r="AV42" s="66">
        <v>176</v>
      </c>
      <c r="AW42" s="66">
        <v>131</v>
      </c>
      <c r="AX42" s="66">
        <v>265</v>
      </c>
      <c r="AY42" s="66">
        <v>180</v>
      </c>
      <c r="AZ42" s="66">
        <v>233</v>
      </c>
      <c r="BA42" s="66">
        <v>109</v>
      </c>
      <c r="BB42" s="66">
        <v>307</v>
      </c>
      <c r="BC42" s="66">
        <v>207</v>
      </c>
      <c r="BD42" s="66">
        <v>183</v>
      </c>
      <c r="BE42" s="66">
        <v>13</v>
      </c>
      <c r="BF42" s="66">
        <v>0</v>
      </c>
      <c r="BG42" s="66">
        <v>410</v>
      </c>
      <c r="BH42" s="66">
        <v>82</v>
      </c>
      <c r="BI42" s="66">
        <v>151</v>
      </c>
      <c r="BJ42" s="66">
        <v>201</v>
      </c>
      <c r="BK42" s="66">
        <v>235</v>
      </c>
      <c r="BL42" s="66">
        <v>89</v>
      </c>
      <c r="BM42" s="66">
        <v>240</v>
      </c>
      <c r="BN42" s="66">
        <v>116</v>
      </c>
      <c r="BO42" s="66">
        <v>206</v>
      </c>
      <c r="BP42" s="66">
        <v>382</v>
      </c>
      <c r="BQ42" s="66">
        <v>498</v>
      </c>
      <c r="BR42" s="66">
        <v>427</v>
      </c>
      <c r="BS42" s="66">
        <v>372</v>
      </c>
      <c r="BT42" s="66">
        <v>214</v>
      </c>
      <c r="BU42" s="66">
        <v>125</v>
      </c>
      <c r="BV42" s="66">
        <v>43</v>
      </c>
      <c r="BW42" s="66">
        <v>108</v>
      </c>
      <c r="BX42" s="66">
        <v>124</v>
      </c>
      <c r="BY42" s="66">
        <v>255</v>
      </c>
      <c r="BZ42" s="66">
        <v>280</v>
      </c>
      <c r="CA42" s="66">
        <v>331</v>
      </c>
      <c r="CB42" s="66">
        <v>201</v>
      </c>
      <c r="CC42" s="66">
        <v>230</v>
      </c>
      <c r="CD42" s="66">
        <v>324</v>
      </c>
      <c r="CE42" s="66">
        <v>175</v>
      </c>
      <c r="CF42" s="66">
        <v>57</v>
      </c>
      <c r="CG42" s="66">
        <v>132</v>
      </c>
      <c r="CH42" s="66">
        <v>53</v>
      </c>
      <c r="CI42" s="66">
        <v>442</v>
      </c>
      <c r="CJ42" s="66">
        <v>295</v>
      </c>
      <c r="CK42" s="66">
        <v>403</v>
      </c>
      <c r="CL42" s="66">
        <v>110</v>
      </c>
      <c r="CM42" s="66">
        <v>344</v>
      </c>
      <c r="CN42" s="66">
        <v>91</v>
      </c>
      <c r="CO42" s="66">
        <v>217</v>
      </c>
      <c r="CP42" s="66">
        <v>144</v>
      </c>
      <c r="CQ42" s="66">
        <v>78</v>
      </c>
      <c r="CR42" s="66">
        <v>379</v>
      </c>
      <c r="CS42" s="66">
        <v>122</v>
      </c>
      <c r="CT42" s="66">
        <v>390</v>
      </c>
      <c r="CU42" s="66">
        <v>81</v>
      </c>
      <c r="CV42" s="66">
        <v>84</v>
      </c>
      <c r="CW42" s="66">
        <v>67</v>
      </c>
      <c r="CX42" s="66">
        <v>79</v>
      </c>
      <c r="CY42" s="66">
        <v>417</v>
      </c>
      <c r="CZ42" s="66">
        <v>100</v>
      </c>
      <c r="DA42" s="66">
        <v>53</v>
      </c>
    </row>
    <row r="43" spans="1:105" ht="15" x14ac:dyDescent="0.35">
      <c r="A43" s="5" t="s">
        <v>284</v>
      </c>
      <c r="B43" s="5" t="s">
        <v>458</v>
      </c>
      <c r="C43" s="66">
        <v>64</v>
      </c>
      <c r="D43" s="66">
        <v>50</v>
      </c>
      <c r="E43" s="66">
        <v>3</v>
      </c>
      <c r="F43" s="66">
        <v>0</v>
      </c>
      <c r="G43" s="66">
        <v>228</v>
      </c>
      <c r="H43" s="66">
        <v>196</v>
      </c>
      <c r="I43" s="66">
        <v>98</v>
      </c>
      <c r="J43" s="66">
        <v>272</v>
      </c>
      <c r="K43" s="66">
        <v>181</v>
      </c>
      <c r="L43" s="66">
        <v>39</v>
      </c>
      <c r="M43" s="66">
        <v>63</v>
      </c>
      <c r="N43" s="66">
        <v>359</v>
      </c>
      <c r="O43" s="66">
        <v>83</v>
      </c>
      <c r="P43" s="66">
        <v>57</v>
      </c>
      <c r="Q43" s="66">
        <v>130</v>
      </c>
      <c r="R43" s="66">
        <v>99</v>
      </c>
      <c r="S43" s="66">
        <v>88</v>
      </c>
      <c r="T43" s="66">
        <v>268</v>
      </c>
      <c r="U43" s="66">
        <v>57</v>
      </c>
      <c r="V43" s="66">
        <v>138</v>
      </c>
      <c r="W43" s="66">
        <v>599</v>
      </c>
      <c r="X43" s="66">
        <v>147</v>
      </c>
      <c r="Y43" s="66">
        <v>152</v>
      </c>
      <c r="Z43" s="66">
        <v>109</v>
      </c>
      <c r="AA43" s="66">
        <v>289</v>
      </c>
      <c r="AB43" s="66">
        <v>141</v>
      </c>
      <c r="AC43" s="66">
        <v>217</v>
      </c>
      <c r="AD43" s="66">
        <v>172</v>
      </c>
      <c r="AE43" s="66">
        <v>269</v>
      </c>
      <c r="AF43" s="66">
        <v>446</v>
      </c>
      <c r="AG43" s="66">
        <v>209</v>
      </c>
      <c r="AH43" s="66">
        <v>259</v>
      </c>
      <c r="AI43" s="66">
        <v>308</v>
      </c>
      <c r="AJ43" s="66">
        <v>366</v>
      </c>
      <c r="AK43" s="66">
        <v>214</v>
      </c>
      <c r="AL43" s="66">
        <v>311</v>
      </c>
      <c r="AM43" s="66">
        <v>71</v>
      </c>
      <c r="AN43" s="66">
        <v>194</v>
      </c>
      <c r="AO43" s="66">
        <v>283</v>
      </c>
      <c r="AP43" s="66">
        <v>68</v>
      </c>
      <c r="AQ43" s="66">
        <v>85</v>
      </c>
      <c r="AR43" s="66">
        <v>210</v>
      </c>
      <c r="AS43" s="66">
        <v>197</v>
      </c>
      <c r="AT43" s="66">
        <v>68</v>
      </c>
      <c r="AU43" s="66">
        <v>96</v>
      </c>
      <c r="AV43" s="66">
        <v>127</v>
      </c>
      <c r="AW43" s="66">
        <v>59</v>
      </c>
      <c r="AX43" s="66">
        <v>138</v>
      </c>
      <c r="AY43" s="66">
        <v>114</v>
      </c>
      <c r="AZ43" s="66">
        <v>136</v>
      </c>
      <c r="BA43" s="66">
        <v>37</v>
      </c>
      <c r="BB43" s="66">
        <v>148</v>
      </c>
      <c r="BC43" s="66">
        <v>20</v>
      </c>
      <c r="BD43" s="66">
        <v>11</v>
      </c>
      <c r="BE43" s="66">
        <v>28</v>
      </c>
      <c r="BF43" s="66">
        <v>0</v>
      </c>
      <c r="BG43" s="66">
        <v>43</v>
      </c>
      <c r="BH43" s="66">
        <v>194</v>
      </c>
      <c r="BI43" s="66">
        <v>114</v>
      </c>
      <c r="BJ43" s="66">
        <v>118</v>
      </c>
      <c r="BK43" s="66">
        <v>88</v>
      </c>
      <c r="BL43" s="66">
        <v>114</v>
      </c>
      <c r="BM43" s="66">
        <v>118</v>
      </c>
      <c r="BN43" s="66">
        <v>89</v>
      </c>
      <c r="BO43" s="66">
        <v>166</v>
      </c>
      <c r="BP43" s="66">
        <v>76</v>
      </c>
      <c r="BQ43" s="66">
        <v>170</v>
      </c>
      <c r="BR43" s="66">
        <v>81</v>
      </c>
      <c r="BS43" s="66">
        <v>204</v>
      </c>
      <c r="BT43" s="66">
        <v>214</v>
      </c>
      <c r="BU43" s="66">
        <v>178</v>
      </c>
      <c r="BV43" s="66">
        <v>260</v>
      </c>
      <c r="BW43" s="66">
        <v>114</v>
      </c>
      <c r="BX43" s="66">
        <v>434</v>
      </c>
      <c r="BY43" s="66">
        <v>212</v>
      </c>
      <c r="BZ43" s="66">
        <v>408</v>
      </c>
      <c r="CA43" s="66">
        <v>386</v>
      </c>
      <c r="CB43" s="66">
        <v>195</v>
      </c>
      <c r="CC43" s="66">
        <v>329</v>
      </c>
      <c r="CD43" s="66">
        <v>137</v>
      </c>
      <c r="CE43" s="66">
        <v>313</v>
      </c>
      <c r="CF43" s="66">
        <v>103</v>
      </c>
      <c r="CG43" s="66">
        <v>220</v>
      </c>
      <c r="CH43" s="66">
        <v>267</v>
      </c>
      <c r="CI43" s="66">
        <v>108</v>
      </c>
      <c r="CJ43" s="66">
        <v>194</v>
      </c>
      <c r="CK43" s="66">
        <v>150</v>
      </c>
      <c r="CL43" s="66">
        <v>154</v>
      </c>
      <c r="CM43" s="66">
        <v>121</v>
      </c>
      <c r="CN43" s="66">
        <v>209</v>
      </c>
      <c r="CO43" s="66">
        <v>85</v>
      </c>
      <c r="CP43" s="66">
        <v>48</v>
      </c>
      <c r="CQ43" s="66">
        <v>102</v>
      </c>
      <c r="CR43" s="66">
        <v>91</v>
      </c>
      <c r="CS43" s="66">
        <v>78</v>
      </c>
      <c r="CT43" s="66">
        <v>85</v>
      </c>
      <c r="CU43" s="66">
        <v>61</v>
      </c>
      <c r="CV43" s="66">
        <v>32</v>
      </c>
      <c r="CW43" s="66">
        <v>39</v>
      </c>
      <c r="CX43" s="66">
        <v>79</v>
      </c>
      <c r="CY43" s="66">
        <v>96</v>
      </c>
      <c r="CZ43" s="66">
        <v>83</v>
      </c>
      <c r="DA43" s="66">
        <v>68</v>
      </c>
    </row>
    <row r="44" spans="1:105" ht="15" x14ac:dyDescent="0.35">
      <c r="A44" s="5" t="s">
        <v>285</v>
      </c>
      <c r="B44" s="5" t="s">
        <v>459</v>
      </c>
      <c r="C44" s="66">
        <v>555</v>
      </c>
      <c r="D44" s="66">
        <v>576</v>
      </c>
      <c r="E44" s="66">
        <v>76</v>
      </c>
      <c r="F44" s="66">
        <v>0</v>
      </c>
      <c r="G44" s="66">
        <v>100</v>
      </c>
      <c r="H44" s="66">
        <v>87</v>
      </c>
      <c r="I44" s="66">
        <v>63</v>
      </c>
      <c r="J44" s="66">
        <v>21</v>
      </c>
      <c r="K44" s="66">
        <v>91</v>
      </c>
      <c r="L44" s="66">
        <v>13</v>
      </c>
      <c r="M44" s="66">
        <v>20</v>
      </c>
      <c r="N44" s="66">
        <v>39</v>
      </c>
      <c r="O44" s="66">
        <v>29</v>
      </c>
      <c r="P44" s="66">
        <v>10</v>
      </c>
      <c r="Q44" s="66">
        <v>35</v>
      </c>
      <c r="R44" s="66">
        <v>24</v>
      </c>
      <c r="S44" s="66">
        <v>7</v>
      </c>
      <c r="T44" s="66">
        <v>5</v>
      </c>
      <c r="U44" s="66">
        <v>9</v>
      </c>
      <c r="V44" s="66">
        <v>12</v>
      </c>
      <c r="W44" s="66">
        <v>4</v>
      </c>
      <c r="X44" s="66">
        <v>3</v>
      </c>
      <c r="Y44" s="66">
        <v>10</v>
      </c>
      <c r="Z44" s="66">
        <v>6</v>
      </c>
      <c r="AA44" s="66">
        <v>7</v>
      </c>
      <c r="AB44" s="66">
        <v>1</v>
      </c>
      <c r="AC44" s="66">
        <v>2</v>
      </c>
      <c r="AD44" s="66">
        <v>5</v>
      </c>
      <c r="AE44" s="66">
        <v>3</v>
      </c>
      <c r="AF44" s="66">
        <v>7</v>
      </c>
      <c r="AG44" s="66">
        <v>18</v>
      </c>
      <c r="AH44" s="66">
        <v>3</v>
      </c>
      <c r="AI44" s="66">
        <v>7</v>
      </c>
      <c r="AJ44" s="66">
        <v>59</v>
      </c>
      <c r="AK44" s="66">
        <v>15</v>
      </c>
      <c r="AL44" s="66">
        <v>38</v>
      </c>
      <c r="AM44" s="66">
        <v>29</v>
      </c>
      <c r="AN44" s="66">
        <v>56</v>
      </c>
      <c r="AO44" s="66">
        <v>16</v>
      </c>
      <c r="AP44" s="66">
        <v>89</v>
      </c>
      <c r="AQ44" s="66">
        <v>41</v>
      </c>
      <c r="AR44" s="66">
        <v>119</v>
      </c>
      <c r="AS44" s="66">
        <v>139</v>
      </c>
      <c r="AT44" s="66">
        <v>186</v>
      </c>
      <c r="AU44" s="66">
        <v>140</v>
      </c>
      <c r="AV44" s="66">
        <v>322</v>
      </c>
      <c r="AW44" s="66">
        <v>93</v>
      </c>
      <c r="AX44" s="66">
        <v>205</v>
      </c>
      <c r="AY44" s="66">
        <v>178</v>
      </c>
      <c r="AZ44" s="66">
        <v>415</v>
      </c>
      <c r="BA44" s="66">
        <v>435</v>
      </c>
      <c r="BB44" s="66">
        <v>442</v>
      </c>
      <c r="BC44" s="66">
        <v>278</v>
      </c>
      <c r="BD44" s="66">
        <v>311</v>
      </c>
      <c r="BE44" s="66">
        <v>191</v>
      </c>
      <c r="BF44" s="66">
        <v>0</v>
      </c>
      <c r="BG44" s="66">
        <v>118</v>
      </c>
      <c r="BH44" s="66">
        <v>91</v>
      </c>
      <c r="BI44" s="66">
        <v>66</v>
      </c>
      <c r="BJ44" s="66">
        <v>19</v>
      </c>
      <c r="BK44" s="66">
        <v>0</v>
      </c>
      <c r="BL44" s="66">
        <v>10</v>
      </c>
      <c r="BM44" s="66">
        <v>12</v>
      </c>
      <c r="BN44" s="66">
        <v>13</v>
      </c>
      <c r="BO44" s="66">
        <v>2</v>
      </c>
      <c r="BP44" s="66">
        <v>4</v>
      </c>
      <c r="BQ44" s="66">
        <v>3</v>
      </c>
      <c r="BR44" s="66">
        <v>1</v>
      </c>
      <c r="BS44" s="66">
        <v>4</v>
      </c>
      <c r="BT44" s="66">
        <v>4</v>
      </c>
      <c r="BU44" s="66">
        <v>0</v>
      </c>
      <c r="BV44" s="66">
        <v>7</v>
      </c>
      <c r="BW44" s="66">
        <v>0</v>
      </c>
      <c r="BX44" s="66">
        <v>31</v>
      </c>
      <c r="BY44" s="66">
        <v>7</v>
      </c>
      <c r="BZ44" s="66">
        <v>33</v>
      </c>
      <c r="CA44" s="66">
        <v>1</v>
      </c>
      <c r="CB44" s="66">
        <v>3</v>
      </c>
      <c r="CC44" s="66">
        <v>9</v>
      </c>
      <c r="CD44" s="66">
        <v>1</v>
      </c>
      <c r="CE44" s="66">
        <v>29</v>
      </c>
      <c r="CF44" s="66">
        <v>1</v>
      </c>
      <c r="CG44" s="66">
        <v>0</v>
      </c>
      <c r="CH44" s="66">
        <v>1</v>
      </c>
      <c r="CI44" s="66">
        <v>81</v>
      </c>
      <c r="CJ44" s="66">
        <v>51</v>
      </c>
      <c r="CK44" s="66">
        <v>12</v>
      </c>
      <c r="CL44" s="66">
        <v>10</v>
      </c>
      <c r="CM44" s="66">
        <v>34</v>
      </c>
      <c r="CN44" s="66">
        <v>70</v>
      </c>
      <c r="CO44" s="66">
        <v>43</v>
      </c>
      <c r="CP44" s="66">
        <v>116</v>
      </c>
      <c r="CQ44" s="66">
        <v>107</v>
      </c>
      <c r="CR44" s="66">
        <v>730</v>
      </c>
      <c r="CS44" s="66">
        <v>122</v>
      </c>
      <c r="CT44" s="66">
        <v>68</v>
      </c>
      <c r="CU44" s="66">
        <v>93</v>
      </c>
      <c r="CV44" s="66">
        <v>120</v>
      </c>
      <c r="CW44" s="66">
        <v>104</v>
      </c>
      <c r="CX44" s="66">
        <v>135</v>
      </c>
      <c r="CY44" s="66">
        <v>269</v>
      </c>
      <c r="CZ44" s="66">
        <v>295</v>
      </c>
      <c r="DA44" s="66">
        <v>160</v>
      </c>
    </row>
    <row r="45" spans="1:105" ht="15" x14ac:dyDescent="0.35">
      <c r="A45" s="5" t="s">
        <v>286</v>
      </c>
      <c r="B45" s="5" t="s">
        <v>460</v>
      </c>
      <c r="C45" s="66">
        <v>336</v>
      </c>
      <c r="D45" s="66">
        <v>331</v>
      </c>
      <c r="E45" s="66">
        <v>339</v>
      </c>
      <c r="F45" s="66">
        <v>0</v>
      </c>
      <c r="G45" s="66">
        <v>212</v>
      </c>
      <c r="H45" s="66">
        <v>97</v>
      </c>
      <c r="I45" s="66">
        <v>116</v>
      </c>
      <c r="J45" s="66">
        <v>154</v>
      </c>
      <c r="K45" s="66">
        <v>358</v>
      </c>
      <c r="L45" s="66">
        <v>93</v>
      </c>
      <c r="M45" s="66">
        <v>192</v>
      </c>
      <c r="N45" s="66">
        <v>172</v>
      </c>
      <c r="O45" s="66">
        <v>830</v>
      </c>
      <c r="P45" s="66">
        <v>323</v>
      </c>
      <c r="Q45" s="66">
        <v>588</v>
      </c>
      <c r="R45" s="66">
        <v>227</v>
      </c>
      <c r="S45" s="66">
        <v>85</v>
      </c>
      <c r="T45" s="66">
        <v>119</v>
      </c>
      <c r="U45" s="66">
        <v>780</v>
      </c>
      <c r="V45" s="66">
        <v>201</v>
      </c>
      <c r="W45" s="66">
        <v>435</v>
      </c>
      <c r="X45" s="66">
        <v>2</v>
      </c>
      <c r="Y45" s="66">
        <v>0</v>
      </c>
      <c r="Z45" s="66">
        <v>0</v>
      </c>
      <c r="AA45" s="66">
        <v>0</v>
      </c>
      <c r="AB45" s="66">
        <v>0</v>
      </c>
      <c r="AC45" s="66">
        <v>0</v>
      </c>
      <c r="AD45" s="66">
        <v>0</v>
      </c>
      <c r="AE45" s="66">
        <v>0</v>
      </c>
      <c r="AF45" s="66">
        <v>0</v>
      </c>
      <c r="AG45" s="66">
        <v>0</v>
      </c>
      <c r="AH45" s="66">
        <v>0</v>
      </c>
      <c r="AI45" s="66">
        <v>0</v>
      </c>
      <c r="AJ45" s="66">
        <v>0</v>
      </c>
      <c r="AK45" s="66">
        <v>0</v>
      </c>
      <c r="AL45" s="66">
        <v>0</v>
      </c>
      <c r="AM45" s="66">
        <v>767</v>
      </c>
      <c r="AN45" s="66">
        <v>684</v>
      </c>
      <c r="AO45" s="66">
        <v>467</v>
      </c>
      <c r="AP45" s="66">
        <v>297</v>
      </c>
      <c r="AQ45" s="66">
        <v>427</v>
      </c>
      <c r="AR45" s="66">
        <v>281</v>
      </c>
      <c r="AS45" s="66">
        <v>399</v>
      </c>
      <c r="AT45" s="66">
        <v>375</v>
      </c>
      <c r="AU45" s="66">
        <v>409</v>
      </c>
      <c r="AV45" s="66">
        <v>168</v>
      </c>
      <c r="AW45" s="66">
        <v>268</v>
      </c>
      <c r="AX45" s="66">
        <v>312</v>
      </c>
      <c r="AY45" s="66">
        <v>342</v>
      </c>
      <c r="AZ45" s="66">
        <v>598</v>
      </c>
      <c r="BA45" s="66">
        <v>233</v>
      </c>
      <c r="BB45" s="66">
        <v>252</v>
      </c>
      <c r="BC45" s="66">
        <v>415</v>
      </c>
      <c r="BD45" s="66">
        <v>643</v>
      </c>
      <c r="BE45" s="66">
        <v>49</v>
      </c>
      <c r="BF45" s="66">
        <v>0</v>
      </c>
      <c r="BG45" s="66">
        <v>260</v>
      </c>
      <c r="BH45" s="66">
        <v>125</v>
      </c>
      <c r="BI45" s="66">
        <v>113</v>
      </c>
      <c r="BJ45" s="66">
        <v>96</v>
      </c>
      <c r="BK45" s="66">
        <v>236</v>
      </c>
      <c r="BL45" s="66">
        <v>86</v>
      </c>
      <c r="BM45" s="66">
        <v>200</v>
      </c>
      <c r="BN45" s="66">
        <v>175</v>
      </c>
      <c r="BO45" s="66">
        <v>238</v>
      </c>
      <c r="BP45" s="66">
        <v>341</v>
      </c>
      <c r="BQ45" s="66">
        <v>258</v>
      </c>
      <c r="BR45" s="66">
        <v>450</v>
      </c>
      <c r="BS45" s="66">
        <v>146</v>
      </c>
      <c r="BT45" s="66">
        <v>252</v>
      </c>
      <c r="BU45" s="66">
        <v>388</v>
      </c>
      <c r="BV45" s="66">
        <v>206</v>
      </c>
      <c r="BW45" s="66">
        <v>156</v>
      </c>
      <c r="BX45" s="66">
        <v>315</v>
      </c>
      <c r="BY45" s="66">
        <v>262</v>
      </c>
      <c r="BZ45" s="66">
        <v>305</v>
      </c>
      <c r="CA45" s="66">
        <v>1</v>
      </c>
      <c r="CB45" s="66">
        <v>0</v>
      </c>
      <c r="CC45" s="66">
        <v>0</v>
      </c>
      <c r="CD45" s="66">
        <v>0</v>
      </c>
      <c r="CE45" s="66">
        <v>0</v>
      </c>
      <c r="CF45" s="66">
        <v>0</v>
      </c>
      <c r="CG45" s="66">
        <v>0</v>
      </c>
      <c r="CH45" s="66">
        <v>192</v>
      </c>
      <c r="CI45" s="66">
        <v>0</v>
      </c>
      <c r="CJ45" s="66">
        <v>0</v>
      </c>
      <c r="CK45" s="66">
        <v>1</v>
      </c>
      <c r="CL45" s="66">
        <v>0</v>
      </c>
      <c r="CM45" s="66">
        <v>0</v>
      </c>
      <c r="CN45" s="66">
        <v>0</v>
      </c>
      <c r="CO45" s="66">
        <v>39</v>
      </c>
      <c r="CP45" s="66">
        <v>1398</v>
      </c>
      <c r="CQ45" s="66">
        <v>495</v>
      </c>
      <c r="CR45" s="66">
        <v>236</v>
      </c>
      <c r="CS45" s="66">
        <v>373</v>
      </c>
      <c r="CT45" s="66">
        <v>576</v>
      </c>
      <c r="CU45" s="66">
        <v>317</v>
      </c>
      <c r="CV45" s="66">
        <v>128</v>
      </c>
      <c r="CW45" s="66">
        <v>908</v>
      </c>
      <c r="CX45" s="66">
        <v>47</v>
      </c>
      <c r="CY45" s="66">
        <v>12</v>
      </c>
      <c r="CZ45" s="66">
        <v>201</v>
      </c>
      <c r="DA45" s="66">
        <v>41</v>
      </c>
    </row>
    <row r="46" spans="1:105" ht="15" x14ac:dyDescent="0.35">
      <c r="A46" s="5" t="s">
        <v>287</v>
      </c>
      <c r="B46" s="5" t="s">
        <v>461</v>
      </c>
      <c r="C46" s="66">
        <v>221</v>
      </c>
      <c r="D46" s="66">
        <v>299</v>
      </c>
      <c r="E46" s="66">
        <v>12</v>
      </c>
      <c r="F46" s="66">
        <v>0</v>
      </c>
      <c r="G46" s="66">
        <v>65</v>
      </c>
      <c r="H46" s="66">
        <v>168</v>
      </c>
      <c r="I46" s="66">
        <v>160</v>
      </c>
      <c r="J46" s="66">
        <v>219</v>
      </c>
      <c r="K46" s="66">
        <v>63</v>
      </c>
      <c r="L46" s="66">
        <v>156</v>
      </c>
      <c r="M46" s="66">
        <v>79</v>
      </c>
      <c r="N46" s="66">
        <v>37</v>
      </c>
      <c r="O46" s="66">
        <v>0</v>
      </c>
      <c r="P46" s="66">
        <v>0</v>
      </c>
      <c r="Q46" s="66">
        <v>0</v>
      </c>
      <c r="R46" s="66">
        <v>0</v>
      </c>
      <c r="S46" s="66">
        <v>0</v>
      </c>
      <c r="T46" s="66">
        <v>57</v>
      </c>
      <c r="U46" s="66">
        <v>20</v>
      </c>
      <c r="V46" s="66">
        <v>289</v>
      </c>
      <c r="W46" s="66">
        <v>202</v>
      </c>
      <c r="X46" s="66">
        <v>212</v>
      </c>
      <c r="Y46" s="66">
        <v>62</v>
      </c>
      <c r="Z46" s="66">
        <v>58</v>
      </c>
      <c r="AA46" s="66">
        <v>94</v>
      </c>
      <c r="AB46" s="66">
        <v>36</v>
      </c>
      <c r="AC46" s="66">
        <v>327</v>
      </c>
      <c r="AD46" s="66">
        <v>35</v>
      </c>
      <c r="AE46" s="66">
        <v>75</v>
      </c>
      <c r="AF46" s="66">
        <v>118</v>
      </c>
      <c r="AG46" s="66">
        <v>138</v>
      </c>
      <c r="AH46" s="66">
        <v>87</v>
      </c>
      <c r="AI46" s="66">
        <v>118</v>
      </c>
      <c r="AJ46" s="66">
        <v>132</v>
      </c>
      <c r="AK46" s="66">
        <v>18</v>
      </c>
      <c r="AL46" s="66">
        <v>93</v>
      </c>
      <c r="AM46" s="66">
        <v>154</v>
      </c>
      <c r="AN46" s="66">
        <v>95</v>
      </c>
      <c r="AO46" s="66">
        <v>70</v>
      </c>
      <c r="AP46" s="66">
        <v>74</v>
      </c>
      <c r="AQ46" s="66">
        <v>33</v>
      </c>
      <c r="AR46" s="66">
        <v>64</v>
      </c>
      <c r="AS46" s="66">
        <v>423</v>
      </c>
      <c r="AT46" s="66">
        <v>43</v>
      </c>
      <c r="AU46" s="66">
        <v>123</v>
      </c>
      <c r="AV46" s="66">
        <v>61</v>
      </c>
      <c r="AW46" s="66">
        <v>115</v>
      </c>
      <c r="AX46" s="66">
        <v>63</v>
      </c>
      <c r="AY46" s="66">
        <v>104</v>
      </c>
      <c r="AZ46" s="66">
        <v>126</v>
      </c>
      <c r="BA46" s="66">
        <v>75</v>
      </c>
      <c r="BB46" s="66">
        <v>239</v>
      </c>
      <c r="BC46" s="66">
        <v>58</v>
      </c>
      <c r="BD46" s="66">
        <v>75</v>
      </c>
      <c r="BE46" s="66">
        <v>83</v>
      </c>
      <c r="BF46" s="66">
        <v>0</v>
      </c>
      <c r="BG46" s="66">
        <v>118</v>
      </c>
      <c r="BH46" s="66">
        <v>406</v>
      </c>
      <c r="BI46" s="66">
        <v>113</v>
      </c>
      <c r="BJ46" s="66">
        <v>140</v>
      </c>
      <c r="BK46" s="66">
        <v>50</v>
      </c>
      <c r="BL46" s="66">
        <v>58</v>
      </c>
      <c r="BM46" s="66">
        <v>181</v>
      </c>
      <c r="BN46" s="66">
        <v>197</v>
      </c>
      <c r="BO46" s="66">
        <v>13</v>
      </c>
      <c r="BP46" s="66">
        <v>119</v>
      </c>
      <c r="BQ46" s="66">
        <v>30</v>
      </c>
      <c r="BR46" s="66">
        <v>34</v>
      </c>
      <c r="BS46" s="66">
        <v>33</v>
      </c>
      <c r="BT46" s="66">
        <v>26</v>
      </c>
      <c r="BU46" s="66">
        <v>75</v>
      </c>
      <c r="BV46" s="66">
        <v>96</v>
      </c>
      <c r="BW46" s="66">
        <v>14</v>
      </c>
      <c r="BX46" s="66">
        <v>44</v>
      </c>
      <c r="BY46" s="66">
        <v>23</v>
      </c>
      <c r="BZ46" s="66">
        <v>66</v>
      </c>
      <c r="CA46" s="66">
        <v>46</v>
      </c>
      <c r="CB46" s="66">
        <v>24</v>
      </c>
      <c r="CC46" s="66">
        <v>51</v>
      </c>
      <c r="CD46" s="66">
        <v>174</v>
      </c>
      <c r="CE46" s="66">
        <v>50</v>
      </c>
      <c r="CF46" s="66">
        <v>14</v>
      </c>
      <c r="CG46" s="66">
        <v>460</v>
      </c>
      <c r="CH46" s="66">
        <v>49</v>
      </c>
      <c r="CI46" s="66">
        <v>248</v>
      </c>
      <c r="CJ46" s="66">
        <v>19</v>
      </c>
      <c r="CK46" s="66">
        <v>19</v>
      </c>
      <c r="CL46" s="66">
        <v>35</v>
      </c>
      <c r="CM46" s="66">
        <v>33</v>
      </c>
      <c r="CN46" s="66">
        <v>163</v>
      </c>
      <c r="CO46" s="66">
        <v>48</v>
      </c>
      <c r="CP46" s="66">
        <v>100</v>
      </c>
      <c r="CQ46" s="66">
        <v>74</v>
      </c>
      <c r="CR46" s="66">
        <v>180</v>
      </c>
      <c r="CS46" s="66">
        <v>96</v>
      </c>
      <c r="CT46" s="66">
        <v>196</v>
      </c>
      <c r="CU46" s="66">
        <v>45</v>
      </c>
      <c r="CV46" s="66">
        <v>138</v>
      </c>
      <c r="CW46" s="66">
        <v>96</v>
      </c>
      <c r="CX46" s="66">
        <v>121</v>
      </c>
      <c r="CY46" s="66">
        <v>31</v>
      </c>
      <c r="CZ46" s="66">
        <v>102</v>
      </c>
      <c r="DA46" s="66">
        <v>510</v>
      </c>
    </row>
    <row r="47" spans="1:105" ht="15" x14ac:dyDescent="0.35">
      <c r="A47" s="5" t="s">
        <v>288</v>
      </c>
      <c r="B47" s="5" t="s">
        <v>462</v>
      </c>
      <c r="C47" s="66">
        <v>190</v>
      </c>
      <c r="D47" s="66">
        <v>252</v>
      </c>
      <c r="E47" s="66">
        <v>21</v>
      </c>
      <c r="F47" s="66">
        <v>0</v>
      </c>
      <c r="G47" s="66">
        <v>101</v>
      </c>
      <c r="H47" s="66">
        <v>212</v>
      </c>
      <c r="I47" s="66">
        <v>108</v>
      </c>
      <c r="J47" s="66">
        <v>110</v>
      </c>
      <c r="K47" s="66">
        <v>172</v>
      </c>
      <c r="L47" s="66">
        <v>109</v>
      </c>
      <c r="M47" s="66">
        <v>93</v>
      </c>
      <c r="N47" s="66">
        <v>93</v>
      </c>
      <c r="O47" s="66">
        <v>69</v>
      </c>
      <c r="P47" s="66">
        <v>70</v>
      </c>
      <c r="Q47" s="66">
        <v>114</v>
      </c>
      <c r="R47" s="66">
        <v>77</v>
      </c>
      <c r="S47" s="66">
        <v>405</v>
      </c>
      <c r="T47" s="66">
        <v>47</v>
      </c>
      <c r="U47" s="66">
        <v>40</v>
      </c>
      <c r="V47" s="66">
        <v>66</v>
      </c>
      <c r="W47" s="66">
        <v>561</v>
      </c>
      <c r="X47" s="66">
        <v>80</v>
      </c>
      <c r="Y47" s="66">
        <v>46</v>
      </c>
      <c r="Z47" s="66">
        <v>83</v>
      </c>
      <c r="AA47" s="66">
        <v>99</v>
      </c>
      <c r="AB47" s="66">
        <v>0</v>
      </c>
      <c r="AC47" s="66">
        <v>0</v>
      </c>
      <c r="AD47" s="66">
        <v>0</v>
      </c>
      <c r="AE47" s="66">
        <v>0</v>
      </c>
      <c r="AF47" s="66">
        <v>0</v>
      </c>
      <c r="AG47" s="66">
        <v>0</v>
      </c>
      <c r="AH47" s="66">
        <v>0</v>
      </c>
      <c r="AI47" s="66">
        <v>0</v>
      </c>
      <c r="AJ47" s="66">
        <v>340</v>
      </c>
      <c r="AK47" s="66">
        <v>404</v>
      </c>
      <c r="AL47" s="66">
        <v>275</v>
      </c>
      <c r="AM47" s="66">
        <v>92</v>
      </c>
      <c r="AN47" s="66">
        <v>135</v>
      </c>
      <c r="AO47" s="66">
        <v>499</v>
      </c>
      <c r="AP47" s="66">
        <v>88</v>
      </c>
      <c r="AQ47" s="66">
        <v>108</v>
      </c>
      <c r="AR47" s="66">
        <v>40</v>
      </c>
      <c r="AS47" s="66">
        <v>195</v>
      </c>
      <c r="AT47" s="66">
        <v>138</v>
      </c>
      <c r="AU47" s="66">
        <v>796</v>
      </c>
      <c r="AV47" s="66">
        <v>60</v>
      </c>
      <c r="AW47" s="66">
        <v>123</v>
      </c>
      <c r="AX47" s="66">
        <v>99</v>
      </c>
      <c r="AY47" s="66">
        <v>726</v>
      </c>
      <c r="AZ47" s="66">
        <v>121</v>
      </c>
      <c r="BA47" s="66">
        <v>77</v>
      </c>
      <c r="BB47" s="66">
        <v>118</v>
      </c>
      <c r="BC47" s="66">
        <v>2073</v>
      </c>
      <c r="BD47" s="66">
        <v>104</v>
      </c>
      <c r="BE47" s="66">
        <v>6</v>
      </c>
      <c r="BF47" s="66">
        <v>0</v>
      </c>
      <c r="BG47" s="66">
        <v>55</v>
      </c>
      <c r="BH47" s="66">
        <v>28</v>
      </c>
      <c r="BI47" s="66">
        <v>40</v>
      </c>
      <c r="BJ47" s="66">
        <v>34</v>
      </c>
      <c r="BK47" s="66">
        <v>58</v>
      </c>
      <c r="BL47" s="66">
        <v>1027</v>
      </c>
      <c r="BM47" s="66">
        <v>63</v>
      </c>
      <c r="BN47" s="66">
        <v>38</v>
      </c>
      <c r="BO47" s="66">
        <v>36</v>
      </c>
      <c r="BP47" s="66">
        <v>67</v>
      </c>
      <c r="BQ47" s="66">
        <v>66</v>
      </c>
      <c r="BR47" s="66">
        <v>481</v>
      </c>
      <c r="BS47" s="66">
        <v>25</v>
      </c>
      <c r="BT47" s="66">
        <v>19</v>
      </c>
      <c r="BU47" s="66">
        <v>139</v>
      </c>
      <c r="BV47" s="66">
        <v>134</v>
      </c>
      <c r="BW47" s="66">
        <v>16</v>
      </c>
      <c r="BX47" s="66">
        <v>39</v>
      </c>
      <c r="BY47" s="66">
        <v>13</v>
      </c>
      <c r="BZ47" s="66">
        <v>249</v>
      </c>
      <c r="CA47" s="66">
        <v>23</v>
      </c>
      <c r="CB47" s="66">
        <v>29</v>
      </c>
      <c r="CC47" s="66">
        <v>65</v>
      </c>
      <c r="CD47" s="66">
        <v>460</v>
      </c>
      <c r="CE47" s="66">
        <v>17</v>
      </c>
      <c r="CF47" s="66">
        <v>26</v>
      </c>
      <c r="CG47" s="66">
        <v>18</v>
      </c>
      <c r="CH47" s="66">
        <v>6</v>
      </c>
      <c r="CI47" s="66">
        <v>176</v>
      </c>
      <c r="CJ47" s="66">
        <v>360</v>
      </c>
      <c r="CK47" s="66">
        <v>74</v>
      </c>
      <c r="CL47" s="66">
        <v>62</v>
      </c>
      <c r="CM47" s="66">
        <v>31</v>
      </c>
      <c r="CN47" s="66">
        <v>47</v>
      </c>
      <c r="CO47" s="66">
        <v>377</v>
      </c>
      <c r="CP47" s="66">
        <v>28</v>
      </c>
      <c r="CQ47" s="66">
        <v>47</v>
      </c>
      <c r="CR47" s="66">
        <v>47</v>
      </c>
      <c r="CS47" s="66">
        <v>34</v>
      </c>
      <c r="CT47" s="66">
        <v>304</v>
      </c>
      <c r="CU47" s="66">
        <v>24</v>
      </c>
      <c r="CV47" s="66">
        <v>151</v>
      </c>
      <c r="CW47" s="66">
        <v>57</v>
      </c>
      <c r="CX47" s="66">
        <v>346</v>
      </c>
      <c r="CY47" s="66">
        <v>73</v>
      </c>
      <c r="CZ47" s="66">
        <v>42</v>
      </c>
      <c r="DA47" s="66">
        <v>33</v>
      </c>
    </row>
    <row r="48" spans="1:105" ht="15" x14ac:dyDescent="0.35">
      <c r="A48" s="5" t="s">
        <v>289</v>
      </c>
      <c r="B48" s="5" t="s">
        <v>463</v>
      </c>
      <c r="C48" s="66">
        <v>382</v>
      </c>
      <c r="D48" s="66">
        <v>233</v>
      </c>
      <c r="E48" s="66">
        <v>9</v>
      </c>
      <c r="F48" s="66">
        <v>0</v>
      </c>
      <c r="G48" s="66">
        <v>223</v>
      </c>
      <c r="H48" s="66">
        <v>241</v>
      </c>
      <c r="I48" s="66">
        <v>290</v>
      </c>
      <c r="J48" s="66">
        <v>673</v>
      </c>
      <c r="K48" s="66">
        <v>335</v>
      </c>
      <c r="L48" s="66">
        <v>132</v>
      </c>
      <c r="M48" s="66">
        <v>47</v>
      </c>
      <c r="N48" s="66">
        <v>120</v>
      </c>
      <c r="O48" s="66">
        <v>50</v>
      </c>
      <c r="P48" s="66">
        <v>174</v>
      </c>
      <c r="Q48" s="66">
        <v>67</v>
      </c>
      <c r="R48" s="66">
        <v>164</v>
      </c>
      <c r="S48" s="66">
        <v>66</v>
      </c>
      <c r="T48" s="66">
        <v>100</v>
      </c>
      <c r="U48" s="66">
        <v>45</v>
      </c>
      <c r="V48" s="66">
        <v>37</v>
      </c>
      <c r="W48" s="66">
        <v>173</v>
      </c>
      <c r="X48" s="66">
        <v>20</v>
      </c>
      <c r="Y48" s="66">
        <v>70</v>
      </c>
      <c r="Z48" s="66">
        <v>113</v>
      </c>
      <c r="AA48" s="66">
        <v>155</v>
      </c>
      <c r="AB48" s="66">
        <v>98</v>
      </c>
      <c r="AC48" s="66">
        <v>147</v>
      </c>
      <c r="AD48" s="66">
        <v>47</v>
      </c>
      <c r="AE48" s="66">
        <v>40</v>
      </c>
      <c r="AF48" s="66">
        <v>29</v>
      </c>
      <c r="AG48" s="66">
        <v>99</v>
      </c>
      <c r="AH48" s="66">
        <v>51</v>
      </c>
      <c r="AI48" s="66">
        <v>62</v>
      </c>
      <c r="AJ48" s="66">
        <v>236</v>
      </c>
      <c r="AK48" s="66">
        <v>124</v>
      </c>
      <c r="AL48" s="66">
        <v>117</v>
      </c>
      <c r="AM48" s="66">
        <v>14</v>
      </c>
      <c r="AN48" s="66">
        <v>268</v>
      </c>
      <c r="AO48" s="66">
        <v>95</v>
      </c>
      <c r="AP48" s="66">
        <v>125</v>
      </c>
      <c r="AQ48" s="66">
        <v>211</v>
      </c>
      <c r="AR48" s="66">
        <v>97</v>
      </c>
      <c r="AS48" s="66">
        <v>276</v>
      </c>
      <c r="AT48" s="66">
        <v>233</v>
      </c>
      <c r="AU48" s="66">
        <v>351</v>
      </c>
      <c r="AV48" s="66">
        <v>332</v>
      </c>
      <c r="AW48" s="66">
        <v>655</v>
      </c>
      <c r="AX48" s="66">
        <v>159</v>
      </c>
      <c r="AY48" s="66">
        <v>349</v>
      </c>
      <c r="AZ48" s="66">
        <v>284</v>
      </c>
      <c r="BA48" s="66">
        <v>400</v>
      </c>
      <c r="BB48" s="66">
        <v>335</v>
      </c>
      <c r="BC48" s="66">
        <v>257</v>
      </c>
      <c r="BD48" s="66">
        <v>199</v>
      </c>
      <c r="BE48" s="66">
        <v>45</v>
      </c>
      <c r="BF48" s="66">
        <v>0</v>
      </c>
      <c r="BG48" s="66">
        <v>180</v>
      </c>
      <c r="BH48" s="66">
        <v>999</v>
      </c>
      <c r="BI48" s="66">
        <v>93</v>
      </c>
      <c r="BJ48" s="66">
        <v>295</v>
      </c>
      <c r="BK48" s="66">
        <v>128</v>
      </c>
      <c r="BL48" s="66">
        <v>81</v>
      </c>
      <c r="BM48" s="66">
        <v>14</v>
      </c>
      <c r="BN48" s="66">
        <v>111</v>
      </c>
      <c r="BO48" s="66">
        <v>67</v>
      </c>
      <c r="BP48" s="66">
        <v>64</v>
      </c>
      <c r="BQ48" s="66">
        <v>76</v>
      </c>
      <c r="BR48" s="66">
        <v>67</v>
      </c>
      <c r="BS48" s="66">
        <v>50</v>
      </c>
      <c r="BT48" s="66">
        <v>27</v>
      </c>
      <c r="BU48" s="66">
        <v>53</v>
      </c>
      <c r="BV48" s="66">
        <v>50</v>
      </c>
      <c r="BW48" s="66">
        <v>43</v>
      </c>
      <c r="BX48" s="66">
        <v>142</v>
      </c>
      <c r="BY48" s="66">
        <v>199</v>
      </c>
      <c r="BZ48" s="66">
        <v>92</v>
      </c>
      <c r="CA48" s="66">
        <v>310</v>
      </c>
      <c r="CB48" s="66">
        <v>12</v>
      </c>
      <c r="CC48" s="66">
        <v>43</v>
      </c>
      <c r="CD48" s="66">
        <v>31</v>
      </c>
      <c r="CE48" s="66">
        <v>12</v>
      </c>
      <c r="CF48" s="66">
        <v>22</v>
      </c>
      <c r="CG48" s="66">
        <v>15</v>
      </c>
      <c r="CH48" s="66">
        <v>190</v>
      </c>
      <c r="CI48" s="66">
        <v>139</v>
      </c>
      <c r="CJ48" s="66">
        <v>403</v>
      </c>
      <c r="CK48" s="66">
        <v>32</v>
      </c>
      <c r="CL48" s="66">
        <v>61</v>
      </c>
      <c r="CM48" s="66">
        <v>41</v>
      </c>
      <c r="CN48" s="66">
        <v>60</v>
      </c>
      <c r="CO48" s="66">
        <v>42</v>
      </c>
      <c r="CP48" s="66">
        <v>36</v>
      </c>
      <c r="CQ48" s="66">
        <v>123</v>
      </c>
      <c r="CR48" s="66">
        <v>379</v>
      </c>
      <c r="CS48" s="66">
        <v>48</v>
      </c>
      <c r="CT48" s="66">
        <v>92</v>
      </c>
      <c r="CU48" s="66">
        <v>146</v>
      </c>
      <c r="CV48" s="66">
        <v>89</v>
      </c>
      <c r="CW48" s="66">
        <v>112</v>
      </c>
      <c r="CX48" s="66">
        <v>660</v>
      </c>
      <c r="CY48" s="66">
        <v>189</v>
      </c>
      <c r="CZ48" s="66">
        <v>164</v>
      </c>
      <c r="DA48" s="66">
        <v>318</v>
      </c>
    </row>
    <row r="49" spans="1:105" ht="15" x14ac:dyDescent="0.35">
      <c r="A49" s="5" t="s">
        <v>290</v>
      </c>
      <c r="B49" s="5" t="s">
        <v>464</v>
      </c>
      <c r="C49" s="66">
        <v>207</v>
      </c>
      <c r="D49" s="66">
        <v>199</v>
      </c>
      <c r="E49" s="66">
        <v>439</v>
      </c>
      <c r="F49" s="66">
        <v>0</v>
      </c>
      <c r="G49" s="66">
        <v>114</v>
      </c>
      <c r="H49" s="66">
        <v>72</v>
      </c>
      <c r="I49" s="66">
        <v>89</v>
      </c>
      <c r="J49" s="66">
        <v>154</v>
      </c>
      <c r="K49" s="66">
        <v>98</v>
      </c>
      <c r="L49" s="66">
        <v>68</v>
      </c>
      <c r="M49" s="66">
        <v>208</v>
      </c>
      <c r="N49" s="66">
        <v>207</v>
      </c>
      <c r="O49" s="66">
        <v>641</v>
      </c>
      <c r="P49" s="66">
        <v>234</v>
      </c>
      <c r="Q49" s="66">
        <v>393</v>
      </c>
      <c r="R49" s="66">
        <v>120</v>
      </c>
      <c r="S49" s="66">
        <v>77</v>
      </c>
      <c r="T49" s="66">
        <v>69</v>
      </c>
      <c r="U49" s="66">
        <v>181</v>
      </c>
      <c r="V49" s="66">
        <v>237</v>
      </c>
      <c r="W49" s="66">
        <v>437</v>
      </c>
      <c r="X49" s="66">
        <v>130</v>
      </c>
      <c r="Y49" s="66">
        <v>181</v>
      </c>
      <c r="Z49" s="66">
        <v>116</v>
      </c>
      <c r="AA49" s="66">
        <v>270</v>
      </c>
      <c r="AB49" s="66">
        <v>75</v>
      </c>
      <c r="AC49" s="66">
        <v>90</v>
      </c>
      <c r="AD49" s="66">
        <v>235</v>
      </c>
      <c r="AE49" s="66">
        <v>22</v>
      </c>
      <c r="AF49" s="66">
        <v>43</v>
      </c>
      <c r="AG49" s="66">
        <v>2</v>
      </c>
      <c r="AH49" s="66">
        <v>0</v>
      </c>
      <c r="AI49" s="66">
        <v>0</v>
      </c>
      <c r="AJ49" s="66">
        <v>0</v>
      </c>
      <c r="AK49" s="66">
        <v>0</v>
      </c>
      <c r="AL49" s="66">
        <v>0</v>
      </c>
      <c r="AM49" s="66">
        <v>239</v>
      </c>
      <c r="AN49" s="66">
        <v>487</v>
      </c>
      <c r="AO49" s="66">
        <v>176</v>
      </c>
      <c r="AP49" s="66">
        <v>60</v>
      </c>
      <c r="AQ49" s="66">
        <v>156</v>
      </c>
      <c r="AR49" s="66">
        <v>187</v>
      </c>
      <c r="AS49" s="66">
        <v>156</v>
      </c>
      <c r="AT49" s="66">
        <v>142</v>
      </c>
      <c r="AU49" s="66">
        <v>221</v>
      </c>
      <c r="AV49" s="66">
        <v>125</v>
      </c>
      <c r="AW49" s="66">
        <v>126</v>
      </c>
      <c r="AX49" s="66">
        <v>234</v>
      </c>
      <c r="AY49" s="66">
        <v>194</v>
      </c>
      <c r="AZ49" s="66">
        <v>157</v>
      </c>
      <c r="BA49" s="66">
        <v>200</v>
      </c>
      <c r="BB49" s="66">
        <v>85</v>
      </c>
      <c r="BC49" s="66">
        <v>211</v>
      </c>
      <c r="BD49" s="66">
        <v>70</v>
      </c>
      <c r="BE49" s="66">
        <v>46</v>
      </c>
      <c r="BF49" s="66">
        <v>0</v>
      </c>
      <c r="BG49" s="66">
        <v>182</v>
      </c>
      <c r="BH49" s="66">
        <v>2127</v>
      </c>
      <c r="BI49" s="66">
        <v>18</v>
      </c>
      <c r="BJ49" s="66">
        <v>82</v>
      </c>
      <c r="BK49" s="66">
        <v>39</v>
      </c>
      <c r="BL49" s="66">
        <v>107</v>
      </c>
      <c r="BM49" s="66">
        <v>78</v>
      </c>
      <c r="BN49" s="66">
        <v>83</v>
      </c>
      <c r="BO49" s="66">
        <v>36</v>
      </c>
      <c r="BP49" s="66">
        <v>101</v>
      </c>
      <c r="BQ49" s="66">
        <v>211</v>
      </c>
      <c r="BR49" s="66">
        <v>137</v>
      </c>
      <c r="BS49" s="66">
        <v>100</v>
      </c>
      <c r="BT49" s="66">
        <v>82</v>
      </c>
      <c r="BU49" s="66">
        <v>281</v>
      </c>
      <c r="BV49" s="66">
        <v>97</v>
      </c>
      <c r="BW49" s="66">
        <v>27</v>
      </c>
      <c r="BX49" s="66">
        <v>132</v>
      </c>
      <c r="BY49" s="66">
        <v>159</v>
      </c>
      <c r="BZ49" s="66">
        <v>179</v>
      </c>
      <c r="CA49" s="66">
        <v>74</v>
      </c>
      <c r="CB49" s="66">
        <v>105</v>
      </c>
      <c r="CC49" s="66">
        <v>80</v>
      </c>
      <c r="CD49" s="66">
        <v>86</v>
      </c>
      <c r="CE49" s="66">
        <v>124</v>
      </c>
      <c r="CF49" s="66">
        <v>89</v>
      </c>
      <c r="CG49" s="66">
        <v>119</v>
      </c>
      <c r="CH49" s="66">
        <v>294</v>
      </c>
      <c r="CI49" s="66">
        <v>291</v>
      </c>
      <c r="CJ49" s="66">
        <v>70</v>
      </c>
      <c r="CK49" s="66">
        <v>160</v>
      </c>
      <c r="CL49" s="66">
        <v>229</v>
      </c>
      <c r="CM49" s="66">
        <v>61</v>
      </c>
      <c r="CN49" s="66">
        <v>12</v>
      </c>
      <c r="CO49" s="66">
        <v>16</v>
      </c>
      <c r="CP49" s="66">
        <v>336</v>
      </c>
      <c r="CQ49" s="66">
        <v>166</v>
      </c>
      <c r="CR49" s="66">
        <v>354</v>
      </c>
      <c r="CS49" s="66">
        <v>146</v>
      </c>
      <c r="CT49" s="66">
        <v>323</v>
      </c>
      <c r="CU49" s="66">
        <v>290</v>
      </c>
      <c r="CV49" s="66">
        <v>67</v>
      </c>
      <c r="CW49" s="66">
        <v>221</v>
      </c>
      <c r="CX49" s="66">
        <v>335</v>
      </c>
      <c r="CY49" s="66">
        <v>266</v>
      </c>
      <c r="CZ49" s="66">
        <v>342</v>
      </c>
      <c r="DA49" s="66">
        <v>337</v>
      </c>
    </row>
    <row r="50" spans="1:105" ht="15" x14ac:dyDescent="0.35">
      <c r="A50" s="5" t="s">
        <v>291</v>
      </c>
      <c r="B50" s="5" t="s">
        <v>465</v>
      </c>
      <c r="C50" s="66">
        <v>168</v>
      </c>
      <c r="D50" s="66">
        <v>156</v>
      </c>
      <c r="E50" s="66">
        <v>15</v>
      </c>
      <c r="F50" s="66">
        <v>0</v>
      </c>
      <c r="G50" s="66">
        <v>47</v>
      </c>
      <c r="H50" s="66">
        <v>54</v>
      </c>
      <c r="I50" s="66">
        <v>75</v>
      </c>
      <c r="J50" s="66">
        <v>60</v>
      </c>
      <c r="K50" s="66">
        <v>58</v>
      </c>
      <c r="L50" s="66">
        <v>88</v>
      </c>
      <c r="M50" s="66">
        <v>93</v>
      </c>
      <c r="N50" s="66">
        <v>185</v>
      </c>
      <c r="O50" s="66">
        <v>58</v>
      </c>
      <c r="P50" s="66">
        <v>56</v>
      </c>
      <c r="Q50" s="66">
        <v>123</v>
      </c>
      <c r="R50" s="66">
        <v>118</v>
      </c>
      <c r="S50" s="66">
        <v>99</v>
      </c>
      <c r="T50" s="66">
        <v>84</v>
      </c>
      <c r="U50" s="66">
        <v>59</v>
      </c>
      <c r="V50" s="66">
        <v>51</v>
      </c>
      <c r="W50" s="66">
        <v>102</v>
      </c>
      <c r="X50" s="66">
        <v>83</v>
      </c>
      <c r="Y50" s="66">
        <v>0</v>
      </c>
      <c r="Z50" s="66">
        <v>44</v>
      </c>
      <c r="AA50" s="66">
        <v>65</v>
      </c>
      <c r="AB50" s="66">
        <v>18</v>
      </c>
      <c r="AC50" s="66">
        <v>47</v>
      </c>
      <c r="AD50" s="66">
        <v>28</v>
      </c>
      <c r="AE50" s="66">
        <v>20</v>
      </c>
      <c r="AF50" s="66">
        <v>32</v>
      </c>
      <c r="AG50" s="66">
        <v>369</v>
      </c>
      <c r="AH50" s="66">
        <v>77</v>
      </c>
      <c r="AI50" s="66">
        <v>120</v>
      </c>
      <c r="AJ50" s="66">
        <v>54</v>
      </c>
      <c r="AK50" s="66">
        <v>0</v>
      </c>
      <c r="AL50" s="66">
        <v>63</v>
      </c>
      <c r="AM50" s="66">
        <v>114</v>
      </c>
      <c r="AN50" s="66">
        <v>33</v>
      </c>
      <c r="AO50" s="66">
        <v>57</v>
      </c>
      <c r="AP50" s="66">
        <v>44</v>
      </c>
      <c r="AQ50" s="66">
        <v>38</v>
      </c>
      <c r="AR50" s="66">
        <v>56</v>
      </c>
      <c r="AS50" s="66">
        <v>119</v>
      </c>
      <c r="AT50" s="66">
        <v>52</v>
      </c>
      <c r="AU50" s="66">
        <v>170</v>
      </c>
      <c r="AV50" s="66">
        <v>41</v>
      </c>
      <c r="AW50" s="66">
        <v>7</v>
      </c>
      <c r="AX50" s="66">
        <v>0</v>
      </c>
      <c r="AY50" s="66">
        <v>0</v>
      </c>
      <c r="AZ50" s="66">
        <v>0</v>
      </c>
      <c r="BA50" s="66">
        <v>0</v>
      </c>
      <c r="BB50" s="66">
        <v>1</v>
      </c>
      <c r="BC50" s="66">
        <v>0</v>
      </c>
      <c r="BD50" s="66">
        <v>0</v>
      </c>
      <c r="BE50" s="66">
        <v>15</v>
      </c>
      <c r="BF50" s="66">
        <v>0</v>
      </c>
      <c r="BG50" s="66">
        <v>41</v>
      </c>
      <c r="BH50" s="66">
        <v>21</v>
      </c>
      <c r="BI50" s="66">
        <v>96</v>
      </c>
      <c r="BJ50" s="66">
        <v>46</v>
      </c>
      <c r="BK50" s="66">
        <v>46</v>
      </c>
      <c r="BL50" s="66">
        <v>15</v>
      </c>
      <c r="BM50" s="66">
        <v>69</v>
      </c>
      <c r="BN50" s="66">
        <v>156</v>
      </c>
      <c r="BO50" s="66">
        <v>47</v>
      </c>
      <c r="BP50" s="66">
        <v>52</v>
      </c>
      <c r="BQ50" s="66">
        <v>69</v>
      </c>
      <c r="BR50" s="66">
        <v>78</v>
      </c>
      <c r="BS50" s="66">
        <v>49</v>
      </c>
      <c r="BT50" s="66">
        <v>59</v>
      </c>
      <c r="BU50" s="66">
        <v>52</v>
      </c>
      <c r="BV50" s="66">
        <v>52</v>
      </c>
      <c r="BW50" s="66">
        <v>10</v>
      </c>
      <c r="BX50" s="66">
        <v>116</v>
      </c>
      <c r="BY50" s="66">
        <v>93</v>
      </c>
      <c r="BZ50" s="66">
        <v>65</v>
      </c>
      <c r="CA50" s="66">
        <v>39</v>
      </c>
      <c r="CB50" s="66">
        <v>55</v>
      </c>
      <c r="CC50" s="66">
        <v>165</v>
      </c>
      <c r="CD50" s="66">
        <v>88</v>
      </c>
      <c r="CE50" s="66">
        <v>27</v>
      </c>
      <c r="CF50" s="66">
        <v>12</v>
      </c>
      <c r="CG50" s="66">
        <v>34</v>
      </c>
      <c r="CH50" s="66">
        <v>53</v>
      </c>
      <c r="CI50" s="66">
        <v>69</v>
      </c>
      <c r="CJ50" s="66">
        <v>35</v>
      </c>
      <c r="CK50" s="66">
        <v>36</v>
      </c>
      <c r="CL50" s="66">
        <v>34</v>
      </c>
      <c r="CM50" s="66">
        <v>115</v>
      </c>
      <c r="CN50" s="66">
        <v>42</v>
      </c>
      <c r="CO50" s="66">
        <v>17</v>
      </c>
      <c r="CP50" s="66">
        <v>69</v>
      </c>
      <c r="CQ50" s="66">
        <v>124</v>
      </c>
      <c r="CR50" s="66">
        <v>477</v>
      </c>
      <c r="CS50" s="66">
        <v>119</v>
      </c>
      <c r="CT50" s="66">
        <v>109</v>
      </c>
      <c r="CU50" s="66">
        <v>88</v>
      </c>
      <c r="CV50" s="66">
        <v>156</v>
      </c>
      <c r="CW50" s="66">
        <v>203</v>
      </c>
      <c r="CX50" s="66">
        <v>218</v>
      </c>
      <c r="CY50" s="66">
        <v>331</v>
      </c>
      <c r="CZ50" s="66">
        <v>291</v>
      </c>
      <c r="DA50" s="66">
        <v>235</v>
      </c>
    </row>
    <row r="51" spans="1:105" ht="15" x14ac:dyDescent="0.35">
      <c r="A51" s="5" t="s">
        <v>292</v>
      </c>
      <c r="B51" s="5" t="s">
        <v>466</v>
      </c>
      <c r="C51" s="66">
        <v>0</v>
      </c>
      <c r="D51" s="66">
        <v>0</v>
      </c>
      <c r="E51" s="66">
        <v>0</v>
      </c>
      <c r="F51" s="66">
        <v>0</v>
      </c>
      <c r="G51" s="66">
        <v>0</v>
      </c>
      <c r="H51" s="66">
        <v>0</v>
      </c>
      <c r="I51" s="66">
        <v>4</v>
      </c>
      <c r="J51" s="66">
        <v>236</v>
      </c>
      <c r="K51" s="66">
        <v>168</v>
      </c>
      <c r="L51" s="66">
        <v>238</v>
      </c>
      <c r="M51" s="66">
        <v>280</v>
      </c>
      <c r="N51" s="66">
        <v>274</v>
      </c>
      <c r="O51" s="66">
        <v>168</v>
      </c>
      <c r="P51" s="66">
        <v>229</v>
      </c>
      <c r="Q51" s="66">
        <v>346</v>
      </c>
      <c r="R51" s="66">
        <v>186</v>
      </c>
      <c r="S51" s="66">
        <v>186</v>
      </c>
      <c r="T51" s="66">
        <v>290</v>
      </c>
      <c r="U51" s="66">
        <v>757</v>
      </c>
      <c r="V51" s="66">
        <v>134</v>
      </c>
      <c r="W51" s="66">
        <v>359</v>
      </c>
      <c r="X51" s="66">
        <v>217</v>
      </c>
      <c r="Y51" s="66">
        <v>923</v>
      </c>
      <c r="Z51" s="66">
        <v>181</v>
      </c>
      <c r="AA51" s="66">
        <v>360</v>
      </c>
      <c r="AB51" s="66">
        <v>225</v>
      </c>
      <c r="AC51" s="66">
        <v>233</v>
      </c>
      <c r="AD51" s="66">
        <v>238</v>
      </c>
      <c r="AE51" s="66">
        <v>322</v>
      </c>
      <c r="AF51" s="66">
        <v>290</v>
      </c>
      <c r="AG51" s="66">
        <v>185</v>
      </c>
      <c r="AH51" s="66">
        <v>124</v>
      </c>
      <c r="AI51" s="66">
        <v>487</v>
      </c>
      <c r="AJ51" s="66">
        <v>408</v>
      </c>
      <c r="AK51" s="66">
        <v>545</v>
      </c>
      <c r="AL51" s="66">
        <v>189</v>
      </c>
      <c r="AM51" s="66">
        <v>390</v>
      </c>
      <c r="AN51" s="66">
        <v>223</v>
      </c>
      <c r="AO51" s="66">
        <v>346</v>
      </c>
      <c r="AP51" s="66">
        <v>403</v>
      </c>
      <c r="AQ51" s="66">
        <v>105</v>
      </c>
      <c r="AR51" s="66">
        <v>162</v>
      </c>
      <c r="AS51" s="66">
        <v>448</v>
      </c>
      <c r="AT51" s="66">
        <v>125</v>
      </c>
      <c r="AU51" s="66">
        <v>337</v>
      </c>
      <c r="AV51" s="66">
        <v>106</v>
      </c>
      <c r="AW51" s="66">
        <v>99</v>
      </c>
      <c r="AX51" s="66">
        <v>181</v>
      </c>
      <c r="AY51" s="66">
        <v>202</v>
      </c>
      <c r="AZ51" s="66">
        <v>169</v>
      </c>
      <c r="BA51" s="66">
        <v>349</v>
      </c>
      <c r="BB51" s="66">
        <v>246</v>
      </c>
      <c r="BC51" s="66">
        <v>188</v>
      </c>
      <c r="BD51" s="66">
        <v>145</v>
      </c>
      <c r="BE51" s="66">
        <v>110</v>
      </c>
      <c r="BF51" s="66">
        <v>0</v>
      </c>
      <c r="BG51" s="66">
        <v>140</v>
      </c>
      <c r="BH51" s="66">
        <v>289</v>
      </c>
      <c r="BI51" s="66">
        <v>100</v>
      </c>
      <c r="BJ51" s="66">
        <v>236</v>
      </c>
      <c r="BK51" s="66">
        <v>251</v>
      </c>
      <c r="BL51" s="66">
        <v>59</v>
      </c>
      <c r="BM51" s="66">
        <v>259</v>
      </c>
      <c r="BN51" s="66">
        <v>202</v>
      </c>
      <c r="BO51" s="66">
        <v>129</v>
      </c>
      <c r="BP51" s="66">
        <v>80</v>
      </c>
      <c r="BQ51" s="66">
        <v>116</v>
      </c>
      <c r="BR51" s="66">
        <v>221</v>
      </c>
      <c r="BS51" s="66">
        <v>442</v>
      </c>
      <c r="BT51" s="66">
        <v>230</v>
      </c>
      <c r="BU51" s="66">
        <v>213</v>
      </c>
      <c r="BV51" s="66">
        <v>155</v>
      </c>
      <c r="BW51" s="66">
        <v>123</v>
      </c>
      <c r="BX51" s="66">
        <v>300</v>
      </c>
      <c r="BY51" s="66">
        <v>491</v>
      </c>
      <c r="BZ51" s="66">
        <v>245</v>
      </c>
      <c r="CA51" s="66">
        <v>352</v>
      </c>
      <c r="CB51" s="66">
        <v>292</v>
      </c>
      <c r="CC51" s="66">
        <v>302</v>
      </c>
      <c r="CD51" s="66">
        <v>184</v>
      </c>
      <c r="CE51" s="66">
        <v>187</v>
      </c>
      <c r="CF51" s="66">
        <v>312</v>
      </c>
      <c r="CG51" s="66">
        <v>539</v>
      </c>
      <c r="CH51" s="66">
        <v>176</v>
      </c>
      <c r="CI51" s="66">
        <v>420</v>
      </c>
      <c r="CJ51" s="66">
        <v>298</v>
      </c>
      <c r="CK51" s="66">
        <v>307</v>
      </c>
      <c r="CL51" s="66">
        <v>542</v>
      </c>
      <c r="CM51" s="66">
        <v>388</v>
      </c>
      <c r="CN51" s="66">
        <v>330</v>
      </c>
      <c r="CO51" s="66">
        <v>270</v>
      </c>
      <c r="CP51" s="66">
        <v>210</v>
      </c>
      <c r="CQ51" s="66">
        <v>270</v>
      </c>
      <c r="CR51" s="66">
        <v>265</v>
      </c>
      <c r="CS51" s="66">
        <v>152</v>
      </c>
      <c r="CT51" s="66">
        <v>158</v>
      </c>
      <c r="CU51" s="66">
        <v>172</v>
      </c>
      <c r="CV51" s="66">
        <v>99</v>
      </c>
      <c r="CW51" s="66">
        <v>210</v>
      </c>
      <c r="CX51" s="66">
        <v>227</v>
      </c>
      <c r="CY51" s="66">
        <v>119</v>
      </c>
      <c r="CZ51" s="66">
        <v>156</v>
      </c>
      <c r="DA51" s="66">
        <v>288</v>
      </c>
    </row>
    <row r="52" spans="1:105" ht="15" x14ac:dyDescent="0.35">
      <c r="A52" s="5" t="s">
        <v>293</v>
      </c>
      <c r="B52" s="5" t="s">
        <v>467</v>
      </c>
      <c r="C52" s="66">
        <v>55</v>
      </c>
      <c r="D52" s="66">
        <v>338</v>
      </c>
      <c r="E52" s="66">
        <v>7</v>
      </c>
      <c r="F52" s="66">
        <v>0</v>
      </c>
      <c r="G52" s="66">
        <v>77</v>
      </c>
      <c r="H52" s="66">
        <v>35</v>
      </c>
      <c r="I52" s="66">
        <v>67</v>
      </c>
      <c r="J52" s="66">
        <v>35</v>
      </c>
      <c r="K52" s="66">
        <v>255</v>
      </c>
      <c r="L52" s="66">
        <v>36</v>
      </c>
      <c r="M52" s="66">
        <v>272</v>
      </c>
      <c r="N52" s="66">
        <v>140</v>
      </c>
      <c r="O52" s="66">
        <v>43</v>
      </c>
      <c r="P52" s="66">
        <v>17</v>
      </c>
      <c r="Q52" s="66">
        <v>241</v>
      </c>
      <c r="R52" s="66">
        <v>16</v>
      </c>
      <c r="S52" s="66">
        <v>58</v>
      </c>
      <c r="T52" s="66">
        <v>37</v>
      </c>
      <c r="U52" s="66">
        <v>59</v>
      </c>
      <c r="V52" s="66">
        <v>52</v>
      </c>
      <c r="W52" s="66">
        <v>62</v>
      </c>
      <c r="X52" s="66">
        <v>18</v>
      </c>
      <c r="Y52" s="66">
        <v>55</v>
      </c>
      <c r="Z52" s="66">
        <v>29</v>
      </c>
      <c r="AA52" s="66">
        <v>50</v>
      </c>
      <c r="AB52" s="66">
        <v>22</v>
      </c>
      <c r="AC52" s="66">
        <v>76</v>
      </c>
      <c r="AD52" s="66">
        <v>21</v>
      </c>
      <c r="AE52" s="66">
        <v>86</v>
      </c>
      <c r="AF52" s="66">
        <v>45</v>
      </c>
      <c r="AG52" s="66">
        <v>124</v>
      </c>
      <c r="AH52" s="66">
        <v>332</v>
      </c>
      <c r="AI52" s="66">
        <v>57</v>
      </c>
      <c r="AJ52" s="66">
        <v>322</v>
      </c>
      <c r="AK52" s="66">
        <v>241</v>
      </c>
      <c r="AL52" s="66">
        <v>47</v>
      </c>
      <c r="AM52" s="66">
        <v>43</v>
      </c>
      <c r="AN52" s="66">
        <v>62</v>
      </c>
      <c r="AO52" s="66">
        <v>26</v>
      </c>
      <c r="AP52" s="66">
        <v>26</v>
      </c>
      <c r="AQ52" s="66">
        <v>49</v>
      </c>
      <c r="AR52" s="66">
        <v>77</v>
      </c>
      <c r="AS52" s="66">
        <v>22</v>
      </c>
      <c r="AT52" s="66">
        <v>63</v>
      </c>
      <c r="AU52" s="66">
        <v>71</v>
      </c>
      <c r="AV52" s="66">
        <v>82</v>
      </c>
      <c r="AW52" s="66">
        <v>63</v>
      </c>
      <c r="AX52" s="66">
        <v>54</v>
      </c>
      <c r="AY52" s="66">
        <v>19</v>
      </c>
      <c r="AZ52" s="66">
        <v>80</v>
      </c>
      <c r="BA52" s="66">
        <v>92</v>
      </c>
      <c r="BB52" s="66">
        <v>86</v>
      </c>
      <c r="BC52" s="66">
        <v>35</v>
      </c>
      <c r="BD52" s="66">
        <v>25</v>
      </c>
      <c r="BE52" s="66">
        <v>7</v>
      </c>
      <c r="BF52" s="66">
        <v>0</v>
      </c>
      <c r="BG52" s="66">
        <v>30</v>
      </c>
      <c r="BH52" s="66">
        <v>13</v>
      </c>
      <c r="BI52" s="66">
        <v>11</v>
      </c>
      <c r="BJ52" s="66">
        <v>85</v>
      </c>
      <c r="BK52" s="66">
        <v>43</v>
      </c>
      <c r="BL52" s="66">
        <v>34</v>
      </c>
      <c r="BM52" s="66">
        <v>11</v>
      </c>
      <c r="BN52" s="66">
        <v>49</v>
      </c>
      <c r="BO52" s="66">
        <v>29</v>
      </c>
      <c r="BP52" s="66">
        <v>89</v>
      </c>
      <c r="BQ52" s="66">
        <v>38</v>
      </c>
      <c r="BR52" s="66">
        <v>20</v>
      </c>
      <c r="BS52" s="66">
        <v>42</v>
      </c>
      <c r="BT52" s="66">
        <v>29</v>
      </c>
      <c r="BU52" s="66">
        <v>38</v>
      </c>
      <c r="BV52" s="66">
        <v>22</v>
      </c>
      <c r="BW52" s="66">
        <v>16</v>
      </c>
      <c r="BX52" s="66">
        <v>22</v>
      </c>
      <c r="BY52" s="66">
        <v>53</v>
      </c>
      <c r="BZ52" s="66">
        <v>141</v>
      </c>
      <c r="CA52" s="66">
        <v>24</v>
      </c>
      <c r="CB52" s="66">
        <v>30</v>
      </c>
      <c r="CC52" s="66">
        <v>513</v>
      </c>
      <c r="CD52" s="66">
        <v>35</v>
      </c>
      <c r="CE52" s="66">
        <v>21</v>
      </c>
      <c r="CF52" s="66">
        <v>14</v>
      </c>
      <c r="CG52" s="66">
        <v>505</v>
      </c>
      <c r="CH52" s="66">
        <v>38</v>
      </c>
      <c r="CI52" s="66">
        <v>26</v>
      </c>
      <c r="CJ52" s="66">
        <v>48</v>
      </c>
      <c r="CK52" s="66">
        <v>14</v>
      </c>
      <c r="CL52" s="66">
        <v>49</v>
      </c>
      <c r="CM52" s="66">
        <v>58</v>
      </c>
      <c r="CN52" s="66">
        <v>30</v>
      </c>
      <c r="CO52" s="66">
        <v>19</v>
      </c>
      <c r="CP52" s="66">
        <v>25</v>
      </c>
      <c r="CQ52" s="66">
        <v>550</v>
      </c>
      <c r="CR52" s="66">
        <v>7</v>
      </c>
      <c r="CS52" s="66">
        <v>86</v>
      </c>
      <c r="CT52" s="66">
        <v>11</v>
      </c>
      <c r="CU52" s="66">
        <v>60</v>
      </c>
      <c r="CV52" s="66">
        <v>16</v>
      </c>
      <c r="CW52" s="66">
        <v>35</v>
      </c>
      <c r="CX52" s="66">
        <v>27</v>
      </c>
      <c r="CY52" s="66">
        <v>25</v>
      </c>
      <c r="CZ52" s="66">
        <v>33</v>
      </c>
      <c r="DA52" s="66">
        <v>112</v>
      </c>
    </row>
    <row r="53" spans="1:105" ht="15" x14ac:dyDescent="0.35">
      <c r="A53" s="5" t="s">
        <v>294</v>
      </c>
      <c r="B53" s="5" t="s">
        <v>468</v>
      </c>
      <c r="C53" s="66">
        <v>304</v>
      </c>
      <c r="D53" s="66">
        <v>234</v>
      </c>
      <c r="E53" s="66">
        <v>25</v>
      </c>
      <c r="F53" s="66">
        <v>0</v>
      </c>
      <c r="G53" s="66">
        <v>180</v>
      </c>
      <c r="H53" s="66">
        <v>357</v>
      </c>
      <c r="I53" s="66">
        <v>231</v>
      </c>
      <c r="J53" s="66">
        <v>1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37</v>
      </c>
      <c r="U53" s="66">
        <v>458</v>
      </c>
      <c r="V53" s="66">
        <v>395</v>
      </c>
      <c r="W53" s="66">
        <v>327</v>
      </c>
      <c r="X53" s="66">
        <v>145</v>
      </c>
      <c r="Y53" s="66">
        <v>91</v>
      </c>
      <c r="Z53" s="66">
        <v>99</v>
      </c>
      <c r="AA53" s="66">
        <v>61</v>
      </c>
      <c r="AB53" s="66">
        <v>65</v>
      </c>
      <c r="AC53" s="66">
        <v>201</v>
      </c>
      <c r="AD53" s="66">
        <v>99</v>
      </c>
      <c r="AE53" s="66">
        <v>79</v>
      </c>
      <c r="AF53" s="66">
        <v>174</v>
      </c>
      <c r="AG53" s="66">
        <v>296</v>
      </c>
      <c r="AH53" s="66">
        <v>243</v>
      </c>
      <c r="AI53" s="66">
        <v>95</v>
      </c>
      <c r="AJ53" s="66">
        <v>66</v>
      </c>
      <c r="AK53" s="66">
        <v>125</v>
      </c>
      <c r="AL53" s="66">
        <v>133</v>
      </c>
      <c r="AM53" s="66">
        <v>339</v>
      </c>
      <c r="AN53" s="66">
        <v>112</v>
      </c>
      <c r="AO53" s="66">
        <v>119</v>
      </c>
      <c r="AP53" s="66">
        <v>118</v>
      </c>
      <c r="AQ53" s="66">
        <v>132</v>
      </c>
      <c r="AR53" s="66">
        <v>300</v>
      </c>
      <c r="AS53" s="66">
        <v>142</v>
      </c>
      <c r="AT53" s="66">
        <v>195</v>
      </c>
      <c r="AU53" s="66">
        <v>186</v>
      </c>
      <c r="AV53" s="66">
        <v>154</v>
      </c>
      <c r="AW53" s="66">
        <v>158</v>
      </c>
      <c r="AX53" s="66">
        <v>164</v>
      </c>
      <c r="AY53" s="66">
        <v>196</v>
      </c>
      <c r="AZ53" s="66">
        <v>224</v>
      </c>
      <c r="BA53" s="66">
        <v>306</v>
      </c>
      <c r="BB53" s="66">
        <v>182</v>
      </c>
      <c r="BC53" s="66">
        <v>118</v>
      </c>
      <c r="BD53" s="66">
        <v>260</v>
      </c>
      <c r="BE53" s="66">
        <v>19</v>
      </c>
      <c r="BF53" s="66">
        <v>0</v>
      </c>
      <c r="BG53" s="66">
        <v>101</v>
      </c>
      <c r="BH53" s="66">
        <v>100</v>
      </c>
      <c r="BI53" s="66">
        <v>64</v>
      </c>
      <c r="BJ53" s="66">
        <v>116</v>
      </c>
      <c r="BK53" s="66">
        <v>179</v>
      </c>
      <c r="BL53" s="66">
        <v>93</v>
      </c>
      <c r="BM53" s="66">
        <v>128</v>
      </c>
      <c r="BN53" s="66">
        <v>69</v>
      </c>
      <c r="BO53" s="66">
        <v>86</v>
      </c>
      <c r="BP53" s="66">
        <v>101</v>
      </c>
      <c r="BQ53" s="66">
        <v>249</v>
      </c>
      <c r="BR53" s="66">
        <v>175</v>
      </c>
      <c r="BS53" s="66">
        <v>174</v>
      </c>
      <c r="BT53" s="66">
        <v>112</v>
      </c>
      <c r="BU53" s="66">
        <v>221</v>
      </c>
      <c r="BV53" s="66">
        <v>63</v>
      </c>
      <c r="BW53" s="66">
        <v>55</v>
      </c>
      <c r="BX53" s="66">
        <v>134</v>
      </c>
      <c r="BY53" s="66">
        <v>266</v>
      </c>
      <c r="BZ53" s="66">
        <v>287</v>
      </c>
      <c r="CA53" s="66">
        <v>214</v>
      </c>
      <c r="CB53" s="66">
        <v>211</v>
      </c>
      <c r="CC53" s="66">
        <v>163</v>
      </c>
      <c r="CD53" s="66">
        <v>98</v>
      </c>
      <c r="CE53" s="66">
        <v>68</v>
      </c>
      <c r="CF53" s="66">
        <v>176</v>
      </c>
      <c r="CG53" s="66">
        <v>67</v>
      </c>
      <c r="CH53" s="66">
        <v>143</v>
      </c>
      <c r="CI53" s="66">
        <v>364</v>
      </c>
      <c r="CJ53" s="66">
        <v>306</v>
      </c>
      <c r="CK53" s="66">
        <v>198</v>
      </c>
      <c r="CL53" s="66">
        <v>187</v>
      </c>
      <c r="CM53" s="66">
        <v>86</v>
      </c>
      <c r="CN53" s="66">
        <v>274</v>
      </c>
      <c r="CO53" s="66">
        <v>390</v>
      </c>
      <c r="CP53" s="66">
        <v>110</v>
      </c>
      <c r="CQ53" s="66">
        <v>188</v>
      </c>
      <c r="CR53" s="66">
        <v>208</v>
      </c>
      <c r="CS53" s="66">
        <v>143</v>
      </c>
      <c r="CT53" s="66">
        <v>146</v>
      </c>
      <c r="CU53" s="66">
        <v>130</v>
      </c>
      <c r="CV53" s="66">
        <v>220</v>
      </c>
      <c r="CW53" s="66">
        <v>128</v>
      </c>
      <c r="CX53" s="66">
        <v>440</v>
      </c>
      <c r="CY53" s="66">
        <v>184</v>
      </c>
      <c r="CZ53" s="66">
        <v>181</v>
      </c>
      <c r="DA53" s="66">
        <v>136</v>
      </c>
    </row>
    <row r="54" spans="1:105" ht="15" x14ac:dyDescent="0.35">
      <c r="A54" s="5" t="s">
        <v>295</v>
      </c>
      <c r="B54" s="5" t="s">
        <v>469</v>
      </c>
      <c r="C54" s="66">
        <v>143</v>
      </c>
      <c r="D54" s="66">
        <v>267</v>
      </c>
      <c r="E54" s="66">
        <v>21</v>
      </c>
      <c r="F54" s="66">
        <v>0</v>
      </c>
      <c r="G54" s="66">
        <v>155</v>
      </c>
      <c r="H54" s="66">
        <v>156</v>
      </c>
      <c r="I54" s="66">
        <v>170</v>
      </c>
      <c r="J54" s="66">
        <v>214</v>
      </c>
      <c r="K54" s="66">
        <v>100</v>
      </c>
      <c r="L54" s="66">
        <v>179</v>
      </c>
      <c r="M54" s="66">
        <v>232</v>
      </c>
      <c r="N54" s="66">
        <v>300</v>
      </c>
      <c r="O54" s="66">
        <v>77</v>
      </c>
      <c r="P54" s="66">
        <v>177</v>
      </c>
      <c r="Q54" s="66">
        <v>303</v>
      </c>
      <c r="R54" s="66">
        <v>132</v>
      </c>
      <c r="S54" s="66">
        <v>169</v>
      </c>
      <c r="T54" s="66">
        <v>344</v>
      </c>
      <c r="U54" s="66">
        <v>773</v>
      </c>
      <c r="V54" s="66">
        <v>203</v>
      </c>
      <c r="W54" s="66">
        <v>336</v>
      </c>
      <c r="X54" s="66">
        <v>501</v>
      </c>
      <c r="Y54" s="66">
        <v>343</v>
      </c>
      <c r="Z54" s="66">
        <v>275</v>
      </c>
      <c r="AA54" s="66">
        <v>173</v>
      </c>
      <c r="AB54" s="66">
        <v>85</v>
      </c>
      <c r="AC54" s="66">
        <v>1720</v>
      </c>
      <c r="AD54" s="66">
        <v>151</v>
      </c>
      <c r="AE54" s="66">
        <v>123</v>
      </c>
      <c r="AF54" s="66">
        <v>254</v>
      </c>
      <c r="AG54" s="66">
        <v>68</v>
      </c>
      <c r="AH54" s="66">
        <v>148</v>
      </c>
      <c r="AI54" s="66">
        <v>379</v>
      </c>
      <c r="AJ54" s="66">
        <v>302</v>
      </c>
      <c r="AK54" s="66">
        <v>324</v>
      </c>
      <c r="AL54" s="66">
        <v>461</v>
      </c>
      <c r="AM54" s="66">
        <v>279</v>
      </c>
      <c r="AN54" s="66">
        <v>258</v>
      </c>
      <c r="AO54" s="66">
        <v>245</v>
      </c>
      <c r="AP54" s="66">
        <v>162</v>
      </c>
      <c r="AQ54" s="66">
        <v>177</v>
      </c>
      <c r="AR54" s="66">
        <v>242</v>
      </c>
      <c r="AS54" s="66">
        <v>160</v>
      </c>
      <c r="AT54" s="66">
        <v>232</v>
      </c>
      <c r="AU54" s="66">
        <v>261</v>
      </c>
      <c r="AV54" s="66">
        <v>143</v>
      </c>
      <c r="AW54" s="66">
        <v>129</v>
      </c>
      <c r="AX54" s="66">
        <v>235</v>
      </c>
      <c r="AY54" s="66">
        <v>302</v>
      </c>
      <c r="AZ54" s="66">
        <v>140</v>
      </c>
      <c r="BA54" s="66">
        <v>278</v>
      </c>
      <c r="BB54" s="66">
        <v>439</v>
      </c>
      <c r="BC54" s="66">
        <v>151</v>
      </c>
      <c r="BD54" s="66">
        <v>88</v>
      </c>
      <c r="BE54" s="66">
        <v>25</v>
      </c>
      <c r="BF54" s="66">
        <v>0</v>
      </c>
      <c r="BG54" s="66">
        <v>137</v>
      </c>
      <c r="BH54" s="66">
        <v>181</v>
      </c>
      <c r="BI54" s="66">
        <v>186</v>
      </c>
      <c r="BJ54" s="66">
        <v>177</v>
      </c>
      <c r="BK54" s="66">
        <v>101</v>
      </c>
      <c r="BL54" s="66">
        <v>77</v>
      </c>
      <c r="BM54" s="66">
        <v>116</v>
      </c>
      <c r="BN54" s="66">
        <v>180</v>
      </c>
      <c r="BO54" s="66">
        <v>168</v>
      </c>
      <c r="BP54" s="66">
        <v>180</v>
      </c>
      <c r="BQ54" s="66">
        <v>113</v>
      </c>
      <c r="BR54" s="66">
        <v>171</v>
      </c>
      <c r="BS54" s="66">
        <v>447</v>
      </c>
      <c r="BT54" s="66">
        <v>82</v>
      </c>
      <c r="BU54" s="66">
        <v>147</v>
      </c>
      <c r="BV54" s="66">
        <v>87</v>
      </c>
      <c r="BW54" s="66">
        <v>144</v>
      </c>
      <c r="BX54" s="66">
        <v>282</v>
      </c>
      <c r="BY54" s="66">
        <v>368</v>
      </c>
      <c r="BZ54" s="66">
        <v>242</v>
      </c>
      <c r="CA54" s="66">
        <v>127</v>
      </c>
      <c r="CB54" s="66">
        <v>208</v>
      </c>
      <c r="CC54" s="66">
        <v>180</v>
      </c>
      <c r="CD54" s="66">
        <v>239</v>
      </c>
      <c r="CE54" s="66">
        <v>403</v>
      </c>
      <c r="CF54" s="66">
        <v>171</v>
      </c>
      <c r="CG54" s="66">
        <v>446</v>
      </c>
      <c r="CH54" s="66">
        <v>234</v>
      </c>
      <c r="CI54" s="66">
        <v>305</v>
      </c>
      <c r="CJ54" s="66">
        <v>316</v>
      </c>
      <c r="CK54" s="66">
        <v>369</v>
      </c>
      <c r="CL54" s="66">
        <v>416</v>
      </c>
      <c r="CM54" s="66">
        <v>274</v>
      </c>
      <c r="CN54" s="66">
        <v>417</v>
      </c>
      <c r="CO54" s="66">
        <v>187</v>
      </c>
      <c r="CP54" s="66">
        <v>277</v>
      </c>
      <c r="CQ54" s="66">
        <v>301</v>
      </c>
      <c r="CR54" s="66">
        <v>417</v>
      </c>
      <c r="CS54" s="66">
        <v>235</v>
      </c>
      <c r="CT54" s="66">
        <v>316</v>
      </c>
      <c r="CU54" s="66">
        <v>326</v>
      </c>
      <c r="CV54" s="66">
        <v>148</v>
      </c>
      <c r="CW54" s="66">
        <v>94</v>
      </c>
      <c r="CX54" s="66">
        <v>108</v>
      </c>
      <c r="CY54" s="66">
        <v>265</v>
      </c>
      <c r="CZ54" s="66">
        <v>384</v>
      </c>
      <c r="DA54" s="66">
        <v>348</v>
      </c>
    </row>
    <row r="55" spans="1:105" ht="15" x14ac:dyDescent="0.35">
      <c r="A55" s="5" t="s">
        <v>296</v>
      </c>
      <c r="B55" s="5" t="s">
        <v>470</v>
      </c>
      <c r="C55" s="66">
        <v>189</v>
      </c>
      <c r="D55" s="66">
        <v>175</v>
      </c>
      <c r="E55" s="66">
        <v>8</v>
      </c>
      <c r="F55" s="66">
        <v>0</v>
      </c>
      <c r="G55" s="66">
        <v>64</v>
      </c>
      <c r="H55" s="66">
        <v>25</v>
      </c>
      <c r="I55" s="66">
        <v>56</v>
      </c>
      <c r="J55" s="66">
        <v>34</v>
      </c>
      <c r="K55" s="66">
        <v>2</v>
      </c>
      <c r="L55" s="66">
        <v>0</v>
      </c>
      <c r="M55" s="66">
        <v>0</v>
      </c>
      <c r="N55" s="66">
        <v>0</v>
      </c>
      <c r="O55" s="66">
        <v>1</v>
      </c>
      <c r="P55" s="66">
        <v>120</v>
      </c>
      <c r="Q55" s="66">
        <v>124</v>
      </c>
      <c r="R55" s="66">
        <v>84</v>
      </c>
      <c r="S55" s="66">
        <v>103</v>
      </c>
      <c r="T55" s="66">
        <v>102</v>
      </c>
      <c r="U55" s="66">
        <v>97</v>
      </c>
      <c r="V55" s="66">
        <v>107</v>
      </c>
      <c r="W55" s="66">
        <v>219</v>
      </c>
      <c r="X55" s="66">
        <v>58</v>
      </c>
      <c r="Y55" s="66">
        <v>118</v>
      </c>
      <c r="Z55" s="66">
        <v>67</v>
      </c>
      <c r="AA55" s="66">
        <v>108</v>
      </c>
      <c r="AB55" s="66">
        <v>69</v>
      </c>
      <c r="AC55" s="66">
        <v>109</v>
      </c>
      <c r="AD55" s="66">
        <v>43</v>
      </c>
      <c r="AE55" s="66">
        <v>70</v>
      </c>
      <c r="AF55" s="66">
        <v>90</v>
      </c>
      <c r="AG55" s="66">
        <v>47</v>
      </c>
      <c r="AH55" s="66">
        <v>66</v>
      </c>
      <c r="AI55" s="66">
        <v>103</v>
      </c>
      <c r="AJ55" s="66">
        <v>78</v>
      </c>
      <c r="AK55" s="66">
        <v>31</v>
      </c>
      <c r="AL55" s="66">
        <v>78</v>
      </c>
      <c r="AM55" s="66">
        <v>65</v>
      </c>
      <c r="AN55" s="66">
        <v>142</v>
      </c>
      <c r="AO55" s="66">
        <v>43</v>
      </c>
      <c r="AP55" s="66">
        <v>118</v>
      </c>
      <c r="AQ55" s="66">
        <v>107</v>
      </c>
      <c r="AR55" s="66">
        <v>156</v>
      </c>
      <c r="AS55" s="66">
        <v>373</v>
      </c>
      <c r="AT55" s="66">
        <v>191</v>
      </c>
      <c r="AU55" s="66">
        <v>344</v>
      </c>
      <c r="AV55" s="66">
        <v>151</v>
      </c>
      <c r="AW55" s="66">
        <v>160</v>
      </c>
      <c r="AX55" s="66">
        <v>193</v>
      </c>
      <c r="AY55" s="66">
        <v>172</v>
      </c>
      <c r="AZ55" s="66">
        <v>232</v>
      </c>
      <c r="BA55" s="66">
        <v>185</v>
      </c>
      <c r="BB55" s="66">
        <v>90</v>
      </c>
      <c r="BC55" s="66">
        <v>0</v>
      </c>
      <c r="BD55" s="66">
        <v>3</v>
      </c>
      <c r="BE55" s="66">
        <v>4</v>
      </c>
      <c r="BF55" s="66">
        <v>0</v>
      </c>
      <c r="BG55" s="66">
        <v>19</v>
      </c>
      <c r="BH55" s="66">
        <v>58</v>
      </c>
      <c r="BI55" s="66">
        <v>26</v>
      </c>
      <c r="BJ55" s="66">
        <v>36</v>
      </c>
      <c r="BK55" s="66">
        <v>47</v>
      </c>
      <c r="BL55" s="66">
        <v>19</v>
      </c>
      <c r="BM55" s="66">
        <v>133</v>
      </c>
      <c r="BN55" s="66">
        <v>112</v>
      </c>
      <c r="BO55" s="66">
        <v>35</v>
      </c>
      <c r="BP55" s="66">
        <v>32</v>
      </c>
      <c r="BQ55" s="66">
        <v>103</v>
      </c>
      <c r="BR55" s="66">
        <v>70</v>
      </c>
      <c r="BS55" s="66">
        <v>83</v>
      </c>
      <c r="BT55" s="66">
        <v>60</v>
      </c>
      <c r="BU55" s="66">
        <v>68</v>
      </c>
      <c r="BV55" s="66">
        <v>75</v>
      </c>
      <c r="BW55" s="66">
        <v>45</v>
      </c>
      <c r="BX55" s="66">
        <v>63</v>
      </c>
      <c r="BY55" s="66">
        <v>72</v>
      </c>
      <c r="BZ55" s="66">
        <v>133</v>
      </c>
      <c r="CA55" s="66">
        <v>69</v>
      </c>
      <c r="CB55" s="66">
        <v>39</v>
      </c>
      <c r="CC55" s="66">
        <v>86</v>
      </c>
      <c r="CD55" s="66">
        <v>143</v>
      </c>
      <c r="CE55" s="66">
        <v>92</v>
      </c>
      <c r="CF55" s="66">
        <v>20</v>
      </c>
      <c r="CG55" s="66">
        <v>89</v>
      </c>
      <c r="CH55" s="66">
        <v>108</v>
      </c>
      <c r="CI55" s="66">
        <v>101</v>
      </c>
      <c r="CJ55" s="66">
        <v>86</v>
      </c>
      <c r="CK55" s="66">
        <v>106</v>
      </c>
      <c r="CL55" s="66">
        <v>61</v>
      </c>
      <c r="CM55" s="66">
        <v>97</v>
      </c>
      <c r="CN55" s="66">
        <v>94</v>
      </c>
      <c r="CO55" s="66">
        <v>38</v>
      </c>
      <c r="CP55" s="66">
        <v>68</v>
      </c>
      <c r="CQ55" s="66">
        <v>30</v>
      </c>
      <c r="CR55" s="66">
        <v>157</v>
      </c>
      <c r="CS55" s="66">
        <v>82</v>
      </c>
      <c r="CT55" s="66">
        <v>102</v>
      </c>
      <c r="CU55" s="66">
        <v>135</v>
      </c>
      <c r="CV55" s="66">
        <v>206</v>
      </c>
      <c r="CW55" s="66">
        <v>88</v>
      </c>
      <c r="CX55" s="66">
        <v>100</v>
      </c>
      <c r="CY55" s="66">
        <v>212</v>
      </c>
      <c r="CZ55" s="66">
        <v>246</v>
      </c>
      <c r="DA55" s="66">
        <v>192</v>
      </c>
    </row>
    <row r="56" spans="1:105" ht="15" x14ac:dyDescent="0.35">
      <c r="A56" s="5" t="s">
        <v>297</v>
      </c>
      <c r="B56" s="5" t="s">
        <v>471</v>
      </c>
      <c r="C56" s="66">
        <v>279</v>
      </c>
      <c r="D56" s="66">
        <v>159</v>
      </c>
      <c r="E56" s="66">
        <v>12</v>
      </c>
      <c r="F56" s="66">
        <v>0</v>
      </c>
      <c r="G56" s="66">
        <v>46</v>
      </c>
      <c r="H56" s="66">
        <v>275</v>
      </c>
      <c r="I56" s="66">
        <v>164</v>
      </c>
      <c r="J56" s="66">
        <v>181</v>
      </c>
      <c r="K56" s="66">
        <v>74</v>
      </c>
      <c r="L56" s="66">
        <v>154</v>
      </c>
      <c r="M56" s="66">
        <v>261</v>
      </c>
      <c r="N56" s="66">
        <v>106</v>
      </c>
      <c r="O56" s="66">
        <v>255</v>
      </c>
      <c r="P56" s="66">
        <v>49</v>
      </c>
      <c r="Q56" s="66">
        <v>152</v>
      </c>
      <c r="R56" s="66">
        <v>271</v>
      </c>
      <c r="S56" s="66">
        <v>128</v>
      </c>
      <c r="T56" s="66">
        <v>34</v>
      </c>
      <c r="U56" s="66">
        <v>157</v>
      </c>
      <c r="V56" s="66">
        <v>101</v>
      </c>
      <c r="W56" s="66">
        <v>432</v>
      </c>
      <c r="X56" s="66">
        <v>209</v>
      </c>
      <c r="Y56" s="66">
        <v>265</v>
      </c>
      <c r="Z56" s="66">
        <v>67</v>
      </c>
      <c r="AA56" s="66">
        <v>207</v>
      </c>
      <c r="AB56" s="66">
        <v>170</v>
      </c>
      <c r="AC56" s="66">
        <v>183</v>
      </c>
      <c r="AD56" s="66">
        <v>53</v>
      </c>
      <c r="AE56" s="66">
        <v>64</v>
      </c>
      <c r="AF56" s="66">
        <v>549</v>
      </c>
      <c r="AG56" s="66">
        <v>107</v>
      </c>
      <c r="AH56" s="66">
        <v>54</v>
      </c>
      <c r="AI56" s="66">
        <v>12</v>
      </c>
      <c r="AJ56" s="66">
        <v>0</v>
      </c>
      <c r="AK56" s="66">
        <v>0</v>
      </c>
      <c r="AL56" s="66">
        <v>0</v>
      </c>
      <c r="AM56" s="66">
        <v>100</v>
      </c>
      <c r="AN56" s="66">
        <v>30</v>
      </c>
      <c r="AO56" s="66">
        <v>528</v>
      </c>
      <c r="AP56" s="66">
        <v>178</v>
      </c>
      <c r="AQ56" s="66">
        <v>494</v>
      </c>
      <c r="AR56" s="66">
        <v>336</v>
      </c>
      <c r="AS56" s="66">
        <v>421</v>
      </c>
      <c r="AT56" s="66">
        <v>87</v>
      </c>
      <c r="AU56" s="66">
        <v>341</v>
      </c>
      <c r="AV56" s="66">
        <v>222</v>
      </c>
      <c r="AW56" s="66">
        <v>56</v>
      </c>
      <c r="AX56" s="66">
        <v>208</v>
      </c>
      <c r="AY56" s="66">
        <v>326</v>
      </c>
      <c r="AZ56" s="66">
        <v>386</v>
      </c>
      <c r="BA56" s="66">
        <v>290</v>
      </c>
      <c r="BB56" s="66">
        <v>129</v>
      </c>
      <c r="BC56" s="66">
        <v>292</v>
      </c>
      <c r="BD56" s="66">
        <v>107</v>
      </c>
      <c r="BE56" s="66">
        <v>27</v>
      </c>
      <c r="BF56" s="66">
        <v>0</v>
      </c>
      <c r="BG56" s="66">
        <v>339</v>
      </c>
      <c r="BH56" s="66">
        <v>46</v>
      </c>
      <c r="BI56" s="66">
        <v>194</v>
      </c>
      <c r="BJ56" s="66">
        <v>109</v>
      </c>
      <c r="BK56" s="66">
        <v>116</v>
      </c>
      <c r="BL56" s="66">
        <v>158</v>
      </c>
      <c r="BM56" s="66">
        <v>288</v>
      </c>
      <c r="BN56" s="66">
        <v>273</v>
      </c>
      <c r="BO56" s="66">
        <v>71</v>
      </c>
      <c r="BP56" s="66">
        <v>282</v>
      </c>
      <c r="BQ56" s="66">
        <v>844</v>
      </c>
      <c r="BR56" s="66">
        <v>223</v>
      </c>
      <c r="BS56" s="66">
        <v>58</v>
      </c>
      <c r="BT56" s="66">
        <v>0</v>
      </c>
      <c r="BU56" s="66">
        <v>0</v>
      </c>
      <c r="BV56" s="66">
        <v>0</v>
      </c>
      <c r="BW56" s="66">
        <v>0</v>
      </c>
      <c r="BX56" s="66">
        <v>0</v>
      </c>
      <c r="BY56" s="66">
        <v>0</v>
      </c>
      <c r="BZ56" s="66">
        <v>0</v>
      </c>
      <c r="CA56" s="66">
        <v>0</v>
      </c>
      <c r="CB56" s="66">
        <v>0</v>
      </c>
      <c r="CC56" s="66">
        <v>24</v>
      </c>
      <c r="CD56" s="66">
        <v>135</v>
      </c>
      <c r="CE56" s="66">
        <v>270</v>
      </c>
      <c r="CF56" s="66">
        <v>492</v>
      </c>
      <c r="CG56" s="66">
        <v>589</v>
      </c>
      <c r="CH56" s="66">
        <v>0</v>
      </c>
      <c r="CI56" s="66">
        <v>250</v>
      </c>
      <c r="CJ56" s="66">
        <v>190</v>
      </c>
      <c r="CK56" s="66">
        <v>129</v>
      </c>
      <c r="CL56" s="66">
        <v>348</v>
      </c>
      <c r="CM56" s="66">
        <v>249</v>
      </c>
      <c r="CN56" s="66">
        <v>858</v>
      </c>
      <c r="CO56" s="66">
        <v>170</v>
      </c>
      <c r="CP56" s="66">
        <v>288</v>
      </c>
      <c r="CQ56" s="66">
        <v>601</v>
      </c>
      <c r="CR56" s="66">
        <v>762</v>
      </c>
      <c r="CS56" s="66">
        <v>218</v>
      </c>
      <c r="CT56" s="66">
        <v>474</v>
      </c>
      <c r="CU56" s="66">
        <v>232</v>
      </c>
      <c r="CV56" s="66">
        <v>0</v>
      </c>
      <c r="CW56" s="66">
        <v>238</v>
      </c>
      <c r="CX56" s="66">
        <v>84</v>
      </c>
      <c r="CY56" s="66">
        <v>287</v>
      </c>
      <c r="CZ56" s="66">
        <v>144</v>
      </c>
      <c r="DA56" s="66">
        <v>50</v>
      </c>
    </row>
    <row r="57" spans="1:105" ht="15" x14ac:dyDescent="0.35">
      <c r="A57" s="5" t="s">
        <v>298</v>
      </c>
      <c r="B57" s="5" t="s">
        <v>472</v>
      </c>
      <c r="C57" s="66">
        <v>0</v>
      </c>
      <c r="D57" s="66">
        <v>0</v>
      </c>
      <c r="E57" s="66">
        <v>0</v>
      </c>
      <c r="F57" s="66">
        <v>0</v>
      </c>
      <c r="G57" s="66">
        <v>0</v>
      </c>
      <c r="H57" s="66">
        <v>0</v>
      </c>
      <c r="I57" s="66">
        <v>0</v>
      </c>
      <c r="J57" s="66">
        <v>0</v>
      </c>
      <c r="K57" s="66">
        <v>0</v>
      </c>
      <c r="L57" s="66">
        <v>0</v>
      </c>
      <c r="M57" s="66">
        <v>0</v>
      </c>
      <c r="N57" s="66">
        <v>0</v>
      </c>
      <c r="O57" s="66">
        <v>0</v>
      </c>
      <c r="P57" s="66">
        <v>0</v>
      </c>
      <c r="Q57" s="66">
        <v>0</v>
      </c>
      <c r="R57" s="66">
        <v>0</v>
      </c>
      <c r="S57" s="66">
        <v>0</v>
      </c>
      <c r="T57" s="66">
        <v>0</v>
      </c>
      <c r="U57" s="66">
        <v>0</v>
      </c>
      <c r="V57" s="66">
        <v>0</v>
      </c>
      <c r="W57" s="66">
        <v>0</v>
      </c>
      <c r="X57" s="66">
        <v>0</v>
      </c>
      <c r="Y57" s="66">
        <v>0</v>
      </c>
      <c r="Z57" s="66">
        <v>0</v>
      </c>
      <c r="AA57" s="66">
        <v>0</v>
      </c>
      <c r="AB57" s="66">
        <v>0</v>
      </c>
      <c r="AC57" s="66">
        <v>0</v>
      </c>
      <c r="AD57" s="66">
        <v>0</v>
      </c>
      <c r="AE57" s="66">
        <v>0</v>
      </c>
      <c r="AF57" s="66">
        <v>54</v>
      </c>
      <c r="AG57" s="66">
        <v>159</v>
      </c>
      <c r="AH57" s="66">
        <v>136</v>
      </c>
      <c r="AI57" s="66">
        <v>402</v>
      </c>
      <c r="AJ57" s="66">
        <v>99</v>
      </c>
      <c r="AK57" s="66">
        <v>165</v>
      </c>
      <c r="AL57" s="66">
        <v>273</v>
      </c>
      <c r="AM57" s="66">
        <v>208</v>
      </c>
      <c r="AN57" s="66">
        <v>115</v>
      </c>
      <c r="AO57" s="66">
        <v>685</v>
      </c>
      <c r="AP57" s="66">
        <v>163</v>
      </c>
      <c r="AQ57" s="66">
        <v>180</v>
      </c>
      <c r="AR57" s="66">
        <v>209</v>
      </c>
      <c r="AS57" s="66">
        <v>681</v>
      </c>
      <c r="AT57" s="66">
        <v>255</v>
      </c>
      <c r="AU57" s="66">
        <v>115</v>
      </c>
      <c r="AV57" s="66">
        <v>51</v>
      </c>
      <c r="AW57" s="66">
        <v>101</v>
      </c>
      <c r="AX57" s="66">
        <v>697</v>
      </c>
      <c r="AY57" s="66">
        <v>294</v>
      </c>
      <c r="AZ57" s="66">
        <v>602</v>
      </c>
      <c r="BA57" s="66">
        <v>202</v>
      </c>
      <c r="BB57" s="66">
        <v>519</v>
      </c>
      <c r="BC57" s="66">
        <v>144</v>
      </c>
      <c r="BD57" s="66">
        <v>135</v>
      </c>
      <c r="BE57" s="66">
        <v>24</v>
      </c>
      <c r="BF57" s="66">
        <v>0</v>
      </c>
      <c r="BG57" s="66">
        <v>46</v>
      </c>
      <c r="BH57" s="66">
        <v>490</v>
      </c>
      <c r="BI57" s="66">
        <v>455</v>
      </c>
      <c r="BJ57" s="66">
        <v>117</v>
      </c>
      <c r="BK57" s="66">
        <v>73</v>
      </c>
      <c r="BL57" s="66">
        <v>85</v>
      </c>
      <c r="BM57" s="66">
        <v>378</v>
      </c>
      <c r="BN57" s="66">
        <v>300</v>
      </c>
      <c r="BO57" s="66">
        <v>519</v>
      </c>
      <c r="BP57" s="66">
        <v>166</v>
      </c>
      <c r="BQ57" s="66">
        <v>88</v>
      </c>
      <c r="BR57" s="66">
        <v>164</v>
      </c>
      <c r="BS57" s="66">
        <v>768</v>
      </c>
      <c r="BT57" s="66">
        <v>158</v>
      </c>
      <c r="BU57" s="66">
        <v>141</v>
      </c>
      <c r="BV57" s="66">
        <v>37</v>
      </c>
      <c r="BW57" s="66">
        <v>61</v>
      </c>
      <c r="BX57" s="66">
        <v>92</v>
      </c>
      <c r="BY57" s="66">
        <v>564</v>
      </c>
      <c r="BZ57" s="66">
        <v>126</v>
      </c>
      <c r="CA57" s="66">
        <v>186</v>
      </c>
      <c r="CB57" s="66">
        <v>432</v>
      </c>
      <c r="CC57" s="66">
        <v>100</v>
      </c>
      <c r="CD57" s="66">
        <v>212</v>
      </c>
      <c r="CE57" s="66">
        <v>102</v>
      </c>
      <c r="CF57" s="66">
        <v>179</v>
      </c>
      <c r="CG57" s="66">
        <v>51</v>
      </c>
      <c r="CH57" s="66">
        <v>96</v>
      </c>
      <c r="CI57" s="66">
        <v>210</v>
      </c>
      <c r="CJ57" s="66">
        <v>107</v>
      </c>
      <c r="CK57" s="66">
        <v>164</v>
      </c>
      <c r="CL57" s="66">
        <v>480</v>
      </c>
      <c r="CM57" s="66">
        <v>365</v>
      </c>
      <c r="CN57" s="66">
        <v>571</v>
      </c>
      <c r="CO57" s="66">
        <v>187</v>
      </c>
      <c r="CP57" s="66">
        <v>147</v>
      </c>
      <c r="CQ57" s="66">
        <v>131</v>
      </c>
      <c r="CR57" s="66">
        <v>361</v>
      </c>
      <c r="CS57" s="66">
        <v>190</v>
      </c>
      <c r="CT57" s="66">
        <v>236</v>
      </c>
      <c r="CU57" s="66">
        <v>96</v>
      </c>
      <c r="CV57" s="66">
        <v>313</v>
      </c>
      <c r="CW57" s="66">
        <v>261</v>
      </c>
      <c r="CX57" s="66">
        <v>148</v>
      </c>
      <c r="CY57" s="66">
        <v>96</v>
      </c>
      <c r="CZ57" s="66">
        <v>284</v>
      </c>
      <c r="DA57" s="66">
        <v>303</v>
      </c>
    </row>
    <row r="58" spans="1:105" ht="15" x14ac:dyDescent="0.35">
      <c r="A58" s="5" t="s">
        <v>299</v>
      </c>
      <c r="B58" s="5" t="s">
        <v>473</v>
      </c>
      <c r="C58" s="66">
        <v>79</v>
      </c>
      <c r="D58" s="66">
        <v>117</v>
      </c>
      <c r="E58" s="66">
        <v>47</v>
      </c>
      <c r="F58" s="66">
        <v>0</v>
      </c>
      <c r="G58" s="66">
        <v>72</v>
      </c>
      <c r="H58" s="66">
        <v>105</v>
      </c>
      <c r="I58" s="66">
        <v>66</v>
      </c>
      <c r="J58" s="66">
        <v>40</v>
      </c>
      <c r="K58" s="66">
        <v>72</v>
      </c>
      <c r="L58" s="66">
        <v>20</v>
      </c>
      <c r="M58" s="66">
        <v>50</v>
      </c>
      <c r="N58" s="66">
        <v>91</v>
      </c>
      <c r="O58" s="66">
        <v>81</v>
      </c>
      <c r="P58" s="66">
        <v>29</v>
      </c>
      <c r="Q58" s="66">
        <v>72</v>
      </c>
      <c r="R58" s="66">
        <v>41</v>
      </c>
      <c r="S58" s="66">
        <v>39</v>
      </c>
      <c r="T58" s="66">
        <v>15</v>
      </c>
      <c r="U58" s="66">
        <v>117</v>
      </c>
      <c r="V58" s="66">
        <v>28</v>
      </c>
      <c r="W58" s="66">
        <v>97</v>
      </c>
      <c r="X58" s="66">
        <v>48</v>
      </c>
      <c r="Y58" s="66">
        <v>43</v>
      </c>
      <c r="Z58" s="66">
        <v>29</v>
      </c>
      <c r="AA58" s="66">
        <v>29</v>
      </c>
      <c r="AB58" s="66">
        <v>26</v>
      </c>
      <c r="AC58" s="66">
        <v>85</v>
      </c>
      <c r="AD58" s="66">
        <v>163</v>
      </c>
      <c r="AE58" s="66">
        <v>14</v>
      </c>
      <c r="AF58" s="66">
        <v>58</v>
      </c>
      <c r="AG58" s="66">
        <v>16</v>
      </c>
      <c r="AH58" s="66">
        <v>309</v>
      </c>
      <c r="AI58" s="66">
        <v>26</v>
      </c>
      <c r="AJ58" s="66">
        <v>337</v>
      </c>
      <c r="AK58" s="66">
        <v>262</v>
      </c>
      <c r="AL58" s="66">
        <v>41</v>
      </c>
      <c r="AM58" s="66">
        <v>110</v>
      </c>
      <c r="AN58" s="66">
        <v>29</v>
      </c>
      <c r="AO58" s="66">
        <v>60</v>
      </c>
      <c r="AP58" s="66">
        <v>18</v>
      </c>
      <c r="AQ58" s="66">
        <v>17</v>
      </c>
      <c r="AR58" s="66">
        <v>0</v>
      </c>
      <c r="AS58" s="66">
        <v>17</v>
      </c>
      <c r="AT58" s="66">
        <v>0</v>
      </c>
      <c r="AU58" s="66">
        <v>6</v>
      </c>
      <c r="AV58" s="66">
        <v>2</v>
      </c>
      <c r="AW58" s="66">
        <v>157</v>
      </c>
      <c r="AX58" s="66">
        <v>88</v>
      </c>
      <c r="AY58" s="66">
        <v>47</v>
      </c>
      <c r="AZ58" s="66">
        <v>85</v>
      </c>
      <c r="BA58" s="66">
        <v>127</v>
      </c>
      <c r="BB58" s="66">
        <v>96</v>
      </c>
      <c r="BC58" s="66">
        <v>69</v>
      </c>
      <c r="BD58" s="66">
        <v>60</v>
      </c>
      <c r="BE58" s="66">
        <v>8</v>
      </c>
      <c r="BF58" s="66">
        <v>0</v>
      </c>
      <c r="BG58" s="66">
        <v>20</v>
      </c>
      <c r="BH58" s="66">
        <v>32</v>
      </c>
      <c r="BI58" s="66">
        <v>19</v>
      </c>
      <c r="BJ58" s="66">
        <v>73</v>
      </c>
      <c r="BK58" s="66">
        <v>7</v>
      </c>
      <c r="BL58" s="66">
        <v>54</v>
      </c>
      <c r="BM58" s="66">
        <v>32</v>
      </c>
      <c r="BN58" s="66">
        <v>25</v>
      </c>
      <c r="BO58" s="66">
        <v>26</v>
      </c>
      <c r="BP58" s="66">
        <v>82</v>
      </c>
      <c r="BQ58" s="66">
        <v>34</v>
      </c>
      <c r="BR58" s="66">
        <v>6</v>
      </c>
      <c r="BS58" s="66">
        <v>26</v>
      </c>
      <c r="BT58" s="66">
        <v>16</v>
      </c>
      <c r="BU58" s="66">
        <v>36</v>
      </c>
      <c r="BV58" s="66">
        <v>6</v>
      </c>
      <c r="BW58" s="66">
        <v>8</v>
      </c>
      <c r="BX58" s="66">
        <v>72</v>
      </c>
      <c r="BY58" s="66">
        <v>46</v>
      </c>
      <c r="BZ58" s="66">
        <v>122</v>
      </c>
      <c r="CA58" s="66">
        <v>15</v>
      </c>
      <c r="CB58" s="66">
        <v>5</v>
      </c>
      <c r="CC58" s="66">
        <v>533</v>
      </c>
      <c r="CD58" s="66">
        <v>5</v>
      </c>
      <c r="CE58" s="66">
        <v>7</v>
      </c>
      <c r="CF58" s="66">
        <v>38</v>
      </c>
      <c r="CG58" s="66">
        <v>534</v>
      </c>
      <c r="CH58" s="66">
        <v>19</v>
      </c>
      <c r="CI58" s="66">
        <v>105</v>
      </c>
      <c r="CJ58" s="66">
        <v>10</v>
      </c>
      <c r="CK58" s="66">
        <v>25</v>
      </c>
      <c r="CL58" s="66">
        <v>41</v>
      </c>
      <c r="CM58" s="66">
        <v>53</v>
      </c>
      <c r="CN58" s="66">
        <v>14</v>
      </c>
      <c r="CO58" s="66">
        <v>18</v>
      </c>
      <c r="CP58" s="66">
        <v>94</v>
      </c>
      <c r="CQ58" s="66">
        <v>236</v>
      </c>
      <c r="CR58" s="66">
        <v>24</v>
      </c>
      <c r="CS58" s="66">
        <v>103</v>
      </c>
      <c r="CT58" s="66">
        <v>23</v>
      </c>
      <c r="CU58" s="66">
        <v>58</v>
      </c>
      <c r="CV58" s="66">
        <v>18</v>
      </c>
      <c r="CW58" s="66">
        <v>37</v>
      </c>
      <c r="CX58" s="66">
        <v>28</v>
      </c>
      <c r="CY58" s="66">
        <v>39</v>
      </c>
      <c r="CZ58" s="66">
        <v>45</v>
      </c>
      <c r="DA58" s="66">
        <v>104</v>
      </c>
    </row>
    <row r="59" spans="1:105" ht="15" x14ac:dyDescent="0.35">
      <c r="A59" s="5" t="s">
        <v>300</v>
      </c>
      <c r="B59" s="5" t="s">
        <v>474</v>
      </c>
      <c r="C59" s="66">
        <v>34</v>
      </c>
      <c r="D59" s="66">
        <v>129</v>
      </c>
      <c r="E59" s="66">
        <v>0</v>
      </c>
      <c r="F59" s="66">
        <v>0</v>
      </c>
      <c r="G59" s="66">
        <v>44</v>
      </c>
      <c r="H59" s="66">
        <v>306</v>
      </c>
      <c r="I59" s="66">
        <v>174</v>
      </c>
      <c r="J59" s="66">
        <v>548</v>
      </c>
      <c r="K59" s="66">
        <v>104</v>
      </c>
      <c r="L59" s="66">
        <v>67</v>
      </c>
      <c r="M59" s="66">
        <v>128</v>
      </c>
      <c r="N59" s="66">
        <v>107</v>
      </c>
      <c r="O59" s="66">
        <v>119</v>
      </c>
      <c r="P59" s="66">
        <v>186</v>
      </c>
      <c r="Q59" s="66">
        <v>232</v>
      </c>
      <c r="R59" s="66">
        <v>44</v>
      </c>
      <c r="S59" s="66">
        <v>126</v>
      </c>
      <c r="T59" s="66">
        <v>218</v>
      </c>
      <c r="U59" s="66">
        <v>46</v>
      </c>
      <c r="V59" s="66">
        <v>114</v>
      </c>
      <c r="W59" s="66">
        <v>344</v>
      </c>
      <c r="X59" s="66">
        <v>177</v>
      </c>
      <c r="Y59" s="66">
        <v>104</v>
      </c>
      <c r="Z59" s="66">
        <v>64</v>
      </c>
      <c r="AA59" s="66">
        <v>87</v>
      </c>
      <c r="AB59" s="66">
        <v>341</v>
      </c>
      <c r="AC59" s="66">
        <v>258</v>
      </c>
      <c r="AD59" s="66">
        <v>271</v>
      </c>
      <c r="AE59" s="66">
        <v>77</v>
      </c>
      <c r="AF59" s="66">
        <v>220</v>
      </c>
      <c r="AG59" s="66">
        <v>13</v>
      </c>
      <c r="AH59" s="66">
        <v>0</v>
      </c>
      <c r="AI59" s="66">
        <v>0</v>
      </c>
      <c r="AJ59" s="66">
        <v>0</v>
      </c>
      <c r="AK59" s="66">
        <v>0</v>
      </c>
      <c r="AL59" s="66">
        <v>0</v>
      </c>
      <c r="AM59" s="66">
        <v>100</v>
      </c>
      <c r="AN59" s="66">
        <v>0</v>
      </c>
      <c r="AO59" s="66">
        <v>434</v>
      </c>
      <c r="AP59" s="66">
        <v>113</v>
      </c>
      <c r="AQ59" s="66">
        <v>675</v>
      </c>
      <c r="AR59" s="66">
        <v>426</v>
      </c>
      <c r="AS59" s="66">
        <v>248</v>
      </c>
      <c r="AT59" s="66">
        <v>77</v>
      </c>
      <c r="AU59" s="66">
        <v>196</v>
      </c>
      <c r="AV59" s="66">
        <v>184</v>
      </c>
      <c r="AW59" s="66">
        <v>63</v>
      </c>
      <c r="AX59" s="66">
        <v>148</v>
      </c>
      <c r="AY59" s="66">
        <v>130</v>
      </c>
      <c r="AZ59" s="66">
        <v>124</v>
      </c>
      <c r="BA59" s="66">
        <v>168</v>
      </c>
      <c r="BB59" s="66">
        <v>139</v>
      </c>
      <c r="BC59" s="66">
        <v>165</v>
      </c>
      <c r="BD59" s="66">
        <v>94</v>
      </c>
      <c r="BE59" s="66">
        <v>36</v>
      </c>
      <c r="BF59" s="66">
        <v>0</v>
      </c>
      <c r="BG59" s="66">
        <v>78</v>
      </c>
      <c r="BH59" s="66">
        <v>120</v>
      </c>
      <c r="BI59" s="66">
        <v>118</v>
      </c>
      <c r="BJ59" s="66">
        <v>95</v>
      </c>
      <c r="BK59" s="66">
        <v>91</v>
      </c>
      <c r="BL59" s="66">
        <v>46</v>
      </c>
      <c r="BM59" s="66">
        <v>179</v>
      </c>
      <c r="BN59" s="66">
        <v>94</v>
      </c>
      <c r="BO59" s="66">
        <v>52</v>
      </c>
      <c r="BP59" s="66">
        <v>405</v>
      </c>
      <c r="BQ59" s="66">
        <v>107</v>
      </c>
      <c r="BR59" s="66">
        <v>297</v>
      </c>
      <c r="BS59" s="66">
        <v>548</v>
      </c>
      <c r="BT59" s="66">
        <v>158</v>
      </c>
      <c r="BU59" s="66">
        <v>85</v>
      </c>
      <c r="BV59" s="66">
        <v>66</v>
      </c>
      <c r="BW59" s="66">
        <v>71</v>
      </c>
      <c r="BX59" s="66">
        <v>91</v>
      </c>
      <c r="BY59" s="66">
        <v>398</v>
      </c>
      <c r="BZ59" s="66">
        <v>196</v>
      </c>
      <c r="CA59" s="66">
        <v>204</v>
      </c>
      <c r="CB59" s="66">
        <v>375</v>
      </c>
      <c r="CC59" s="66">
        <v>161</v>
      </c>
      <c r="CD59" s="66">
        <v>189</v>
      </c>
      <c r="CE59" s="66">
        <v>96</v>
      </c>
      <c r="CF59" s="66">
        <v>96</v>
      </c>
      <c r="CG59" s="66">
        <v>113</v>
      </c>
      <c r="CH59" s="66">
        <v>166</v>
      </c>
      <c r="CI59" s="66">
        <v>161</v>
      </c>
      <c r="CJ59" s="66">
        <v>183</v>
      </c>
      <c r="CK59" s="66">
        <v>55</v>
      </c>
      <c r="CL59" s="66">
        <v>457</v>
      </c>
      <c r="CM59" s="66">
        <v>184</v>
      </c>
      <c r="CN59" s="66">
        <v>258</v>
      </c>
      <c r="CO59" s="66">
        <v>76</v>
      </c>
      <c r="CP59" s="66">
        <v>192</v>
      </c>
      <c r="CQ59" s="66">
        <v>208</v>
      </c>
      <c r="CR59" s="66">
        <v>513</v>
      </c>
      <c r="CS59" s="66">
        <v>257</v>
      </c>
      <c r="CT59" s="66">
        <v>289</v>
      </c>
      <c r="CU59" s="66">
        <v>200</v>
      </c>
      <c r="CV59" s="66">
        <v>216</v>
      </c>
      <c r="CW59" s="66">
        <v>250</v>
      </c>
      <c r="CX59" s="66">
        <v>175</v>
      </c>
      <c r="CY59" s="66">
        <v>248</v>
      </c>
      <c r="CZ59" s="66">
        <v>84</v>
      </c>
      <c r="DA59" s="66">
        <v>220</v>
      </c>
    </row>
    <row r="60" spans="1:105" ht="15" x14ac:dyDescent="0.35">
      <c r="A60" s="5" t="s">
        <v>301</v>
      </c>
      <c r="B60" s="5" t="s">
        <v>475</v>
      </c>
      <c r="C60" s="66">
        <v>29</v>
      </c>
      <c r="D60" s="66">
        <v>31</v>
      </c>
      <c r="E60" s="66">
        <v>114</v>
      </c>
      <c r="F60" s="66">
        <v>0</v>
      </c>
      <c r="G60" s="66">
        <v>13</v>
      </c>
      <c r="H60" s="66">
        <v>9</v>
      </c>
      <c r="I60" s="66">
        <v>27</v>
      </c>
      <c r="J60" s="66">
        <v>38</v>
      </c>
      <c r="K60" s="66">
        <v>47</v>
      </c>
      <c r="L60" s="66">
        <v>17</v>
      </c>
      <c r="M60" s="66">
        <v>32</v>
      </c>
      <c r="N60" s="66">
        <v>32</v>
      </c>
      <c r="O60" s="66">
        <v>10</v>
      </c>
      <c r="P60" s="66">
        <v>10</v>
      </c>
      <c r="Q60" s="66">
        <v>4</v>
      </c>
      <c r="R60" s="66">
        <v>1</v>
      </c>
      <c r="S60" s="66">
        <v>0</v>
      </c>
      <c r="T60" s="66">
        <v>0</v>
      </c>
      <c r="U60" s="66">
        <v>0</v>
      </c>
      <c r="V60" s="66">
        <v>0</v>
      </c>
      <c r="W60" s="66">
        <v>26</v>
      </c>
      <c r="X60" s="66">
        <v>32</v>
      </c>
      <c r="Y60" s="66">
        <v>16</v>
      </c>
      <c r="Z60" s="66">
        <v>21</v>
      </c>
      <c r="AA60" s="66">
        <v>5</v>
      </c>
      <c r="AB60" s="66">
        <v>18</v>
      </c>
      <c r="AC60" s="66">
        <v>26</v>
      </c>
      <c r="AD60" s="66">
        <v>32</v>
      </c>
      <c r="AE60" s="66">
        <v>14</v>
      </c>
      <c r="AF60" s="66">
        <v>13</v>
      </c>
      <c r="AG60" s="66">
        <v>18</v>
      </c>
      <c r="AH60" s="66">
        <v>0</v>
      </c>
      <c r="AI60" s="66">
        <v>16</v>
      </c>
      <c r="AJ60" s="66">
        <v>19</v>
      </c>
      <c r="AK60" s="66">
        <v>12</v>
      </c>
      <c r="AL60" s="66">
        <v>14</v>
      </c>
      <c r="AM60" s="66">
        <v>31</v>
      </c>
      <c r="AN60" s="66">
        <v>41</v>
      </c>
      <c r="AO60" s="66">
        <v>23</v>
      </c>
      <c r="AP60" s="66">
        <v>15</v>
      </c>
      <c r="AQ60" s="66">
        <v>22</v>
      </c>
      <c r="AR60" s="66">
        <v>21</v>
      </c>
      <c r="AS60" s="66">
        <v>66</v>
      </c>
      <c r="AT60" s="66">
        <v>24</v>
      </c>
      <c r="AU60" s="66">
        <v>36</v>
      </c>
      <c r="AV60" s="66">
        <v>5</v>
      </c>
      <c r="AW60" s="66">
        <v>15</v>
      </c>
      <c r="AX60" s="66">
        <v>85</v>
      </c>
      <c r="AY60" s="66">
        <v>24</v>
      </c>
      <c r="AZ60" s="66">
        <v>63</v>
      </c>
      <c r="BA60" s="66">
        <v>17</v>
      </c>
      <c r="BB60" s="66">
        <v>45</v>
      </c>
      <c r="BC60" s="66">
        <v>58</v>
      </c>
      <c r="BD60" s="66">
        <v>8</v>
      </c>
      <c r="BE60" s="66">
        <v>1</v>
      </c>
      <c r="BF60" s="66">
        <v>0</v>
      </c>
      <c r="BG60" s="66">
        <v>37</v>
      </c>
      <c r="BH60" s="66">
        <v>31</v>
      </c>
      <c r="BI60" s="66">
        <v>37</v>
      </c>
      <c r="BJ60" s="66">
        <v>39</v>
      </c>
      <c r="BK60" s="66">
        <v>35</v>
      </c>
      <c r="BL60" s="66">
        <v>16</v>
      </c>
      <c r="BM60" s="66">
        <v>10</v>
      </c>
      <c r="BN60" s="66">
        <v>13</v>
      </c>
      <c r="BO60" s="66">
        <v>14</v>
      </c>
      <c r="BP60" s="66">
        <v>19</v>
      </c>
      <c r="BQ60" s="66">
        <v>11</v>
      </c>
      <c r="BR60" s="66">
        <v>206</v>
      </c>
      <c r="BS60" s="66">
        <v>21</v>
      </c>
      <c r="BT60" s="66">
        <v>14</v>
      </c>
      <c r="BU60" s="66">
        <v>38</v>
      </c>
      <c r="BV60" s="66">
        <v>29</v>
      </c>
      <c r="BW60" s="66">
        <v>14</v>
      </c>
      <c r="BX60" s="66">
        <v>23</v>
      </c>
      <c r="BY60" s="66">
        <v>15</v>
      </c>
      <c r="BZ60" s="66">
        <v>48</v>
      </c>
      <c r="CA60" s="66">
        <v>24</v>
      </c>
      <c r="CB60" s="66">
        <v>17</v>
      </c>
      <c r="CC60" s="66">
        <v>20</v>
      </c>
      <c r="CD60" s="66">
        <v>18</v>
      </c>
      <c r="CE60" s="66">
        <v>11</v>
      </c>
      <c r="CF60" s="66">
        <v>11</v>
      </c>
      <c r="CG60" s="66">
        <v>18</v>
      </c>
      <c r="CH60" s="66">
        <v>18</v>
      </c>
      <c r="CI60" s="66">
        <v>22</v>
      </c>
      <c r="CJ60" s="66">
        <v>30</v>
      </c>
      <c r="CK60" s="66">
        <v>54</v>
      </c>
      <c r="CL60" s="66">
        <v>3</v>
      </c>
      <c r="CM60" s="66">
        <v>30</v>
      </c>
      <c r="CN60" s="66">
        <v>23</v>
      </c>
      <c r="CO60" s="66">
        <v>14</v>
      </c>
      <c r="CP60" s="66">
        <v>24</v>
      </c>
      <c r="CQ60" s="66">
        <v>31</v>
      </c>
      <c r="CR60" s="66">
        <v>67</v>
      </c>
      <c r="CS60" s="66">
        <v>91</v>
      </c>
      <c r="CT60" s="66">
        <v>14</v>
      </c>
      <c r="CU60" s="66">
        <v>21</v>
      </c>
      <c r="CV60" s="66">
        <v>21</v>
      </c>
      <c r="CW60" s="66">
        <v>22</v>
      </c>
      <c r="CX60" s="66">
        <v>119</v>
      </c>
      <c r="CY60" s="66">
        <v>78</v>
      </c>
      <c r="CZ60" s="66">
        <v>32</v>
      </c>
      <c r="DA60" s="66">
        <v>32</v>
      </c>
    </row>
    <row r="61" spans="1:105" ht="15" x14ac:dyDescent="0.35">
      <c r="A61" s="5" t="s">
        <v>302</v>
      </c>
      <c r="B61" s="5" t="s">
        <v>476</v>
      </c>
      <c r="C61" s="66">
        <v>34</v>
      </c>
      <c r="D61" s="66">
        <v>171</v>
      </c>
      <c r="E61" s="66">
        <v>122</v>
      </c>
      <c r="F61" s="66">
        <v>0</v>
      </c>
      <c r="G61" s="66">
        <v>465</v>
      </c>
      <c r="H61" s="66">
        <v>76</v>
      </c>
      <c r="I61" s="66">
        <v>299</v>
      </c>
      <c r="J61" s="66">
        <v>90</v>
      </c>
      <c r="K61" s="66">
        <v>310</v>
      </c>
      <c r="L61" s="66">
        <v>125</v>
      </c>
      <c r="M61" s="66">
        <v>79</v>
      </c>
      <c r="N61" s="66">
        <v>360</v>
      </c>
      <c r="O61" s="66">
        <v>234</v>
      </c>
      <c r="P61" s="66">
        <v>118</v>
      </c>
      <c r="Q61" s="66">
        <v>219</v>
      </c>
      <c r="R61" s="66">
        <v>129</v>
      </c>
      <c r="S61" s="66">
        <v>134</v>
      </c>
      <c r="T61" s="66">
        <v>85</v>
      </c>
      <c r="U61" s="66">
        <v>234</v>
      </c>
      <c r="V61" s="66">
        <v>181</v>
      </c>
      <c r="W61" s="66">
        <v>273</v>
      </c>
      <c r="X61" s="66">
        <v>503</v>
      </c>
      <c r="Y61" s="66">
        <v>83</v>
      </c>
      <c r="Z61" s="66">
        <v>190</v>
      </c>
      <c r="AA61" s="66">
        <v>184</v>
      </c>
      <c r="AB61" s="66">
        <v>229</v>
      </c>
      <c r="AC61" s="66">
        <v>1722</v>
      </c>
      <c r="AD61" s="66">
        <v>30</v>
      </c>
      <c r="AE61" s="66">
        <v>165</v>
      </c>
      <c r="AF61" s="66">
        <v>210</v>
      </c>
      <c r="AG61" s="66">
        <v>83</v>
      </c>
      <c r="AH61" s="66">
        <v>249</v>
      </c>
      <c r="AI61" s="66">
        <v>320</v>
      </c>
      <c r="AJ61" s="66">
        <v>224</v>
      </c>
      <c r="AK61" s="66">
        <v>416</v>
      </c>
      <c r="AL61" s="66">
        <v>499</v>
      </c>
      <c r="AM61" s="66">
        <v>552</v>
      </c>
      <c r="AN61" s="66">
        <v>151</v>
      </c>
      <c r="AO61" s="66">
        <v>76</v>
      </c>
      <c r="AP61" s="66">
        <v>364</v>
      </c>
      <c r="AQ61" s="66">
        <v>99</v>
      </c>
      <c r="AR61" s="66">
        <v>224</v>
      </c>
      <c r="AS61" s="66">
        <v>272</v>
      </c>
      <c r="AT61" s="66">
        <v>188</v>
      </c>
      <c r="AU61" s="66">
        <v>169</v>
      </c>
      <c r="AV61" s="66">
        <v>33</v>
      </c>
      <c r="AW61" s="66">
        <v>169</v>
      </c>
      <c r="AX61" s="66">
        <v>106</v>
      </c>
      <c r="AY61" s="66">
        <v>83</v>
      </c>
      <c r="AZ61" s="66">
        <v>145</v>
      </c>
      <c r="BA61" s="66">
        <v>194</v>
      </c>
      <c r="BB61" s="66">
        <v>236</v>
      </c>
      <c r="BC61" s="66">
        <v>89</v>
      </c>
      <c r="BD61" s="66">
        <v>217</v>
      </c>
      <c r="BE61" s="66">
        <v>23</v>
      </c>
      <c r="BF61" s="66">
        <v>0</v>
      </c>
      <c r="BG61" s="66">
        <v>119</v>
      </c>
      <c r="BH61" s="66">
        <v>245</v>
      </c>
      <c r="BI61" s="66">
        <v>96</v>
      </c>
      <c r="BJ61" s="66">
        <v>137</v>
      </c>
      <c r="BK61" s="66">
        <v>204</v>
      </c>
      <c r="BL61" s="66">
        <v>69</v>
      </c>
      <c r="BM61" s="66">
        <v>129</v>
      </c>
      <c r="BN61" s="66">
        <v>114</v>
      </c>
      <c r="BO61" s="66">
        <v>77</v>
      </c>
      <c r="BP61" s="66">
        <v>160</v>
      </c>
      <c r="BQ61" s="66">
        <v>94</v>
      </c>
      <c r="BR61" s="66">
        <v>353</v>
      </c>
      <c r="BS61" s="66">
        <v>423</v>
      </c>
      <c r="BT61" s="66">
        <v>216</v>
      </c>
      <c r="BU61" s="66">
        <v>185</v>
      </c>
      <c r="BV61" s="66">
        <v>141</v>
      </c>
      <c r="BW61" s="66">
        <v>112</v>
      </c>
      <c r="BX61" s="66">
        <v>240</v>
      </c>
      <c r="BY61" s="66">
        <v>319</v>
      </c>
      <c r="BZ61" s="66">
        <v>276</v>
      </c>
      <c r="CA61" s="66">
        <v>168</v>
      </c>
      <c r="CB61" s="66">
        <v>208</v>
      </c>
      <c r="CC61" s="66">
        <v>302</v>
      </c>
      <c r="CD61" s="66">
        <v>125</v>
      </c>
      <c r="CE61" s="66">
        <v>324</v>
      </c>
      <c r="CF61" s="66">
        <v>378</v>
      </c>
      <c r="CG61" s="66">
        <v>589</v>
      </c>
      <c r="CH61" s="66">
        <v>210</v>
      </c>
      <c r="CI61" s="66">
        <v>510</v>
      </c>
      <c r="CJ61" s="66">
        <v>245</v>
      </c>
      <c r="CK61" s="66">
        <v>411</v>
      </c>
      <c r="CL61" s="66">
        <v>414</v>
      </c>
      <c r="CM61" s="66">
        <v>237</v>
      </c>
      <c r="CN61" s="66">
        <v>343</v>
      </c>
      <c r="CO61" s="66">
        <v>190</v>
      </c>
      <c r="CP61" s="66">
        <v>238</v>
      </c>
      <c r="CQ61" s="66">
        <v>239</v>
      </c>
      <c r="CR61" s="66">
        <v>241</v>
      </c>
      <c r="CS61" s="66">
        <v>213</v>
      </c>
      <c r="CT61" s="66">
        <v>166</v>
      </c>
      <c r="CU61" s="66">
        <v>141</v>
      </c>
      <c r="CV61" s="66">
        <v>238</v>
      </c>
      <c r="CW61" s="66">
        <v>163</v>
      </c>
      <c r="CX61" s="66">
        <v>100</v>
      </c>
      <c r="CY61" s="66">
        <v>161</v>
      </c>
      <c r="CZ61" s="66">
        <v>190</v>
      </c>
      <c r="DA61" s="66">
        <v>383</v>
      </c>
    </row>
    <row r="62" spans="1:105" ht="15" x14ac:dyDescent="0.35">
      <c r="A62" s="5" t="s">
        <v>303</v>
      </c>
      <c r="B62" s="5" t="s">
        <v>477</v>
      </c>
      <c r="C62" s="66">
        <v>192</v>
      </c>
      <c r="D62" s="66">
        <v>413</v>
      </c>
      <c r="E62" s="66">
        <v>60</v>
      </c>
      <c r="F62" s="66">
        <v>0</v>
      </c>
      <c r="G62" s="66">
        <v>292</v>
      </c>
      <c r="H62" s="66">
        <v>307</v>
      </c>
      <c r="I62" s="66">
        <v>181</v>
      </c>
      <c r="J62" s="66">
        <v>194</v>
      </c>
      <c r="K62" s="66">
        <v>143</v>
      </c>
      <c r="L62" s="66">
        <v>111</v>
      </c>
      <c r="M62" s="66">
        <v>82</v>
      </c>
      <c r="N62" s="66">
        <v>27</v>
      </c>
      <c r="O62" s="66">
        <v>14</v>
      </c>
      <c r="P62" s="66">
        <v>42</v>
      </c>
      <c r="Q62" s="66">
        <v>42</v>
      </c>
      <c r="R62" s="66">
        <v>28</v>
      </c>
      <c r="S62" s="66">
        <v>2</v>
      </c>
      <c r="T62" s="66">
        <v>1</v>
      </c>
      <c r="U62" s="66">
        <v>9</v>
      </c>
      <c r="V62" s="66">
        <v>29</v>
      </c>
      <c r="W62" s="66">
        <v>6</v>
      </c>
      <c r="X62" s="66">
        <v>0</v>
      </c>
      <c r="Y62" s="66">
        <v>49</v>
      </c>
      <c r="Z62" s="66">
        <v>5</v>
      </c>
      <c r="AA62" s="66">
        <v>0</v>
      </c>
      <c r="AB62" s="66">
        <v>2</v>
      </c>
      <c r="AC62" s="66">
        <v>1</v>
      </c>
      <c r="AD62" s="66">
        <v>6</v>
      </c>
      <c r="AE62" s="66">
        <v>4</v>
      </c>
      <c r="AF62" s="66">
        <v>4</v>
      </c>
      <c r="AG62" s="66">
        <v>3</v>
      </c>
      <c r="AH62" s="66">
        <v>5</v>
      </c>
      <c r="AI62" s="66">
        <v>33</v>
      </c>
      <c r="AJ62" s="66">
        <v>129</v>
      </c>
      <c r="AK62" s="66">
        <v>17</v>
      </c>
      <c r="AL62" s="66">
        <v>14</v>
      </c>
      <c r="AM62" s="66">
        <v>63</v>
      </c>
      <c r="AN62" s="66">
        <v>8</v>
      </c>
      <c r="AO62" s="66">
        <v>5</v>
      </c>
      <c r="AP62" s="66">
        <v>31</v>
      </c>
      <c r="AQ62" s="66">
        <v>118</v>
      </c>
      <c r="AR62" s="66">
        <v>137</v>
      </c>
      <c r="AS62" s="66">
        <v>169</v>
      </c>
      <c r="AT62" s="66">
        <v>194</v>
      </c>
      <c r="AU62" s="66">
        <v>143</v>
      </c>
      <c r="AV62" s="66">
        <v>127</v>
      </c>
      <c r="AW62" s="66">
        <v>232</v>
      </c>
      <c r="AX62" s="66">
        <v>236</v>
      </c>
      <c r="AY62" s="66">
        <v>698</v>
      </c>
      <c r="AZ62" s="66">
        <v>157</v>
      </c>
      <c r="BA62" s="66">
        <v>332</v>
      </c>
      <c r="BB62" s="66">
        <v>1135</v>
      </c>
      <c r="BC62" s="66">
        <v>474</v>
      </c>
      <c r="BD62" s="66">
        <v>316</v>
      </c>
      <c r="BE62" s="66">
        <v>219</v>
      </c>
      <c r="BF62" s="66">
        <v>0</v>
      </c>
      <c r="BG62" s="66">
        <v>27</v>
      </c>
      <c r="BH62" s="66">
        <v>0</v>
      </c>
      <c r="BI62" s="66">
        <v>2</v>
      </c>
      <c r="BJ62" s="66">
        <v>2</v>
      </c>
      <c r="BK62" s="66">
        <v>10</v>
      </c>
      <c r="BL62" s="66">
        <v>7</v>
      </c>
      <c r="BM62" s="66">
        <v>6</v>
      </c>
      <c r="BN62" s="66">
        <v>5</v>
      </c>
      <c r="BO62" s="66">
        <v>10</v>
      </c>
      <c r="BP62" s="66">
        <v>6</v>
      </c>
      <c r="BQ62" s="66">
        <v>2</v>
      </c>
      <c r="BR62" s="66">
        <v>0</v>
      </c>
      <c r="BS62" s="66">
        <v>0</v>
      </c>
      <c r="BT62" s="66">
        <v>1</v>
      </c>
      <c r="BU62" s="66">
        <v>3</v>
      </c>
      <c r="BV62" s="66">
        <v>0</v>
      </c>
      <c r="BW62" s="66">
        <v>0</v>
      </c>
      <c r="BX62" s="66">
        <v>3</v>
      </c>
      <c r="BY62" s="66">
        <v>3</v>
      </c>
      <c r="BZ62" s="66">
        <v>1</v>
      </c>
      <c r="CA62" s="66">
        <v>1</v>
      </c>
      <c r="CB62" s="66">
        <v>0</v>
      </c>
      <c r="CC62" s="66">
        <v>4</v>
      </c>
      <c r="CD62" s="66">
        <v>1</v>
      </c>
      <c r="CE62" s="66">
        <v>3</v>
      </c>
      <c r="CF62" s="66">
        <v>0</v>
      </c>
      <c r="CG62" s="66">
        <v>4</v>
      </c>
      <c r="CH62" s="66">
        <v>1</v>
      </c>
      <c r="CI62" s="66">
        <v>3</v>
      </c>
      <c r="CJ62" s="66">
        <v>2</v>
      </c>
      <c r="CK62" s="66">
        <v>3</v>
      </c>
      <c r="CL62" s="66">
        <v>1</v>
      </c>
      <c r="CM62" s="66">
        <v>3</v>
      </c>
      <c r="CN62" s="66">
        <v>20</v>
      </c>
      <c r="CO62" s="66">
        <v>63</v>
      </c>
      <c r="CP62" s="66">
        <v>74</v>
      </c>
      <c r="CQ62" s="66">
        <v>149</v>
      </c>
      <c r="CR62" s="66">
        <v>104</v>
      </c>
      <c r="CS62" s="66">
        <v>89</v>
      </c>
      <c r="CT62" s="66">
        <v>54</v>
      </c>
      <c r="CU62" s="66">
        <v>323</v>
      </c>
      <c r="CV62" s="66">
        <v>129</v>
      </c>
      <c r="CW62" s="66">
        <v>57</v>
      </c>
      <c r="CX62" s="66">
        <v>260</v>
      </c>
      <c r="CY62" s="66">
        <v>181</v>
      </c>
      <c r="CZ62" s="66">
        <v>673</v>
      </c>
      <c r="DA62" s="66">
        <v>70</v>
      </c>
    </row>
    <row r="63" spans="1:105" ht="15" x14ac:dyDescent="0.35">
      <c r="A63" s="5" t="s">
        <v>304</v>
      </c>
      <c r="B63" s="5" t="s">
        <v>478</v>
      </c>
      <c r="C63" s="66">
        <v>1073</v>
      </c>
      <c r="D63" s="66">
        <v>1591</v>
      </c>
      <c r="E63" s="66">
        <v>764</v>
      </c>
      <c r="F63" s="66">
        <v>0</v>
      </c>
      <c r="G63" s="66">
        <v>771</v>
      </c>
      <c r="H63" s="66">
        <v>505</v>
      </c>
      <c r="I63" s="66">
        <v>1203</v>
      </c>
      <c r="J63" s="66">
        <v>1445</v>
      </c>
      <c r="K63" s="66">
        <v>972</v>
      </c>
      <c r="L63" s="66">
        <v>905</v>
      </c>
      <c r="M63" s="66">
        <v>881</v>
      </c>
      <c r="N63" s="66">
        <v>1507</v>
      </c>
      <c r="O63" s="66">
        <v>1314</v>
      </c>
      <c r="P63" s="66">
        <v>569</v>
      </c>
      <c r="Q63" s="66">
        <v>1301</v>
      </c>
      <c r="R63" s="66">
        <v>880</v>
      </c>
      <c r="S63" s="66">
        <v>559</v>
      </c>
      <c r="T63" s="66">
        <v>1724</v>
      </c>
      <c r="U63" s="66">
        <v>1300</v>
      </c>
      <c r="V63" s="66">
        <v>791</v>
      </c>
      <c r="W63" s="66">
        <v>1472</v>
      </c>
      <c r="X63" s="66">
        <v>838</v>
      </c>
      <c r="Y63" s="66">
        <v>911</v>
      </c>
      <c r="Z63" s="66">
        <v>938</v>
      </c>
      <c r="AA63" s="66">
        <v>1495</v>
      </c>
      <c r="AB63" s="66">
        <v>812</v>
      </c>
      <c r="AC63" s="66">
        <v>1456</v>
      </c>
      <c r="AD63" s="66">
        <v>717</v>
      </c>
      <c r="AE63" s="66">
        <v>483</v>
      </c>
      <c r="AF63" s="66">
        <v>1497</v>
      </c>
      <c r="AG63" s="66">
        <v>1137</v>
      </c>
      <c r="AH63" s="66">
        <v>847</v>
      </c>
      <c r="AI63" s="66">
        <v>1481</v>
      </c>
      <c r="AJ63" s="66">
        <v>483</v>
      </c>
      <c r="AK63" s="66">
        <v>329</v>
      </c>
      <c r="AL63" s="66">
        <v>1899</v>
      </c>
      <c r="AM63" s="66">
        <v>1857</v>
      </c>
      <c r="AN63" s="66">
        <v>397</v>
      </c>
      <c r="AO63" s="66">
        <v>1097</v>
      </c>
      <c r="AP63" s="66">
        <v>687</v>
      </c>
      <c r="AQ63" s="66">
        <v>1006</v>
      </c>
      <c r="AR63" s="66">
        <v>1040</v>
      </c>
      <c r="AS63" s="66">
        <v>1296</v>
      </c>
      <c r="AT63" s="66">
        <v>2707</v>
      </c>
      <c r="AU63" s="66">
        <v>1561</v>
      </c>
      <c r="AV63" s="66">
        <v>1358</v>
      </c>
      <c r="AW63" s="66">
        <v>613</v>
      </c>
      <c r="AX63" s="66">
        <v>1071</v>
      </c>
      <c r="AY63" s="66">
        <v>890</v>
      </c>
      <c r="AZ63" s="66">
        <v>1686</v>
      </c>
      <c r="BA63" s="66">
        <v>1307</v>
      </c>
      <c r="BB63" s="66">
        <v>1806</v>
      </c>
      <c r="BC63" s="66">
        <v>1074</v>
      </c>
      <c r="BD63" s="66">
        <v>664</v>
      </c>
      <c r="BE63" s="66">
        <v>1363</v>
      </c>
      <c r="BF63" s="66">
        <v>0</v>
      </c>
      <c r="BG63" s="66">
        <v>324</v>
      </c>
      <c r="BH63" s="66">
        <v>618</v>
      </c>
      <c r="BI63" s="66">
        <v>1753</v>
      </c>
      <c r="BJ63" s="66">
        <v>555</v>
      </c>
      <c r="BK63" s="66">
        <v>556</v>
      </c>
      <c r="BL63" s="66">
        <v>347</v>
      </c>
      <c r="BM63" s="66">
        <v>526</v>
      </c>
      <c r="BN63" s="66">
        <v>718</v>
      </c>
      <c r="BO63" s="66">
        <v>689</v>
      </c>
      <c r="BP63" s="66">
        <v>813</v>
      </c>
      <c r="BQ63" s="66">
        <v>1303</v>
      </c>
      <c r="BR63" s="66">
        <v>527</v>
      </c>
      <c r="BS63" s="66">
        <v>785</v>
      </c>
      <c r="BT63" s="66">
        <v>643</v>
      </c>
      <c r="BU63" s="66">
        <v>598</v>
      </c>
      <c r="BV63" s="66">
        <v>1421</v>
      </c>
      <c r="BW63" s="66">
        <v>291</v>
      </c>
      <c r="BX63" s="66">
        <v>787</v>
      </c>
      <c r="BY63" s="66">
        <v>1647</v>
      </c>
      <c r="BZ63" s="66">
        <v>598</v>
      </c>
      <c r="CA63" s="66">
        <v>360</v>
      </c>
      <c r="CB63" s="66">
        <v>229</v>
      </c>
      <c r="CC63" s="66">
        <v>619</v>
      </c>
      <c r="CD63" s="66">
        <v>856</v>
      </c>
      <c r="CE63" s="66">
        <v>109</v>
      </c>
      <c r="CF63" s="66">
        <v>123</v>
      </c>
      <c r="CG63" s="66">
        <v>1109</v>
      </c>
      <c r="CH63" s="66">
        <v>229</v>
      </c>
      <c r="CI63" s="66">
        <v>335</v>
      </c>
      <c r="CJ63" s="66">
        <v>1083</v>
      </c>
      <c r="CK63" s="66">
        <v>445</v>
      </c>
      <c r="CL63" s="66">
        <v>335</v>
      </c>
      <c r="CM63" s="66">
        <v>1650</v>
      </c>
      <c r="CN63" s="66">
        <v>507</v>
      </c>
      <c r="CO63" s="66">
        <v>458</v>
      </c>
      <c r="CP63" s="66">
        <v>712</v>
      </c>
      <c r="CQ63" s="66">
        <v>938</v>
      </c>
      <c r="CR63" s="66">
        <v>974</v>
      </c>
      <c r="CS63" s="66">
        <v>282</v>
      </c>
      <c r="CT63" s="66">
        <v>469</v>
      </c>
      <c r="CU63" s="66">
        <v>451</v>
      </c>
      <c r="CV63" s="66">
        <v>503</v>
      </c>
      <c r="CW63" s="66">
        <v>521</v>
      </c>
      <c r="CX63" s="66">
        <v>1041</v>
      </c>
      <c r="CY63" s="66">
        <v>362</v>
      </c>
      <c r="CZ63" s="66">
        <v>588</v>
      </c>
      <c r="DA63" s="66">
        <v>341</v>
      </c>
    </row>
    <row r="64" spans="1:105" ht="15" x14ac:dyDescent="0.35">
      <c r="A64" s="5" t="s">
        <v>305</v>
      </c>
      <c r="B64" s="5" t="s">
        <v>479</v>
      </c>
      <c r="C64" s="66">
        <v>370</v>
      </c>
      <c r="D64" s="66">
        <v>112</v>
      </c>
      <c r="E64" s="66">
        <v>21</v>
      </c>
      <c r="F64" s="66">
        <v>0</v>
      </c>
      <c r="G64" s="66">
        <v>489</v>
      </c>
      <c r="H64" s="66">
        <v>512</v>
      </c>
      <c r="I64" s="66">
        <v>145</v>
      </c>
      <c r="J64" s="66">
        <v>144</v>
      </c>
      <c r="K64" s="66">
        <v>93</v>
      </c>
      <c r="L64" s="66">
        <v>127</v>
      </c>
      <c r="M64" s="66">
        <v>368</v>
      </c>
      <c r="N64" s="66">
        <v>157</v>
      </c>
      <c r="O64" s="66">
        <v>159</v>
      </c>
      <c r="P64" s="66">
        <v>145</v>
      </c>
      <c r="Q64" s="66">
        <v>146</v>
      </c>
      <c r="R64" s="66">
        <v>654</v>
      </c>
      <c r="S64" s="66">
        <v>185</v>
      </c>
      <c r="T64" s="66">
        <v>167</v>
      </c>
      <c r="U64" s="66">
        <v>143</v>
      </c>
      <c r="V64" s="66">
        <v>345</v>
      </c>
      <c r="W64" s="66">
        <v>397</v>
      </c>
      <c r="X64" s="66">
        <v>92</v>
      </c>
      <c r="Y64" s="66">
        <v>270</v>
      </c>
      <c r="Z64" s="66">
        <v>20</v>
      </c>
      <c r="AA64" s="66">
        <v>0</v>
      </c>
      <c r="AB64" s="66">
        <v>0</v>
      </c>
      <c r="AC64" s="66">
        <v>0</v>
      </c>
      <c r="AD64" s="66">
        <v>15</v>
      </c>
      <c r="AE64" s="66">
        <v>515</v>
      </c>
      <c r="AF64" s="66">
        <v>558</v>
      </c>
      <c r="AG64" s="66">
        <v>371</v>
      </c>
      <c r="AH64" s="66">
        <v>397</v>
      </c>
      <c r="AI64" s="66">
        <v>620</v>
      </c>
      <c r="AJ64" s="66">
        <v>104</v>
      </c>
      <c r="AK64" s="66">
        <v>209</v>
      </c>
      <c r="AL64" s="66">
        <v>438</v>
      </c>
      <c r="AM64" s="66">
        <v>369</v>
      </c>
      <c r="AN64" s="66">
        <v>251</v>
      </c>
      <c r="AO64" s="66">
        <v>740</v>
      </c>
      <c r="AP64" s="66">
        <v>342</v>
      </c>
      <c r="AQ64" s="66">
        <v>111</v>
      </c>
      <c r="AR64" s="66">
        <v>390</v>
      </c>
      <c r="AS64" s="66">
        <v>444</v>
      </c>
      <c r="AT64" s="66">
        <v>434</v>
      </c>
      <c r="AU64" s="66">
        <v>429</v>
      </c>
      <c r="AV64" s="66">
        <v>264</v>
      </c>
      <c r="AW64" s="66">
        <v>121</v>
      </c>
      <c r="AX64" s="66">
        <v>416</v>
      </c>
      <c r="AY64" s="66">
        <v>463</v>
      </c>
      <c r="AZ64" s="66">
        <v>243</v>
      </c>
      <c r="BA64" s="66">
        <v>93</v>
      </c>
      <c r="BB64" s="66">
        <v>284</v>
      </c>
      <c r="BC64" s="66">
        <v>371</v>
      </c>
      <c r="BD64" s="66">
        <v>133</v>
      </c>
      <c r="BE64" s="66">
        <v>19</v>
      </c>
      <c r="BF64" s="66">
        <v>0</v>
      </c>
      <c r="BG64" s="66">
        <v>150</v>
      </c>
      <c r="BH64" s="66">
        <v>59</v>
      </c>
      <c r="BI64" s="66">
        <v>314</v>
      </c>
      <c r="BJ64" s="66">
        <v>105</v>
      </c>
      <c r="BK64" s="66">
        <v>182</v>
      </c>
      <c r="BL64" s="66">
        <v>89</v>
      </c>
      <c r="BM64" s="66">
        <v>337</v>
      </c>
      <c r="BN64" s="66">
        <v>95</v>
      </c>
      <c r="BO64" s="66">
        <v>53</v>
      </c>
      <c r="BP64" s="66">
        <v>189</v>
      </c>
      <c r="BQ64" s="66">
        <v>735</v>
      </c>
      <c r="BR64" s="66">
        <v>294</v>
      </c>
      <c r="BS64" s="66">
        <v>386</v>
      </c>
      <c r="BT64" s="66">
        <v>80</v>
      </c>
      <c r="BU64" s="66">
        <v>78</v>
      </c>
      <c r="BV64" s="66">
        <v>270</v>
      </c>
      <c r="BW64" s="66">
        <v>205</v>
      </c>
      <c r="BX64" s="66">
        <v>138</v>
      </c>
      <c r="BY64" s="66">
        <v>259</v>
      </c>
      <c r="BZ64" s="66">
        <v>355</v>
      </c>
      <c r="CA64" s="66">
        <v>183</v>
      </c>
      <c r="CB64" s="66">
        <v>133</v>
      </c>
      <c r="CC64" s="66">
        <v>174</v>
      </c>
      <c r="CD64" s="66">
        <v>77</v>
      </c>
      <c r="CE64" s="66">
        <v>383</v>
      </c>
      <c r="CF64" s="66">
        <v>52</v>
      </c>
      <c r="CG64" s="66">
        <v>83</v>
      </c>
      <c r="CH64" s="66">
        <v>30</v>
      </c>
      <c r="CI64" s="66">
        <v>161</v>
      </c>
      <c r="CJ64" s="66">
        <v>245</v>
      </c>
      <c r="CK64" s="66">
        <v>171</v>
      </c>
      <c r="CL64" s="66">
        <v>264</v>
      </c>
      <c r="CM64" s="66">
        <v>288</v>
      </c>
      <c r="CN64" s="66">
        <v>345</v>
      </c>
      <c r="CO64" s="66">
        <v>185</v>
      </c>
      <c r="CP64" s="66">
        <v>126</v>
      </c>
      <c r="CQ64" s="66">
        <v>202</v>
      </c>
      <c r="CR64" s="66">
        <v>221</v>
      </c>
      <c r="CS64" s="66">
        <v>349</v>
      </c>
      <c r="CT64" s="66">
        <v>85</v>
      </c>
      <c r="CU64" s="66">
        <v>79</v>
      </c>
      <c r="CV64" s="66">
        <v>173</v>
      </c>
      <c r="CW64" s="66">
        <v>85</v>
      </c>
      <c r="CX64" s="66">
        <v>207</v>
      </c>
      <c r="CY64" s="66">
        <v>213</v>
      </c>
      <c r="CZ64" s="66">
        <v>99</v>
      </c>
      <c r="DA64" s="66">
        <v>81</v>
      </c>
    </row>
    <row r="65" spans="1:105" ht="15" x14ac:dyDescent="0.35">
      <c r="A65" s="5" t="s">
        <v>306</v>
      </c>
      <c r="B65" s="5" t="s">
        <v>480</v>
      </c>
      <c r="C65" s="66">
        <v>261</v>
      </c>
      <c r="D65" s="66">
        <v>177</v>
      </c>
      <c r="E65" s="66">
        <v>29</v>
      </c>
      <c r="F65" s="66">
        <v>0</v>
      </c>
      <c r="G65" s="66">
        <v>89</v>
      </c>
      <c r="H65" s="66">
        <v>251</v>
      </c>
      <c r="I65" s="66">
        <v>150</v>
      </c>
      <c r="J65" s="66">
        <v>172</v>
      </c>
      <c r="K65" s="66">
        <v>111</v>
      </c>
      <c r="L65" s="66">
        <v>72</v>
      </c>
      <c r="M65" s="66">
        <v>186</v>
      </c>
      <c r="N65" s="66">
        <v>226</v>
      </c>
      <c r="O65" s="66">
        <v>241</v>
      </c>
      <c r="P65" s="66">
        <v>110</v>
      </c>
      <c r="Q65" s="66">
        <v>0</v>
      </c>
      <c r="R65" s="66">
        <v>0</v>
      </c>
      <c r="S65" s="66">
        <v>0</v>
      </c>
      <c r="T65" s="66">
        <v>25</v>
      </c>
      <c r="U65" s="66">
        <v>426</v>
      </c>
      <c r="V65" s="66">
        <v>298</v>
      </c>
      <c r="W65" s="66">
        <v>54</v>
      </c>
      <c r="X65" s="66">
        <v>141</v>
      </c>
      <c r="Y65" s="66">
        <v>183</v>
      </c>
      <c r="Z65" s="66">
        <v>146</v>
      </c>
      <c r="AA65" s="66">
        <v>97</v>
      </c>
      <c r="AB65" s="66">
        <v>90</v>
      </c>
      <c r="AC65" s="66">
        <v>260</v>
      </c>
      <c r="AD65" s="66">
        <v>131</v>
      </c>
      <c r="AE65" s="66">
        <v>112</v>
      </c>
      <c r="AF65" s="66">
        <v>126</v>
      </c>
      <c r="AG65" s="66">
        <v>270</v>
      </c>
      <c r="AH65" s="66">
        <v>151</v>
      </c>
      <c r="AI65" s="66">
        <v>102</v>
      </c>
      <c r="AJ65" s="66">
        <v>127</v>
      </c>
      <c r="AK65" s="66">
        <v>123</v>
      </c>
      <c r="AL65" s="66">
        <v>148</v>
      </c>
      <c r="AM65" s="66">
        <v>302</v>
      </c>
      <c r="AN65" s="66">
        <v>166</v>
      </c>
      <c r="AO65" s="66">
        <v>156</v>
      </c>
      <c r="AP65" s="66">
        <v>178</v>
      </c>
      <c r="AQ65" s="66">
        <v>163</v>
      </c>
      <c r="AR65" s="66">
        <v>301</v>
      </c>
      <c r="AS65" s="66">
        <v>198</v>
      </c>
      <c r="AT65" s="66">
        <v>198</v>
      </c>
      <c r="AU65" s="66">
        <v>167</v>
      </c>
      <c r="AV65" s="66">
        <v>201</v>
      </c>
      <c r="AW65" s="66">
        <v>150</v>
      </c>
      <c r="AX65" s="66">
        <v>145</v>
      </c>
      <c r="AY65" s="66">
        <v>161</v>
      </c>
      <c r="AZ65" s="66">
        <v>252</v>
      </c>
      <c r="BA65" s="66">
        <v>367</v>
      </c>
      <c r="BB65" s="66">
        <v>264</v>
      </c>
      <c r="BC65" s="66">
        <v>214</v>
      </c>
      <c r="BD65" s="66">
        <v>297</v>
      </c>
      <c r="BE65" s="66">
        <v>73</v>
      </c>
      <c r="BF65" s="66">
        <v>0</v>
      </c>
      <c r="BG65" s="66">
        <v>138</v>
      </c>
      <c r="BH65" s="66">
        <v>105</v>
      </c>
      <c r="BI65" s="66">
        <v>64</v>
      </c>
      <c r="BJ65" s="66">
        <v>89</v>
      </c>
      <c r="BK65" s="66">
        <v>160</v>
      </c>
      <c r="BL65" s="66">
        <v>87</v>
      </c>
      <c r="BM65" s="66">
        <v>200</v>
      </c>
      <c r="BN65" s="66">
        <v>114</v>
      </c>
      <c r="BO65" s="66">
        <v>91</v>
      </c>
      <c r="BP65" s="66">
        <v>86</v>
      </c>
      <c r="BQ65" s="66">
        <v>160</v>
      </c>
      <c r="BR65" s="66">
        <v>165</v>
      </c>
      <c r="BS65" s="66">
        <v>179</v>
      </c>
      <c r="BT65" s="66">
        <v>116</v>
      </c>
      <c r="BU65" s="66">
        <v>38</v>
      </c>
      <c r="BV65" s="66">
        <v>7</v>
      </c>
      <c r="BW65" s="66">
        <v>0</v>
      </c>
      <c r="BX65" s="66">
        <v>1</v>
      </c>
      <c r="BY65" s="66">
        <v>0</v>
      </c>
      <c r="BZ65" s="66">
        <v>0</v>
      </c>
      <c r="CA65" s="66">
        <v>0</v>
      </c>
      <c r="CB65" s="66">
        <v>33</v>
      </c>
      <c r="CC65" s="66">
        <v>132</v>
      </c>
      <c r="CD65" s="66">
        <v>61</v>
      </c>
      <c r="CE65" s="66">
        <v>75</v>
      </c>
      <c r="CF65" s="66">
        <v>160</v>
      </c>
      <c r="CG65" s="66">
        <v>137</v>
      </c>
      <c r="CH65" s="66">
        <v>145</v>
      </c>
      <c r="CI65" s="66">
        <v>156</v>
      </c>
      <c r="CJ65" s="66">
        <v>127</v>
      </c>
      <c r="CK65" s="66">
        <v>82</v>
      </c>
      <c r="CL65" s="66">
        <v>102</v>
      </c>
      <c r="CM65" s="66">
        <v>79</v>
      </c>
      <c r="CN65" s="66">
        <v>259</v>
      </c>
      <c r="CO65" s="66">
        <v>156</v>
      </c>
      <c r="CP65" s="66">
        <v>165</v>
      </c>
      <c r="CQ65" s="66">
        <v>211</v>
      </c>
      <c r="CR65" s="66">
        <v>130</v>
      </c>
      <c r="CS65" s="66">
        <v>190</v>
      </c>
      <c r="CT65" s="66">
        <v>67</v>
      </c>
      <c r="CU65" s="66">
        <v>193</v>
      </c>
      <c r="CV65" s="66">
        <v>82</v>
      </c>
      <c r="CW65" s="66">
        <v>137</v>
      </c>
      <c r="CX65" s="66">
        <v>222</v>
      </c>
      <c r="CY65" s="66">
        <v>141</v>
      </c>
      <c r="CZ65" s="66">
        <v>246</v>
      </c>
      <c r="DA65" s="66">
        <v>208</v>
      </c>
    </row>
    <row r="66" spans="1:105" ht="15" x14ac:dyDescent="0.35">
      <c r="A66" s="5" t="s">
        <v>307</v>
      </c>
      <c r="B66" s="5" t="s">
        <v>481</v>
      </c>
      <c r="C66" s="66">
        <v>254</v>
      </c>
      <c r="D66" s="66">
        <v>246</v>
      </c>
      <c r="E66" s="66">
        <v>29</v>
      </c>
      <c r="F66" s="66">
        <v>0</v>
      </c>
      <c r="G66" s="66">
        <v>58</v>
      </c>
      <c r="H66" s="66">
        <v>109</v>
      </c>
      <c r="I66" s="66">
        <v>241</v>
      </c>
      <c r="J66" s="66">
        <v>465</v>
      </c>
      <c r="K66" s="66">
        <v>198</v>
      </c>
      <c r="L66" s="66">
        <v>144</v>
      </c>
      <c r="M66" s="66">
        <v>296</v>
      </c>
      <c r="N66" s="66">
        <v>173</v>
      </c>
      <c r="O66" s="66">
        <v>153</v>
      </c>
      <c r="P66" s="66">
        <v>291</v>
      </c>
      <c r="Q66" s="66">
        <v>376</v>
      </c>
      <c r="R66" s="66">
        <v>129</v>
      </c>
      <c r="S66" s="66">
        <v>436</v>
      </c>
      <c r="T66" s="66">
        <v>207</v>
      </c>
      <c r="U66" s="66">
        <v>88</v>
      </c>
      <c r="V66" s="66">
        <v>191</v>
      </c>
      <c r="W66" s="66">
        <v>463</v>
      </c>
      <c r="X66" s="66">
        <v>486</v>
      </c>
      <c r="Y66" s="66">
        <v>119</v>
      </c>
      <c r="Z66" s="66">
        <v>226</v>
      </c>
      <c r="AA66" s="66">
        <v>271</v>
      </c>
      <c r="AB66" s="66">
        <v>338</v>
      </c>
      <c r="AC66" s="66">
        <v>334</v>
      </c>
      <c r="AD66" s="66">
        <v>254</v>
      </c>
      <c r="AE66" s="66">
        <v>186</v>
      </c>
      <c r="AF66" s="66">
        <v>671</v>
      </c>
      <c r="AG66" s="66">
        <v>242</v>
      </c>
      <c r="AH66" s="66">
        <v>338</v>
      </c>
      <c r="AI66" s="66">
        <v>333</v>
      </c>
      <c r="AJ66" s="66">
        <v>124</v>
      </c>
      <c r="AK66" s="66">
        <v>268</v>
      </c>
      <c r="AL66" s="66">
        <v>469</v>
      </c>
      <c r="AM66" s="66">
        <v>256</v>
      </c>
      <c r="AN66" s="66">
        <v>87</v>
      </c>
      <c r="AO66" s="66">
        <v>542</v>
      </c>
      <c r="AP66" s="66">
        <v>202</v>
      </c>
      <c r="AQ66" s="66">
        <v>481</v>
      </c>
      <c r="AR66" s="66">
        <v>239</v>
      </c>
      <c r="AS66" s="66">
        <v>504</v>
      </c>
      <c r="AT66" s="66">
        <v>236</v>
      </c>
      <c r="AU66" s="66">
        <v>501</v>
      </c>
      <c r="AV66" s="66">
        <v>141</v>
      </c>
      <c r="AW66" s="66">
        <v>177</v>
      </c>
      <c r="AX66" s="66">
        <v>246</v>
      </c>
      <c r="AY66" s="66">
        <v>310</v>
      </c>
      <c r="AZ66" s="66">
        <v>485</v>
      </c>
      <c r="BA66" s="66">
        <v>361</v>
      </c>
      <c r="BB66" s="66">
        <v>195</v>
      </c>
      <c r="BC66" s="66">
        <v>284</v>
      </c>
      <c r="BD66" s="66">
        <v>210</v>
      </c>
      <c r="BE66" s="66">
        <v>171</v>
      </c>
      <c r="BF66" s="66">
        <v>0</v>
      </c>
      <c r="BG66" s="66">
        <v>277</v>
      </c>
      <c r="BH66" s="66">
        <v>385</v>
      </c>
      <c r="BI66" s="66">
        <v>126</v>
      </c>
      <c r="BJ66" s="66">
        <v>142</v>
      </c>
      <c r="BK66" s="66">
        <v>311</v>
      </c>
      <c r="BL66" s="66">
        <v>217</v>
      </c>
      <c r="BM66" s="66">
        <v>197</v>
      </c>
      <c r="BN66" s="66">
        <v>426</v>
      </c>
      <c r="BO66" s="66">
        <v>222</v>
      </c>
      <c r="BP66" s="66">
        <v>326</v>
      </c>
      <c r="BQ66" s="66">
        <v>182</v>
      </c>
      <c r="BR66" s="66">
        <v>364</v>
      </c>
      <c r="BS66" s="66">
        <v>502</v>
      </c>
      <c r="BT66" s="66">
        <v>178</v>
      </c>
      <c r="BU66" s="66">
        <v>270</v>
      </c>
      <c r="BV66" s="66">
        <v>193</v>
      </c>
      <c r="BW66" s="66">
        <v>225</v>
      </c>
      <c r="BX66" s="66">
        <v>171</v>
      </c>
      <c r="BY66" s="66">
        <v>610</v>
      </c>
      <c r="BZ66" s="66">
        <v>202</v>
      </c>
      <c r="CA66" s="66">
        <v>186</v>
      </c>
      <c r="CB66" s="66">
        <v>244</v>
      </c>
      <c r="CC66" s="66">
        <v>554</v>
      </c>
      <c r="CD66" s="66">
        <v>159</v>
      </c>
      <c r="CE66" s="66">
        <v>358</v>
      </c>
      <c r="CF66" s="66">
        <v>598</v>
      </c>
      <c r="CG66" s="66">
        <v>245</v>
      </c>
      <c r="CH66" s="66">
        <v>136</v>
      </c>
      <c r="CI66" s="66">
        <v>339</v>
      </c>
      <c r="CJ66" s="66">
        <v>286</v>
      </c>
      <c r="CK66" s="66">
        <v>504</v>
      </c>
      <c r="CL66" s="66">
        <v>425</v>
      </c>
      <c r="CM66" s="66">
        <v>331</v>
      </c>
      <c r="CN66" s="66">
        <v>561</v>
      </c>
      <c r="CO66" s="66">
        <v>119</v>
      </c>
      <c r="CP66" s="66">
        <v>561</v>
      </c>
      <c r="CQ66" s="66">
        <v>312</v>
      </c>
      <c r="CR66" s="66">
        <v>610</v>
      </c>
      <c r="CS66" s="66">
        <v>235</v>
      </c>
      <c r="CT66" s="66">
        <v>322</v>
      </c>
      <c r="CU66" s="66">
        <v>311</v>
      </c>
      <c r="CV66" s="66">
        <v>447</v>
      </c>
      <c r="CW66" s="66">
        <v>276</v>
      </c>
      <c r="CX66" s="66">
        <v>260</v>
      </c>
      <c r="CY66" s="66">
        <v>551</v>
      </c>
      <c r="CZ66" s="66">
        <v>455</v>
      </c>
      <c r="DA66" s="66">
        <v>735</v>
      </c>
    </row>
    <row r="67" spans="1:105" ht="15" x14ac:dyDescent="0.35">
      <c r="A67" s="5" t="s">
        <v>308</v>
      </c>
      <c r="B67" s="5" t="s">
        <v>482</v>
      </c>
      <c r="C67" s="66">
        <v>0</v>
      </c>
      <c r="D67" s="66">
        <v>0</v>
      </c>
      <c r="E67" s="66">
        <v>0</v>
      </c>
      <c r="F67" s="66">
        <v>0</v>
      </c>
      <c r="G67" s="66">
        <v>0</v>
      </c>
      <c r="H67" s="66">
        <v>0</v>
      </c>
      <c r="I67" s="66">
        <v>0</v>
      </c>
      <c r="J67" s="66">
        <v>0</v>
      </c>
      <c r="K67" s="66">
        <v>0</v>
      </c>
      <c r="L67" s="66">
        <v>0</v>
      </c>
      <c r="M67" s="66">
        <v>0</v>
      </c>
      <c r="N67" s="66">
        <v>0</v>
      </c>
      <c r="O67" s="66">
        <v>0</v>
      </c>
      <c r="P67" s="66">
        <v>1</v>
      </c>
      <c r="Q67" s="66">
        <v>0</v>
      </c>
      <c r="R67" s="66">
        <v>0</v>
      </c>
      <c r="S67" s="66">
        <v>0</v>
      </c>
      <c r="T67" s="66">
        <v>0</v>
      </c>
      <c r="U67" s="66">
        <v>0</v>
      </c>
      <c r="V67" s="66">
        <v>0</v>
      </c>
      <c r="W67" s="66">
        <v>0</v>
      </c>
      <c r="X67" s="66">
        <v>0</v>
      </c>
      <c r="Y67" s="66">
        <v>0</v>
      </c>
      <c r="Z67" s="66">
        <v>0</v>
      </c>
      <c r="AA67" s="66">
        <v>0</v>
      </c>
      <c r="AB67" s="66">
        <v>0</v>
      </c>
      <c r="AC67" s="66">
        <v>0</v>
      </c>
      <c r="AD67" s="66">
        <v>0</v>
      </c>
      <c r="AE67" s="66">
        <v>0</v>
      </c>
      <c r="AF67" s="66">
        <v>6</v>
      </c>
      <c r="AG67" s="66">
        <v>368</v>
      </c>
      <c r="AH67" s="66">
        <v>119</v>
      </c>
      <c r="AI67" s="66">
        <v>263</v>
      </c>
      <c r="AJ67" s="66">
        <v>67</v>
      </c>
      <c r="AK67" s="66">
        <v>85</v>
      </c>
      <c r="AL67" s="66">
        <v>267</v>
      </c>
      <c r="AM67" s="66">
        <v>62</v>
      </c>
      <c r="AN67" s="66">
        <v>171</v>
      </c>
      <c r="AO67" s="66">
        <v>377</v>
      </c>
      <c r="AP67" s="66">
        <v>57</v>
      </c>
      <c r="AQ67" s="66">
        <v>80</v>
      </c>
      <c r="AR67" s="66">
        <v>172</v>
      </c>
      <c r="AS67" s="66">
        <v>175</v>
      </c>
      <c r="AT67" s="66">
        <v>258</v>
      </c>
      <c r="AU67" s="66">
        <v>201</v>
      </c>
      <c r="AV67" s="66">
        <v>338</v>
      </c>
      <c r="AW67" s="66">
        <v>50</v>
      </c>
      <c r="AX67" s="66">
        <v>58</v>
      </c>
      <c r="AY67" s="66">
        <v>515</v>
      </c>
      <c r="AZ67" s="66">
        <v>272</v>
      </c>
      <c r="BA67" s="66">
        <v>383</v>
      </c>
      <c r="BB67" s="66">
        <v>529</v>
      </c>
      <c r="BC67" s="66">
        <v>607</v>
      </c>
      <c r="BD67" s="66">
        <v>430</v>
      </c>
      <c r="BE67" s="66">
        <v>38</v>
      </c>
      <c r="BF67" s="66">
        <v>0</v>
      </c>
      <c r="BG67" s="66">
        <v>100</v>
      </c>
      <c r="BH67" s="66">
        <v>75</v>
      </c>
      <c r="BI67" s="66">
        <v>285</v>
      </c>
      <c r="BJ67" s="66">
        <v>102</v>
      </c>
      <c r="BK67" s="66">
        <v>385</v>
      </c>
      <c r="BL67" s="66">
        <v>47</v>
      </c>
      <c r="BM67" s="66">
        <v>246</v>
      </c>
      <c r="BN67" s="66">
        <v>68</v>
      </c>
      <c r="BO67" s="66">
        <v>44</v>
      </c>
      <c r="BP67" s="66">
        <v>63</v>
      </c>
      <c r="BQ67" s="66">
        <v>518</v>
      </c>
      <c r="BR67" s="66">
        <v>963</v>
      </c>
      <c r="BS67" s="66">
        <v>185</v>
      </c>
      <c r="BT67" s="66">
        <v>44</v>
      </c>
      <c r="BU67" s="66">
        <v>126</v>
      </c>
      <c r="BV67" s="66">
        <v>63</v>
      </c>
      <c r="BW67" s="66">
        <v>88</v>
      </c>
      <c r="BX67" s="66">
        <v>378</v>
      </c>
      <c r="BY67" s="66">
        <v>197</v>
      </c>
      <c r="BZ67" s="66">
        <v>429</v>
      </c>
      <c r="CA67" s="66">
        <v>480</v>
      </c>
      <c r="CB67" s="66">
        <v>15</v>
      </c>
      <c r="CC67" s="66">
        <v>36</v>
      </c>
      <c r="CD67" s="66">
        <v>229</v>
      </c>
      <c r="CE67" s="66">
        <v>0</v>
      </c>
      <c r="CF67" s="66">
        <v>25</v>
      </c>
      <c r="CG67" s="66">
        <v>146</v>
      </c>
      <c r="CH67" s="66">
        <v>387</v>
      </c>
      <c r="CI67" s="66">
        <v>548</v>
      </c>
      <c r="CJ67" s="66">
        <v>98</v>
      </c>
      <c r="CK67" s="66">
        <v>80</v>
      </c>
      <c r="CL67" s="66">
        <v>389</v>
      </c>
      <c r="CM67" s="66">
        <v>34</v>
      </c>
      <c r="CN67" s="66">
        <v>103</v>
      </c>
      <c r="CO67" s="66">
        <v>302</v>
      </c>
      <c r="CP67" s="66">
        <v>81</v>
      </c>
      <c r="CQ67" s="66">
        <v>170</v>
      </c>
      <c r="CR67" s="66">
        <v>64</v>
      </c>
      <c r="CS67" s="66">
        <v>413</v>
      </c>
      <c r="CT67" s="66">
        <v>431</v>
      </c>
      <c r="CU67" s="66">
        <v>65</v>
      </c>
      <c r="CV67" s="66">
        <v>86</v>
      </c>
      <c r="CW67" s="66">
        <v>87</v>
      </c>
      <c r="CX67" s="66">
        <v>373</v>
      </c>
      <c r="CY67" s="66">
        <v>119</v>
      </c>
      <c r="CZ67" s="66">
        <v>137</v>
      </c>
      <c r="DA67" s="66">
        <v>109</v>
      </c>
    </row>
    <row r="68" spans="1:105" ht="15" x14ac:dyDescent="0.35">
      <c r="A68" s="5" t="s">
        <v>309</v>
      </c>
      <c r="B68" s="5" t="s">
        <v>483</v>
      </c>
      <c r="C68" s="66">
        <v>90</v>
      </c>
      <c r="D68" s="66">
        <v>261</v>
      </c>
      <c r="E68" s="66">
        <v>22</v>
      </c>
      <c r="F68" s="66">
        <v>0</v>
      </c>
      <c r="G68" s="66">
        <v>45</v>
      </c>
      <c r="H68" s="66">
        <v>12</v>
      </c>
      <c r="I68" s="66">
        <v>26</v>
      </c>
      <c r="J68" s="66">
        <v>37</v>
      </c>
      <c r="K68" s="66">
        <v>60</v>
      </c>
      <c r="L68" s="66">
        <v>16</v>
      </c>
      <c r="M68" s="66">
        <v>97</v>
      </c>
      <c r="N68" s="66">
        <v>176</v>
      </c>
      <c r="O68" s="66">
        <v>32</v>
      </c>
      <c r="P68" s="66">
        <v>89</v>
      </c>
      <c r="Q68" s="66">
        <v>32</v>
      </c>
      <c r="R68" s="66">
        <v>55</v>
      </c>
      <c r="S68" s="66">
        <v>57</v>
      </c>
      <c r="T68" s="66">
        <v>16</v>
      </c>
      <c r="U68" s="66">
        <v>64</v>
      </c>
      <c r="V68" s="66">
        <v>31</v>
      </c>
      <c r="W68" s="66">
        <v>58</v>
      </c>
      <c r="X68" s="66">
        <v>75</v>
      </c>
      <c r="Y68" s="66">
        <v>62</v>
      </c>
      <c r="Z68" s="66">
        <v>25</v>
      </c>
      <c r="AA68" s="66">
        <v>27</v>
      </c>
      <c r="AB68" s="66">
        <v>27</v>
      </c>
      <c r="AC68" s="66">
        <v>44</v>
      </c>
      <c r="AD68" s="66">
        <v>89</v>
      </c>
      <c r="AE68" s="66">
        <v>20</v>
      </c>
      <c r="AF68" s="66">
        <v>37</v>
      </c>
      <c r="AG68" s="66">
        <v>25</v>
      </c>
      <c r="AH68" s="66">
        <v>337</v>
      </c>
      <c r="AI68" s="66">
        <v>17</v>
      </c>
      <c r="AJ68" s="66">
        <v>306</v>
      </c>
      <c r="AK68" s="66">
        <v>27</v>
      </c>
      <c r="AL68" s="66">
        <v>11</v>
      </c>
      <c r="AM68" s="66">
        <v>62</v>
      </c>
      <c r="AN68" s="66">
        <v>51</v>
      </c>
      <c r="AO68" s="66">
        <v>52</v>
      </c>
      <c r="AP68" s="66">
        <v>46</v>
      </c>
      <c r="AQ68" s="66">
        <v>27</v>
      </c>
      <c r="AR68" s="66">
        <v>23</v>
      </c>
      <c r="AS68" s="66">
        <v>50</v>
      </c>
      <c r="AT68" s="66">
        <v>50</v>
      </c>
      <c r="AU68" s="66">
        <v>105</v>
      </c>
      <c r="AV68" s="66">
        <v>32</v>
      </c>
      <c r="AW68" s="66">
        <v>40</v>
      </c>
      <c r="AX68" s="66">
        <v>30</v>
      </c>
      <c r="AY68" s="66">
        <v>46</v>
      </c>
      <c r="AZ68" s="66">
        <v>59</v>
      </c>
      <c r="BA68" s="66">
        <v>37</v>
      </c>
      <c r="BB68" s="66">
        <v>33</v>
      </c>
      <c r="BC68" s="66">
        <v>27</v>
      </c>
      <c r="BD68" s="66">
        <v>13</v>
      </c>
      <c r="BE68" s="66">
        <v>5</v>
      </c>
      <c r="BF68" s="66">
        <v>0</v>
      </c>
      <c r="BG68" s="66">
        <v>46</v>
      </c>
      <c r="BH68" s="66">
        <v>681</v>
      </c>
      <c r="BI68" s="66">
        <v>18</v>
      </c>
      <c r="BJ68" s="66">
        <v>7</v>
      </c>
      <c r="BK68" s="66">
        <v>13</v>
      </c>
      <c r="BL68" s="66">
        <v>23</v>
      </c>
      <c r="BM68" s="66">
        <v>23</v>
      </c>
      <c r="BN68" s="66">
        <v>30</v>
      </c>
      <c r="BO68" s="66">
        <v>17</v>
      </c>
      <c r="BP68" s="66">
        <v>126</v>
      </c>
      <c r="BQ68" s="66">
        <v>23</v>
      </c>
      <c r="BR68" s="66">
        <v>12</v>
      </c>
      <c r="BS68" s="66">
        <v>30</v>
      </c>
      <c r="BT68" s="66">
        <v>17</v>
      </c>
      <c r="BU68" s="66">
        <v>25</v>
      </c>
      <c r="BV68" s="66">
        <v>37</v>
      </c>
      <c r="BW68" s="66">
        <v>5</v>
      </c>
      <c r="BX68" s="66">
        <v>18</v>
      </c>
      <c r="BY68" s="66">
        <v>42</v>
      </c>
      <c r="BZ68" s="66">
        <v>128</v>
      </c>
      <c r="CA68" s="66">
        <v>15</v>
      </c>
      <c r="CB68" s="66">
        <v>21</v>
      </c>
      <c r="CC68" s="66">
        <v>503</v>
      </c>
      <c r="CD68" s="66">
        <v>12</v>
      </c>
      <c r="CE68" s="66">
        <v>7</v>
      </c>
      <c r="CF68" s="66">
        <v>11</v>
      </c>
      <c r="CG68" s="66">
        <v>16</v>
      </c>
      <c r="CH68" s="66">
        <v>11</v>
      </c>
      <c r="CI68" s="66">
        <v>4</v>
      </c>
      <c r="CJ68" s="66">
        <v>18</v>
      </c>
      <c r="CK68" s="66">
        <v>1</v>
      </c>
      <c r="CL68" s="66">
        <v>39</v>
      </c>
      <c r="CM68" s="66">
        <v>34</v>
      </c>
      <c r="CN68" s="66">
        <v>10</v>
      </c>
      <c r="CO68" s="66">
        <v>10</v>
      </c>
      <c r="CP68" s="66">
        <v>14</v>
      </c>
      <c r="CQ68" s="66">
        <v>538</v>
      </c>
      <c r="CR68" s="66">
        <v>17</v>
      </c>
      <c r="CS68" s="66">
        <v>48</v>
      </c>
      <c r="CT68" s="66">
        <v>34</v>
      </c>
      <c r="CU68" s="66">
        <v>16</v>
      </c>
      <c r="CV68" s="66">
        <v>16</v>
      </c>
      <c r="CW68" s="66">
        <v>9</v>
      </c>
      <c r="CX68" s="66">
        <v>9</v>
      </c>
      <c r="CY68" s="66">
        <v>22</v>
      </c>
      <c r="CZ68" s="66">
        <v>22</v>
      </c>
      <c r="DA68" s="66">
        <v>57</v>
      </c>
    </row>
    <row r="69" spans="1:105" ht="15" x14ac:dyDescent="0.35">
      <c r="A69" s="5" t="s">
        <v>310</v>
      </c>
      <c r="B69" s="5" t="s">
        <v>484</v>
      </c>
      <c r="C69" s="66">
        <v>134</v>
      </c>
      <c r="D69" s="66">
        <v>316</v>
      </c>
      <c r="E69" s="66">
        <v>12</v>
      </c>
      <c r="F69" s="66">
        <v>0</v>
      </c>
      <c r="G69" s="66">
        <v>145</v>
      </c>
      <c r="H69" s="66">
        <v>36</v>
      </c>
      <c r="I69" s="66">
        <v>51</v>
      </c>
      <c r="J69" s="66">
        <v>254</v>
      </c>
      <c r="K69" s="66">
        <v>59</v>
      </c>
      <c r="L69" s="66">
        <v>76</v>
      </c>
      <c r="M69" s="66">
        <v>48</v>
      </c>
      <c r="N69" s="66">
        <v>113</v>
      </c>
      <c r="O69" s="66">
        <v>71</v>
      </c>
      <c r="P69" s="66">
        <v>32</v>
      </c>
      <c r="Q69" s="66">
        <v>79</v>
      </c>
      <c r="R69" s="66">
        <v>185</v>
      </c>
      <c r="S69" s="66">
        <v>135</v>
      </c>
      <c r="T69" s="66">
        <v>116</v>
      </c>
      <c r="U69" s="66">
        <v>45</v>
      </c>
      <c r="V69" s="66">
        <v>141</v>
      </c>
      <c r="W69" s="66">
        <v>177</v>
      </c>
      <c r="X69" s="66">
        <v>180</v>
      </c>
      <c r="Y69" s="66">
        <v>105</v>
      </c>
      <c r="Z69" s="66">
        <v>82</v>
      </c>
      <c r="AA69" s="66">
        <v>78</v>
      </c>
      <c r="AB69" s="66">
        <v>50</v>
      </c>
      <c r="AC69" s="66">
        <v>133</v>
      </c>
      <c r="AD69" s="66">
        <v>34</v>
      </c>
      <c r="AE69" s="66">
        <v>72</v>
      </c>
      <c r="AF69" s="66">
        <v>219</v>
      </c>
      <c r="AG69" s="66">
        <v>54</v>
      </c>
      <c r="AH69" s="66">
        <v>35</v>
      </c>
      <c r="AI69" s="66">
        <v>58</v>
      </c>
      <c r="AJ69" s="66">
        <v>37</v>
      </c>
      <c r="AK69" s="66">
        <v>19</v>
      </c>
      <c r="AL69" s="66">
        <v>40</v>
      </c>
      <c r="AM69" s="66">
        <v>172</v>
      </c>
      <c r="AN69" s="66">
        <v>106</v>
      </c>
      <c r="AO69" s="66">
        <v>64</v>
      </c>
      <c r="AP69" s="66">
        <v>88</v>
      </c>
      <c r="AQ69" s="66">
        <v>124</v>
      </c>
      <c r="AR69" s="66">
        <v>110</v>
      </c>
      <c r="AS69" s="66">
        <v>170</v>
      </c>
      <c r="AT69" s="66">
        <v>33</v>
      </c>
      <c r="AU69" s="66">
        <v>127</v>
      </c>
      <c r="AV69" s="66">
        <v>58</v>
      </c>
      <c r="AW69" s="66">
        <v>84</v>
      </c>
      <c r="AX69" s="66">
        <v>95</v>
      </c>
      <c r="AY69" s="66">
        <v>101</v>
      </c>
      <c r="AZ69" s="66">
        <v>130</v>
      </c>
      <c r="BA69" s="66">
        <v>19</v>
      </c>
      <c r="BB69" s="66">
        <v>190</v>
      </c>
      <c r="BC69" s="66">
        <v>93</v>
      </c>
      <c r="BD69" s="66">
        <v>62</v>
      </c>
      <c r="BE69" s="66">
        <v>88</v>
      </c>
      <c r="BF69" s="66">
        <v>0</v>
      </c>
      <c r="BG69" s="66">
        <v>422</v>
      </c>
      <c r="BH69" s="66">
        <v>254</v>
      </c>
      <c r="BI69" s="66">
        <v>30</v>
      </c>
      <c r="BJ69" s="66">
        <v>155</v>
      </c>
      <c r="BK69" s="66">
        <v>24</v>
      </c>
      <c r="BL69" s="66">
        <v>78</v>
      </c>
      <c r="BM69" s="66">
        <v>245</v>
      </c>
      <c r="BN69" s="66">
        <v>122</v>
      </c>
      <c r="BO69" s="66">
        <v>97</v>
      </c>
      <c r="BP69" s="66">
        <v>104</v>
      </c>
      <c r="BQ69" s="66">
        <v>18</v>
      </c>
      <c r="BR69" s="66">
        <v>112</v>
      </c>
      <c r="BS69" s="66">
        <v>49</v>
      </c>
      <c r="BT69" s="66">
        <v>44</v>
      </c>
      <c r="BU69" s="66">
        <v>357</v>
      </c>
      <c r="BV69" s="66">
        <v>32</v>
      </c>
      <c r="BW69" s="66">
        <v>11</v>
      </c>
      <c r="BX69" s="66">
        <v>21</v>
      </c>
      <c r="BY69" s="66">
        <v>42</v>
      </c>
      <c r="BZ69" s="66">
        <v>48</v>
      </c>
      <c r="CA69" s="66">
        <v>43</v>
      </c>
      <c r="CB69" s="66">
        <v>27</v>
      </c>
      <c r="CC69" s="66">
        <v>20</v>
      </c>
      <c r="CD69" s="66">
        <v>6</v>
      </c>
      <c r="CE69" s="66">
        <v>38</v>
      </c>
      <c r="CF69" s="66">
        <v>6</v>
      </c>
      <c r="CG69" s="66">
        <v>165</v>
      </c>
      <c r="CH69" s="66">
        <v>27</v>
      </c>
      <c r="CI69" s="66">
        <v>99</v>
      </c>
      <c r="CJ69" s="66">
        <v>25</v>
      </c>
      <c r="CK69" s="66">
        <v>14</v>
      </c>
      <c r="CL69" s="66">
        <v>42</v>
      </c>
      <c r="CM69" s="66">
        <v>19</v>
      </c>
      <c r="CN69" s="66">
        <v>144</v>
      </c>
      <c r="CO69" s="66">
        <v>48</v>
      </c>
      <c r="CP69" s="66">
        <v>10</v>
      </c>
      <c r="CQ69" s="66">
        <v>28</v>
      </c>
      <c r="CR69" s="66">
        <v>178</v>
      </c>
      <c r="CS69" s="66">
        <v>152</v>
      </c>
      <c r="CT69" s="66">
        <v>107</v>
      </c>
      <c r="CU69" s="66">
        <v>46</v>
      </c>
      <c r="CV69" s="66">
        <v>27</v>
      </c>
      <c r="CW69" s="66">
        <v>130</v>
      </c>
      <c r="CX69" s="66">
        <v>19</v>
      </c>
      <c r="CY69" s="66">
        <v>173</v>
      </c>
      <c r="CZ69" s="66">
        <v>151</v>
      </c>
      <c r="DA69" s="66">
        <v>101</v>
      </c>
    </row>
    <row r="70" spans="1:105" ht="15" x14ac:dyDescent="0.35">
      <c r="A70" s="5" t="s">
        <v>311</v>
      </c>
      <c r="B70" s="5" t="s">
        <v>485</v>
      </c>
      <c r="C70" s="66">
        <v>0</v>
      </c>
      <c r="D70" s="66">
        <v>0</v>
      </c>
      <c r="E70" s="66">
        <v>0</v>
      </c>
      <c r="F70" s="66">
        <v>0</v>
      </c>
      <c r="G70" s="66">
        <v>0</v>
      </c>
      <c r="H70" s="66">
        <v>0</v>
      </c>
      <c r="I70" s="66">
        <v>0</v>
      </c>
      <c r="J70" s="66">
        <v>0</v>
      </c>
      <c r="K70" s="66">
        <v>0</v>
      </c>
      <c r="L70" s="66">
        <v>0</v>
      </c>
      <c r="M70" s="66">
        <v>0</v>
      </c>
      <c r="N70" s="66">
        <v>0</v>
      </c>
      <c r="O70" s="66">
        <v>0</v>
      </c>
      <c r="P70" s="66">
        <v>0</v>
      </c>
      <c r="Q70" s="66">
        <v>0</v>
      </c>
      <c r="R70" s="66">
        <v>0</v>
      </c>
      <c r="S70" s="66">
        <v>0</v>
      </c>
      <c r="T70" s="66">
        <v>0</v>
      </c>
      <c r="U70" s="66">
        <v>0</v>
      </c>
      <c r="V70" s="66">
        <v>0</v>
      </c>
      <c r="W70" s="66">
        <v>0</v>
      </c>
      <c r="X70" s="66">
        <v>0</v>
      </c>
      <c r="Y70" s="66">
        <v>0</v>
      </c>
      <c r="Z70" s="66">
        <v>31</v>
      </c>
      <c r="AA70" s="66">
        <v>107</v>
      </c>
      <c r="AB70" s="66">
        <v>41</v>
      </c>
      <c r="AC70" s="66">
        <v>73</v>
      </c>
      <c r="AD70" s="66">
        <v>22</v>
      </c>
      <c r="AE70" s="66">
        <v>56</v>
      </c>
      <c r="AF70" s="66">
        <v>127</v>
      </c>
      <c r="AG70" s="66">
        <v>51</v>
      </c>
      <c r="AH70" s="66">
        <v>37</v>
      </c>
      <c r="AI70" s="66">
        <v>33</v>
      </c>
      <c r="AJ70" s="66">
        <v>38</v>
      </c>
      <c r="AK70" s="66">
        <v>26</v>
      </c>
      <c r="AL70" s="66">
        <v>14</v>
      </c>
      <c r="AM70" s="66">
        <v>26</v>
      </c>
      <c r="AN70" s="66">
        <v>8</v>
      </c>
      <c r="AO70" s="66">
        <v>9</v>
      </c>
      <c r="AP70" s="66">
        <v>1</v>
      </c>
      <c r="AQ70" s="66">
        <v>0</v>
      </c>
      <c r="AR70" s="66">
        <v>6</v>
      </c>
      <c r="AS70" s="66">
        <v>24</v>
      </c>
      <c r="AT70" s="66">
        <v>43</v>
      </c>
      <c r="AU70" s="66">
        <v>23</v>
      </c>
      <c r="AV70" s="66">
        <v>7</v>
      </c>
      <c r="AW70" s="66">
        <v>13</v>
      </c>
      <c r="AX70" s="66">
        <v>26</v>
      </c>
      <c r="AY70" s="66">
        <v>13</v>
      </c>
      <c r="AZ70" s="66">
        <v>60</v>
      </c>
      <c r="BA70" s="66">
        <v>30</v>
      </c>
      <c r="BB70" s="66">
        <v>42</v>
      </c>
      <c r="BC70" s="66">
        <v>17</v>
      </c>
      <c r="BD70" s="66">
        <v>9</v>
      </c>
      <c r="BE70" s="66">
        <v>5</v>
      </c>
      <c r="BF70" s="66">
        <v>0</v>
      </c>
      <c r="BG70" s="66">
        <v>2</v>
      </c>
      <c r="BH70" s="66">
        <v>21</v>
      </c>
      <c r="BI70" s="66">
        <v>10</v>
      </c>
      <c r="BJ70" s="66">
        <v>41</v>
      </c>
      <c r="BK70" s="66">
        <v>27</v>
      </c>
      <c r="BL70" s="66">
        <v>8</v>
      </c>
      <c r="BM70" s="66">
        <v>24</v>
      </c>
      <c r="BN70" s="66">
        <v>41</v>
      </c>
      <c r="BO70" s="66">
        <v>9</v>
      </c>
      <c r="BP70" s="66">
        <v>33</v>
      </c>
      <c r="BQ70" s="66">
        <v>21</v>
      </c>
      <c r="BR70" s="66">
        <v>27</v>
      </c>
      <c r="BS70" s="66">
        <v>23</v>
      </c>
      <c r="BT70" s="66">
        <v>28</v>
      </c>
      <c r="BU70" s="66">
        <v>45</v>
      </c>
      <c r="BV70" s="66">
        <v>72</v>
      </c>
      <c r="BW70" s="66">
        <v>49</v>
      </c>
      <c r="BX70" s="66">
        <v>111</v>
      </c>
      <c r="BY70" s="66">
        <v>133</v>
      </c>
      <c r="BZ70" s="66">
        <v>292</v>
      </c>
      <c r="CA70" s="66">
        <v>63</v>
      </c>
      <c r="CB70" s="66">
        <v>25</v>
      </c>
      <c r="CC70" s="66">
        <v>30</v>
      </c>
      <c r="CD70" s="66">
        <v>4</v>
      </c>
      <c r="CE70" s="66">
        <v>25</v>
      </c>
      <c r="CF70" s="66">
        <v>6</v>
      </c>
      <c r="CG70" s="66">
        <v>143</v>
      </c>
      <c r="CH70" s="66">
        <v>12</v>
      </c>
      <c r="CI70" s="66">
        <v>21</v>
      </c>
      <c r="CJ70" s="66">
        <v>14</v>
      </c>
      <c r="CK70" s="66">
        <v>12</v>
      </c>
      <c r="CL70" s="66">
        <v>16</v>
      </c>
      <c r="CM70" s="66">
        <v>5</v>
      </c>
      <c r="CN70" s="66">
        <v>0</v>
      </c>
      <c r="CO70" s="66">
        <v>4</v>
      </c>
      <c r="CP70" s="66">
        <v>1</v>
      </c>
      <c r="CQ70" s="66">
        <v>2</v>
      </c>
      <c r="CR70" s="66">
        <v>2</v>
      </c>
      <c r="CS70" s="66">
        <v>1</v>
      </c>
      <c r="CT70" s="66">
        <v>30</v>
      </c>
      <c r="CU70" s="66">
        <v>3</v>
      </c>
      <c r="CV70" s="66">
        <v>10</v>
      </c>
      <c r="CW70" s="66">
        <v>2</v>
      </c>
      <c r="CX70" s="66">
        <v>16</v>
      </c>
      <c r="CY70" s="66">
        <v>0</v>
      </c>
      <c r="CZ70" s="66">
        <v>0</v>
      </c>
      <c r="DA70" s="66">
        <v>0</v>
      </c>
    </row>
    <row r="71" spans="1:105" ht="15" x14ac:dyDescent="0.35">
      <c r="A71" s="5" t="s">
        <v>312</v>
      </c>
      <c r="B71" s="5" t="s">
        <v>486</v>
      </c>
      <c r="C71" s="66">
        <v>237</v>
      </c>
      <c r="D71" s="66">
        <v>264</v>
      </c>
      <c r="E71" s="66">
        <v>103</v>
      </c>
      <c r="F71" s="66">
        <v>0</v>
      </c>
      <c r="G71" s="66">
        <v>733</v>
      </c>
      <c r="H71" s="66">
        <v>122</v>
      </c>
      <c r="I71" s="66">
        <v>133</v>
      </c>
      <c r="J71" s="66">
        <v>204</v>
      </c>
      <c r="K71" s="66">
        <v>182</v>
      </c>
      <c r="L71" s="66">
        <v>113</v>
      </c>
      <c r="M71" s="66">
        <v>152</v>
      </c>
      <c r="N71" s="66">
        <v>133</v>
      </c>
      <c r="O71" s="66">
        <v>275</v>
      </c>
      <c r="P71" s="66">
        <v>516</v>
      </c>
      <c r="Q71" s="66">
        <v>256</v>
      </c>
      <c r="R71" s="66">
        <v>97</v>
      </c>
      <c r="S71" s="66">
        <v>77</v>
      </c>
      <c r="T71" s="66">
        <v>249</v>
      </c>
      <c r="U71" s="66">
        <v>155</v>
      </c>
      <c r="V71" s="66">
        <v>202</v>
      </c>
      <c r="W71" s="66">
        <v>280</v>
      </c>
      <c r="X71" s="66">
        <v>244</v>
      </c>
      <c r="Y71" s="66">
        <v>283</v>
      </c>
      <c r="Z71" s="66">
        <v>144</v>
      </c>
      <c r="AA71" s="66">
        <v>115</v>
      </c>
      <c r="AB71" s="66">
        <v>133</v>
      </c>
      <c r="AC71" s="66">
        <v>263</v>
      </c>
      <c r="AD71" s="66">
        <v>444</v>
      </c>
      <c r="AE71" s="66">
        <v>77</v>
      </c>
      <c r="AF71" s="66">
        <v>342</v>
      </c>
      <c r="AG71" s="66">
        <v>682</v>
      </c>
      <c r="AH71" s="66">
        <v>203</v>
      </c>
      <c r="AI71" s="66">
        <v>304</v>
      </c>
      <c r="AJ71" s="66">
        <v>141</v>
      </c>
      <c r="AK71" s="66">
        <v>94</v>
      </c>
      <c r="AL71" s="66">
        <v>168</v>
      </c>
      <c r="AM71" s="66">
        <v>352</v>
      </c>
      <c r="AN71" s="66">
        <v>194</v>
      </c>
      <c r="AO71" s="66">
        <v>317</v>
      </c>
      <c r="AP71" s="66">
        <v>236</v>
      </c>
      <c r="AQ71" s="66">
        <v>241</v>
      </c>
      <c r="AR71" s="66">
        <v>167</v>
      </c>
      <c r="AS71" s="66">
        <v>372</v>
      </c>
      <c r="AT71" s="66">
        <v>197</v>
      </c>
      <c r="AU71" s="66">
        <v>184</v>
      </c>
      <c r="AV71" s="66">
        <v>329</v>
      </c>
      <c r="AW71" s="66">
        <v>127</v>
      </c>
      <c r="AX71" s="66">
        <v>136</v>
      </c>
      <c r="AY71" s="66">
        <v>147</v>
      </c>
      <c r="AZ71" s="66">
        <v>188</v>
      </c>
      <c r="BA71" s="66">
        <v>195</v>
      </c>
      <c r="BB71" s="66">
        <v>512</v>
      </c>
      <c r="BC71" s="66">
        <v>124</v>
      </c>
      <c r="BD71" s="66">
        <v>155</v>
      </c>
      <c r="BE71" s="66">
        <v>20</v>
      </c>
      <c r="BF71" s="66">
        <v>0</v>
      </c>
      <c r="BG71" s="66">
        <v>129</v>
      </c>
      <c r="BH71" s="66">
        <v>381</v>
      </c>
      <c r="BI71" s="66">
        <v>50</v>
      </c>
      <c r="BJ71" s="66">
        <v>37</v>
      </c>
      <c r="BK71" s="66">
        <v>75</v>
      </c>
      <c r="BL71" s="66">
        <v>65</v>
      </c>
      <c r="BM71" s="66">
        <v>109</v>
      </c>
      <c r="BN71" s="66">
        <v>99</v>
      </c>
      <c r="BO71" s="66">
        <v>75</v>
      </c>
      <c r="BP71" s="66">
        <v>43</v>
      </c>
      <c r="BQ71" s="66">
        <v>60</v>
      </c>
      <c r="BR71" s="66">
        <v>110</v>
      </c>
      <c r="BS71" s="66">
        <v>74</v>
      </c>
      <c r="BT71" s="66">
        <v>82</v>
      </c>
      <c r="BU71" s="66">
        <v>165</v>
      </c>
      <c r="BV71" s="66">
        <v>56</v>
      </c>
      <c r="BW71" s="66">
        <v>52</v>
      </c>
      <c r="BX71" s="66">
        <v>84</v>
      </c>
      <c r="BY71" s="66">
        <v>138</v>
      </c>
      <c r="BZ71" s="66">
        <v>122</v>
      </c>
      <c r="CA71" s="66">
        <v>104</v>
      </c>
      <c r="CB71" s="66">
        <v>84</v>
      </c>
      <c r="CC71" s="66">
        <v>72</v>
      </c>
      <c r="CD71" s="66">
        <v>168</v>
      </c>
      <c r="CE71" s="66">
        <v>54</v>
      </c>
      <c r="CF71" s="66">
        <v>67</v>
      </c>
      <c r="CG71" s="66">
        <v>115</v>
      </c>
      <c r="CH71" s="66">
        <v>105</v>
      </c>
      <c r="CI71" s="66">
        <v>119</v>
      </c>
      <c r="CJ71" s="66">
        <v>515</v>
      </c>
      <c r="CK71" s="66">
        <v>148</v>
      </c>
      <c r="CL71" s="66">
        <v>130</v>
      </c>
      <c r="CM71" s="66">
        <v>73</v>
      </c>
      <c r="CN71" s="66">
        <v>190</v>
      </c>
      <c r="CO71" s="66">
        <v>44</v>
      </c>
      <c r="CP71" s="66">
        <v>171</v>
      </c>
      <c r="CQ71" s="66">
        <v>84</v>
      </c>
      <c r="CR71" s="66">
        <v>176</v>
      </c>
      <c r="CS71" s="66">
        <v>60</v>
      </c>
      <c r="CT71" s="66">
        <v>100</v>
      </c>
      <c r="CU71" s="66">
        <v>21</v>
      </c>
      <c r="CV71" s="66">
        <v>93</v>
      </c>
      <c r="CW71" s="66">
        <v>160</v>
      </c>
      <c r="CX71" s="66">
        <v>138</v>
      </c>
      <c r="CY71" s="66">
        <v>109</v>
      </c>
      <c r="CZ71" s="66">
        <v>193</v>
      </c>
      <c r="DA71" s="66">
        <v>156</v>
      </c>
    </row>
    <row r="72" spans="1:105" ht="15" x14ac:dyDescent="0.35">
      <c r="A72" s="5" t="s">
        <v>313</v>
      </c>
      <c r="B72" s="5" t="s">
        <v>487</v>
      </c>
      <c r="C72" s="66">
        <v>103</v>
      </c>
      <c r="D72" s="66">
        <v>63</v>
      </c>
      <c r="E72" s="66">
        <v>103</v>
      </c>
      <c r="F72" s="66">
        <v>0</v>
      </c>
      <c r="G72" s="66">
        <v>192</v>
      </c>
      <c r="H72" s="66">
        <v>30</v>
      </c>
      <c r="I72" s="66">
        <v>118</v>
      </c>
      <c r="J72" s="66">
        <v>59</v>
      </c>
      <c r="K72" s="66">
        <v>36</v>
      </c>
      <c r="L72" s="66">
        <v>98</v>
      </c>
      <c r="M72" s="66">
        <v>214</v>
      </c>
      <c r="N72" s="66">
        <v>103</v>
      </c>
      <c r="O72" s="66">
        <v>194</v>
      </c>
      <c r="P72" s="66">
        <v>104</v>
      </c>
      <c r="Q72" s="66">
        <v>747</v>
      </c>
      <c r="R72" s="66">
        <v>117</v>
      </c>
      <c r="S72" s="66">
        <v>785</v>
      </c>
      <c r="T72" s="66">
        <v>232</v>
      </c>
      <c r="U72" s="66">
        <v>96</v>
      </c>
      <c r="V72" s="66">
        <v>195</v>
      </c>
      <c r="W72" s="66">
        <v>832</v>
      </c>
      <c r="X72" s="66">
        <v>468</v>
      </c>
      <c r="Y72" s="66">
        <v>1155</v>
      </c>
      <c r="Z72" s="66">
        <v>74</v>
      </c>
      <c r="AA72" s="66">
        <v>882</v>
      </c>
      <c r="AB72" s="66">
        <v>404</v>
      </c>
      <c r="AC72" s="66">
        <v>1082</v>
      </c>
      <c r="AD72" s="66">
        <v>228</v>
      </c>
      <c r="AE72" s="66">
        <v>1571</v>
      </c>
      <c r="AF72" s="66">
        <v>1333</v>
      </c>
      <c r="AG72" s="66">
        <v>943</v>
      </c>
      <c r="AH72" s="66">
        <v>576</v>
      </c>
      <c r="AI72" s="66">
        <v>1784</v>
      </c>
      <c r="AJ72" s="66">
        <v>64</v>
      </c>
      <c r="AK72" s="66">
        <v>132</v>
      </c>
      <c r="AL72" s="66">
        <v>65</v>
      </c>
      <c r="AM72" s="66">
        <v>0</v>
      </c>
      <c r="AN72" s="66">
        <v>6</v>
      </c>
      <c r="AO72" s="66">
        <v>26</v>
      </c>
      <c r="AP72" s="66">
        <v>2</v>
      </c>
      <c r="AQ72" s="66">
        <v>0</v>
      </c>
      <c r="AR72" s="66">
        <v>21</v>
      </c>
      <c r="AS72" s="66">
        <v>23</v>
      </c>
      <c r="AT72" s="66">
        <v>0</v>
      </c>
      <c r="AU72" s="66">
        <v>831</v>
      </c>
      <c r="AV72" s="66">
        <v>172</v>
      </c>
      <c r="AW72" s="66">
        <v>2010</v>
      </c>
      <c r="AX72" s="66">
        <v>205</v>
      </c>
      <c r="AY72" s="66">
        <v>130</v>
      </c>
      <c r="AZ72" s="66">
        <v>355</v>
      </c>
      <c r="BA72" s="66">
        <v>927</v>
      </c>
      <c r="BB72" s="66">
        <v>130</v>
      </c>
      <c r="BC72" s="66">
        <v>21</v>
      </c>
      <c r="BD72" s="66">
        <v>35</v>
      </c>
      <c r="BE72" s="66">
        <v>0</v>
      </c>
      <c r="BF72" s="66">
        <v>0</v>
      </c>
      <c r="BG72" s="66">
        <v>18</v>
      </c>
      <c r="BH72" s="66">
        <v>159</v>
      </c>
      <c r="BI72" s="66">
        <v>39</v>
      </c>
      <c r="BJ72" s="66">
        <v>112</v>
      </c>
      <c r="BK72" s="66">
        <v>1313</v>
      </c>
      <c r="BL72" s="66">
        <v>68</v>
      </c>
      <c r="BM72" s="66">
        <v>762</v>
      </c>
      <c r="BN72" s="66">
        <v>128</v>
      </c>
      <c r="BO72" s="66">
        <v>91</v>
      </c>
      <c r="BP72" s="66">
        <v>369</v>
      </c>
      <c r="BQ72" s="66">
        <v>1342</v>
      </c>
      <c r="BR72" s="66">
        <v>99</v>
      </c>
      <c r="BS72" s="66">
        <v>1253</v>
      </c>
      <c r="BT72" s="66">
        <v>147</v>
      </c>
      <c r="BU72" s="66">
        <v>864</v>
      </c>
      <c r="BV72" s="66">
        <v>174</v>
      </c>
      <c r="BW72" s="66">
        <v>793</v>
      </c>
      <c r="BX72" s="66">
        <v>972</v>
      </c>
      <c r="BY72" s="66">
        <v>1618</v>
      </c>
      <c r="BZ72" s="66">
        <v>1643</v>
      </c>
      <c r="CA72" s="66">
        <v>397</v>
      </c>
      <c r="CB72" s="66">
        <v>193</v>
      </c>
      <c r="CC72" s="66">
        <v>1610</v>
      </c>
      <c r="CD72" s="66">
        <v>1285</v>
      </c>
      <c r="CE72" s="66">
        <v>169</v>
      </c>
      <c r="CF72" s="66">
        <v>167</v>
      </c>
      <c r="CG72" s="66">
        <v>1938</v>
      </c>
      <c r="CH72" s="66">
        <v>280</v>
      </c>
      <c r="CI72" s="66">
        <v>486</v>
      </c>
      <c r="CJ72" s="66">
        <v>638</v>
      </c>
      <c r="CK72" s="66">
        <v>943</v>
      </c>
      <c r="CL72" s="66">
        <v>268</v>
      </c>
      <c r="CM72" s="66">
        <v>60</v>
      </c>
      <c r="CN72" s="66">
        <v>60</v>
      </c>
      <c r="CO72" s="66">
        <v>181</v>
      </c>
      <c r="CP72" s="66">
        <v>215</v>
      </c>
      <c r="CQ72" s="66">
        <v>64</v>
      </c>
      <c r="CR72" s="66">
        <v>93</v>
      </c>
      <c r="CS72" s="66">
        <v>30</v>
      </c>
      <c r="CT72" s="66">
        <v>721</v>
      </c>
      <c r="CU72" s="66">
        <v>224</v>
      </c>
      <c r="CV72" s="66">
        <v>194</v>
      </c>
      <c r="CW72" s="66">
        <v>101</v>
      </c>
      <c r="CX72" s="66">
        <v>83</v>
      </c>
      <c r="CY72" s="66">
        <v>107</v>
      </c>
      <c r="CZ72" s="66">
        <v>104</v>
      </c>
      <c r="DA72" s="66">
        <v>237</v>
      </c>
    </row>
    <row r="73" spans="1:105" ht="15" x14ac:dyDescent="0.35">
      <c r="A73" s="5" t="s">
        <v>314</v>
      </c>
      <c r="B73" s="5" t="s">
        <v>488</v>
      </c>
      <c r="C73" s="66">
        <v>124</v>
      </c>
      <c r="D73" s="66">
        <v>410</v>
      </c>
      <c r="E73" s="66">
        <v>2</v>
      </c>
      <c r="F73" s="66">
        <v>0</v>
      </c>
      <c r="G73" s="66">
        <v>466</v>
      </c>
      <c r="H73" s="66">
        <v>96</v>
      </c>
      <c r="I73" s="66">
        <v>51</v>
      </c>
      <c r="J73" s="66">
        <v>368</v>
      </c>
      <c r="K73" s="66">
        <v>186</v>
      </c>
      <c r="L73" s="66">
        <v>238</v>
      </c>
      <c r="M73" s="66">
        <v>50</v>
      </c>
      <c r="N73" s="66">
        <v>77</v>
      </c>
      <c r="O73" s="66">
        <v>129</v>
      </c>
      <c r="P73" s="66">
        <v>266</v>
      </c>
      <c r="Q73" s="66">
        <v>121</v>
      </c>
      <c r="R73" s="66">
        <v>91</v>
      </c>
      <c r="S73" s="66">
        <v>211</v>
      </c>
      <c r="T73" s="66">
        <v>113</v>
      </c>
      <c r="U73" s="66">
        <v>232</v>
      </c>
      <c r="V73" s="66">
        <v>144</v>
      </c>
      <c r="W73" s="66">
        <v>253</v>
      </c>
      <c r="X73" s="66">
        <v>401</v>
      </c>
      <c r="Y73" s="66">
        <v>220</v>
      </c>
      <c r="Z73" s="66">
        <v>111</v>
      </c>
      <c r="AA73" s="66">
        <v>176</v>
      </c>
      <c r="AB73" s="66">
        <v>264</v>
      </c>
      <c r="AC73" s="66">
        <v>1726</v>
      </c>
      <c r="AD73" s="66">
        <v>164</v>
      </c>
      <c r="AE73" s="66">
        <v>202</v>
      </c>
      <c r="AF73" s="66">
        <v>274</v>
      </c>
      <c r="AG73" s="66">
        <v>157</v>
      </c>
      <c r="AH73" s="66">
        <v>225</v>
      </c>
      <c r="AI73" s="66">
        <v>185</v>
      </c>
      <c r="AJ73" s="66">
        <v>225</v>
      </c>
      <c r="AK73" s="66">
        <v>197</v>
      </c>
      <c r="AL73" s="66">
        <v>413</v>
      </c>
      <c r="AM73" s="66">
        <v>196</v>
      </c>
      <c r="AN73" s="66">
        <v>134</v>
      </c>
      <c r="AO73" s="66">
        <v>276</v>
      </c>
      <c r="AP73" s="66">
        <v>213</v>
      </c>
      <c r="AQ73" s="66">
        <v>71</v>
      </c>
      <c r="AR73" s="66">
        <v>253</v>
      </c>
      <c r="AS73" s="66">
        <v>206</v>
      </c>
      <c r="AT73" s="66">
        <v>101</v>
      </c>
      <c r="AU73" s="66">
        <v>249</v>
      </c>
      <c r="AV73" s="66">
        <v>58</v>
      </c>
      <c r="AW73" s="66">
        <v>98</v>
      </c>
      <c r="AX73" s="66">
        <v>200</v>
      </c>
      <c r="AY73" s="66">
        <v>120</v>
      </c>
      <c r="AZ73" s="66">
        <v>154</v>
      </c>
      <c r="BA73" s="66">
        <v>138</v>
      </c>
      <c r="BB73" s="66">
        <v>231</v>
      </c>
      <c r="BC73" s="66">
        <v>104</v>
      </c>
      <c r="BD73" s="66">
        <v>137</v>
      </c>
      <c r="BE73" s="66">
        <v>232</v>
      </c>
      <c r="BF73" s="66">
        <v>0</v>
      </c>
      <c r="BG73" s="66">
        <v>142</v>
      </c>
      <c r="BH73" s="66">
        <v>138</v>
      </c>
      <c r="BI73" s="66">
        <v>88</v>
      </c>
      <c r="BJ73" s="66">
        <v>174</v>
      </c>
      <c r="BK73" s="66">
        <v>102</v>
      </c>
      <c r="BL73" s="66">
        <v>35</v>
      </c>
      <c r="BM73" s="66">
        <v>219</v>
      </c>
      <c r="BN73" s="66">
        <v>67</v>
      </c>
      <c r="BO73" s="66">
        <v>61</v>
      </c>
      <c r="BP73" s="66">
        <v>93</v>
      </c>
      <c r="BQ73" s="66">
        <v>219</v>
      </c>
      <c r="BR73" s="66">
        <v>131</v>
      </c>
      <c r="BS73" s="66">
        <v>526</v>
      </c>
      <c r="BT73" s="66">
        <v>137</v>
      </c>
      <c r="BU73" s="66">
        <v>124</v>
      </c>
      <c r="BV73" s="66">
        <v>94</v>
      </c>
      <c r="BW73" s="66">
        <v>234</v>
      </c>
      <c r="BX73" s="66">
        <v>163</v>
      </c>
      <c r="BY73" s="66">
        <v>652</v>
      </c>
      <c r="BZ73" s="66">
        <v>159</v>
      </c>
      <c r="CA73" s="66">
        <v>352</v>
      </c>
      <c r="CB73" s="66">
        <v>83</v>
      </c>
      <c r="CC73" s="66">
        <v>315</v>
      </c>
      <c r="CD73" s="66">
        <v>169</v>
      </c>
      <c r="CE73" s="66">
        <v>182</v>
      </c>
      <c r="CF73" s="66">
        <v>189</v>
      </c>
      <c r="CG73" s="66">
        <v>136</v>
      </c>
      <c r="CH73" s="66">
        <v>250</v>
      </c>
      <c r="CI73" s="66">
        <v>239</v>
      </c>
      <c r="CJ73" s="66">
        <v>370</v>
      </c>
      <c r="CK73" s="66">
        <v>122</v>
      </c>
      <c r="CL73" s="66">
        <v>335</v>
      </c>
      <c r="CM73" s="66">
        <v>341</v>
      </c>
      <c r="CN73" s="66">
        <v>213</v>
      </c>
      <c r="CO73" s="66">
        <v>226</v>
      </c>
      <c r="CP73" s="66">
        <v>135</v>
      </c>
      <c r="CQ73" s="66">
        <v>151</v>
      </c>
      <c r="CR73" s="66">
        <v>344</v>
      </c>
      <c r="CS73" s="66">
        <v>152</v>
      </c>
      <c r="CT73" s="66">
        <v>173</v>
      </c>
      <c r="CU73" s="66">
        <v>115</v>
      </c>
      <c r="CV73" s="66">
        <v>103</v>
      </c>
      <c r="CW73" s="66">
        <v>104</v>
      </c>
      <c r="CX73" s="66">
        <v>191</v>
      </c>
      <c r="CY73" s="66">
        <v>149</v>
      </c>
      <c r="CZ73" s="66">
        <v>209</v>
      </c>
      <c r="DA73" s="66">
        <v>109</v>
      </c>
    </row>
    <row r="74" spans="1:105" ht="15" x14ac:dyDescent="0.35">
      <c r="A74" s="5" t="s">
        <v>315</v>
      </c>
      <c r="B74" s="5" t="s">
        <v>489</v>
      </c>
      <c r="C74" s="66">
        <v>0</v>
      </c>
      <c r="D74" s="66">
        <v>0</v>
      </c>
      <c r="E74" s="66">
        <v>0</v>
      </c>
      <c r="F74" s="66">
        <v>0</v>
      </c>
      <c r="G74" s="66">
        <v>0</v>
      </c>
      <c r="H74" s="66">
        <v>0</v>
      </c>
      <c r="I74" s="66">
        <v>0</v>
      </c>
      <c r="J74" s="66">
        <v>0</v>
      </c>
      <c r="K74" s="66">
        <v>0</v>
      </c>
      <c r="L74" s="66">
        <v>0</v>
      </c>
      <c r="M74" s="66">
        <v>0</v>
      </c>
      <c r="N74" s="66">
        <v>0</v>
      </c>
      <c r="O74" s="66">
        <v>13</v>
      </c>
      <c r="P74" s="66">
        <v>110</v>
      </c>
      <c r="Q74" s="66">
        <v>109</v>
      </c>
      <c r="R74" s="66">
        <v>144</v>
      </c>
      <c r="S74" s="66">
        <v>161</v>
      </c>
      <c r="T74" s="66">
        <v>147</v>
      </c>
      <c r="U74" s="66">
        <v>127</v>
      </c>
      <c r="V74" s="66">
        <v>197</v>
      </c>
      <c r="W74" s="66">
        <v>83</v>
      </c>
      <c r="X74" s="66">
        <v>448</v>
      </c>
      <c r="Y74" s="66">
        <v>185</v>
      </c>
      <c r="Z74" s="66">
        <v>63</v>
      </c>
      <c r="AA74" s="66">
        <v>0</v>
      </c>
      <c r="AB74" s="66">
        <v>2</v>
      </c>
      <c r="AC74" s="66">
        <v>0</v>
      </c>
      <c r="AD74" s="66">
        <v>2</v>
      </c>
      <c r="AE74" s="66">
        <v>0</v>
      </c>
      <c r="AF74" s="66">
        <v>0</v>
      </c>
      <c r="AG74" s="66">
        <v>0</v>
      </c>
      <c r="AH74" s="66">
        <v>2</v>
      </c>
      <c r="AI74" s="66">
        <v>0</v>
      </c>
      <c r="AJ74" s="66">
        <v>0</v>
      </c>
      <c r="AK74" s="66">
        <v>0</v>
      </c>
      <c r="AL74" s="66">
        <v>0</v>
      </c>
      <c r="AM74" s="66">
        <v>0</v>
      </c>
      <c r="AN74" s="66">
        <v>0</v>
      </c>
      <c r="AO74" s="66">
        <v>0</v>
      </c>
      <c r="AP74" s="66">
        <v>0</v>
      </c>
      <c r="AQ74" s="66">
        <v>0</v>
      </c>
      <c r="AR74" s="66">
        <v>279</v>
      </c>
      <c r="AS74" s="66">
        <v>359</v>
      </c>
      <c r="AT74" s="66">
        <v>174</v>
      </c>
      <c r="AU74" s="66">
        <v>379</v>
      </c>
      <c r="AV74" s="66">
        <v>89</v>
      </c>
      <c r="AW74" s="66">
        <v>104</v>
      </c>
      <c r="AX74" s="66">
        <v>118</v>
      </c>
      <c r="AY74" s="66">
        <v>244</v>
      </c>
      <c r="AZ74" s="66">
        <v>129</v>
      </c>
      <c r="BA74" s="66">
        <v>116</v>
      </c>
      <c r="BB74" s="66">
        <v>231</v>
      </c>
      <c r="BC74" s="66">
        <v>293</v>
      </c>
      <c r="BD74" s="66">
        <v>96</v>
      </c>
      <c r="BE74" s="66">
        <v>13</v>
      </c>
      <c r="BF74" s="66">
        <v>0</v>
      </c>
      <c r="BG74" s="66">
        <v>159</v>
      </c>
      <c r="BH74" s="66">
        <v>179</v>
      </c>
      <c r="BI74" s="66">
        <v>177</v>
      </c>
      <c r="BJ74" s="66">
        <v>105</v>
      </c>
      <c r="BK74" s="66">
        <v>124</v>
      </c>
      <c r="BL74" s="66">
        <v>7</v>
      </c>
      <c r="BM74" s="66">
        <v>125</v>
      </c>
      <c r="BN74" s="66">
        <v>80</v>
      </c>
      <c r="BO74" s="66">
        <v>92</v>
      </c>
      <c r="BP74" s="66">
        <v>46</v>
      </c>
      <c r="BQ74" s="66">
        <v>332</v>
      </c>
      <c r="BR74" s="66">
        <v>112</v>
      </c>
      <c r="BS74" s="66">
        <v>101</v>
      </c>
      <c r="BT74" s="66">
        <v>134</v>
      </c>
      <c r="BU74" s="66">
        <v>202</v>
      </c>
      <c r="BV74" s="66">
        <v>125</v>
      </c>
      <c r="BW74" s="66">
        <v>0</v>
      </c>
      <c r="BX74" s="66">
        <v>0</v>
      </c>
      <c r="BY74" s="66">
        <v>5</v>
      </c>
      <c r="BZ74" s="66">
        <v>191</v>
      </c>
      <c r="CA74" s="66">
        <v>88</v>
      </c>
      <c r="CB74" s="66">
        <v>246</v>
      </c>
      <c r="CC74" s="66">
        <v>391</v>
      </c>
      <c r="CD74" s="66">
        <v>198</v>
      </c>
      <c r="CE74" s="66">
        <v>72</v>
      </c>
      <c r="CF74" s="66">
        <v>192</v>
      </c>
      <c r="CG74" s="66">
        <v>77</v>
      </c>
      <c r="CH74" s="66">
        <v>76</v>
      </c>
      <c r="CI74" s="66">
        <v>159</v>
      </c>
      <c r="CJ74" s="66">
        <v>195</v>
      </c>
      <c r="CK74" s="66">
        <v>59</v>
      </c>
      <c r="CL74" s="66">
        <v>200</v>
      </c>
      <c r="CM74" s="66">
        <v>51</v>
      </c>
      <c r="CN74" s="66">
        <v>63</v>
      </c>
      <c r="CO74" s="66">
        <v>96</v>
      </c>
      <c r="CP74" s="66">
        <v>130</v>
      </c>
      <c r="CQ74" s="66">
        <v>96</v>
      </c>
      <c r="CR74" s="66">
        <v>279</v>
      </c>
      <c r="CS74" s="66">
        <v>235</v>
      </c>
      <c r="CT74" s="66">
        <v>152</v>
      </c>
      <c r="CU74" s="66">
        <v>97</v>
      </c>
      <c r="CV74" s="66">
        <v>105</v>
      </c>
      <c r="CW74" s="66">
        <v>395</v>
      </c>
      <c r="CX74" s="66">
        <v>365</v>
      </c>
      <c r="CY74" s="66">
        <v>153</v>
      </c>
      <c r="CZ74" s="66">
        <v>173</v>
      </c>
      <c r="DA74" s="66">
        <v>224</v>
      </c>
    </row>
    <row r="75" spans="1:105" ht="15" x14ac:dyDescent="0.35">
      <c r="A75" s="5" t="s">
        <v>316</v>
      </c>
      <c r="B75" s="5" t="s">
        <v>490</v>
      </c>
      <c r="C75" s="66">
        <v>0</v>
      </c>
      <c r="D75" s="66">
        <v>0</v>
      </c>
      <c r="E75" s="66">
        <v>0</v>
      </c>
      <c r="F75" s="66">
        <v>0</v>
      </c>
      <c r="G75" s="66">
        <v>0</v>
      </c>
      <c r="H75" s="66">
        <v>0</v>
      </c>
      <c r="I75" s="66">
        <v>6</v>
      </c>
      <c r="J75" s="66">
        <v>368</v>
      </c>
      <c r="K75" s="66">
        <v>172</v>
      </c>
      <c r="L75" s="66">
        <v>442</v>
      </c>
      <c r="M75" s="66">
        <v>370</v>
      </c>
      <c r="N75" s="66">
        <v>160</v>
      </c>
      <c r="O75" s="66">
        <v>227</v>
      </c>
      <c r="P75" s="66">
        <v>247</v>
      </c>
      <c r="Q75" s="66">
        <v>282</v>
      </c>
      <c r="R75" s="66">
        <v>139</v>
      </c>
      <c r="S75" s="66">
        <v>342</v>
      </c>
      <c r="T75" s="66">
        <v>273</v>
      </c>
      <c r="U75" s="66">
        <v>144</v>
      </c>
      <c r="V75" s="66">
        <v>211</v>
      </c>
      <c r="W75" s="66">
        <v>235</v>
      </c>
      <c r="X75" s="66">
        <v>392</v>
      </c>
      <c r="Y75" s="66">
        <v>196</v>
      </c>
      <c r="Z75" s="66">
        <v>138</v>
      </c>
      <c r="AA75" s="66">
        <v>179</v>
      </c>
      <c r="AB75" s="66">
        <v>161</v>
      </c>
      <c r="AC75" s="66">
        <v>192</v>
      </c>
      <c r="AD75" s="66">
        <v>156</v>
      </c>
      <c r="AE75" s="66">
        <v>219</v>
      </c>
      <c r="AF75" s="66">
        <v>232</v>
      </c>
      <c r="AG75" s="66">
        <v>209</v>
      </c>
      <c r="AH75" s="66">
        <v>129</v>
      </c>
      <c r="AI75" s="66">
        <v>356</v>
      </c>
      <c r="AJ75" s="66">
        <v>312</v>
      </c>
      <c r="AK75" s="66">
        <v>419</v>
      </c>
      <c r="AL75" s="66">
        <v>335</v>
      </c>
      <c r="AM75" s="66">
        <v>191</v>
      </c>
      <c r="AN75" s="66">
        <v>187</v>
      </c>
      <c r="AO75" s="66">
        <v>268</v>
      </c>
      <c r="AP75" s="66">
        <v>123</v>
      </c>
      <c r="AQ75" s="66">
        <v>87</v>
      </c>
      <c r="AR75" s="66">
        <v>148</v>
      </c>
      <c r="AS75" s="66">
        <v>275</v>
      </c>
      <c r="AT75" s="66">
        <v>134</v>
      </c>
      <c r="AU75" s="66">
        <v>174</v>
      </c>
      <c r="AV75" s="66">
        <v>108</v>
      </c>
      <c r="AW75" s="66">
        <v>70</v>
      </c>
      <c r="AX75" s="66">
        <v>205</v>
      </c>
      <c r="AY75" s="66">
        <v>96</v>
      </c>
      <c r="AZ75" s="66">
        <v>134</v>
      </c>
      <c r="BA75" s="66">
        <v>127</v>
      </c>
      <c r="BB75" s="66">
        <v>216</v>
      </c>
      <c r="BC75" s="66">
        <v>85</v>
      </c>
      <c r="BD75" s="66">
        <v>106</v>
      </c>
      <c r="BE75" s="66">
        <v>210</v>
      </c>
      <c r="BF75" s="66">
        <v>0</v>
      </c>
      <c r="BG75" s="66">
        <v>189</v>
      </c>
      <c r="BH75" s="66">
        <v>132</v>
      </c>
      <c r="BI75" s="66">
        <v>176</v>
      </c>
      <c r="BJ75" s="66">
        <v>187</v>
      </c>
      <c r="BK75" s="66">
        <v>105</v>
      </c>
      <c r="BL75" s="66">
        <v>61</v>
      </c>
      <c r="BM75" s="66">
        <v>172</v>
      </c>
      <c r="BN75" s="66">
        <v>157</v>
      </c>
      <c r="BO75" s="66">
        <v>169</v>
      </c>
      <c r="BP75" s="66">
        <v>134</v>
      </c>
      <c r="BQ75" s="66">
        <v>93</v>
      </c>
      <c r="BR75" s="66">
        <v>120</v>
      </c>
      <c r="BS75" s="66">
        <v>361</v>
      </c>
      <c r="BT75" s="66">
        <v>174</v>
      </c>
      <c r="BU75" s="66">
        <v>103</v>
      </c>
      <c r="BV75" s="66">
        <v>117</v>
      </c>
      <c r="BW75" s="66">
        <v>110</v>
      </c>
      <c r="BX75" s="66">
        <v>127</v>
      </c>
      <c r="BY75" s="66">
        <v>253</v>
      </c>
      <c r="BZ75" s="66">
        <v>172</v>
      </c>
      <c r="CA75" s="66">
        <v>140</v>
      </c>
      <c r="CB75" s="66">
        <v>89</v>
      </c>
      <c r="CC75" s="66">
        <v>159</v>
      </c>
      <c r="CD75" s="66">
        <v>340</v>
      </c>
      <c r="CE75" s="66">
        <v>166</v>
      </c>
      <c r="CF75" s="66">
        <v>212</v>
      </c>
      <c r="CG75" s="66">
        <v>346</v>
      </c>
      <c r="CH75" s="66">
        <v>127</v>
      </c>
      <c r="CI75" s="66">
        <v>279</v>
      </c>
      <c r="CJ75" s="66">
        <v>191</v>
      </c>
      <c r="CK75" s="66">
        <v>469</v>
      </c>
      <c r="CL75" s="66">
        <v>301</v>
      </c>
      <c r="CM75" s="66">
        <v>304</v>
      </c>
      <c r="CN75" s="66">
        <v>283</v>
      </c>
      <c r="CO75" s="66">
        <v>139</v>
      </c>
      <c r="CP75" s="66">
        <v>161</v>
      </c>
      <c r="CQ75" s="66">
        <v>252</v>
      </c>
      <c r="CR75" s="66">
        <v>258</v>
      </c>
      <c r="CS75" s="66">
        <v>148</v>
      </c>
      <c r="CT75" s="66">
        <v>272</v>
      </c>
      <c r="CU75" s="66">
        <v>92</v>
      </c>
      <c r="CV75" s="66">
        <v>162</v>
      </c>
      <c r="CW75" s="66">
        <v>209</v>
      </c>
      <c r="CX75" s="66">
        <v>242</v>
      </c>
      <c r="CY75" s="66">
        <v>293</v>
      </c>
      <c r="CZ75" s="66">
        <v>410</v>
      </c>
      <c r="DA75" s="66">
        <v>427</v>
      </c>
    </row>
    <row r="76" spans="1:105" ht="15" x14ac:dyDescent="0.35">
      <c r="A76" s="5" t="s">
        <v>317</v>
      </c>
      <c r="B76" s="5" t="s">
        <v>491</v>
      </c>
      <c r="C76" s="66">
        <v>2</v>
      </c>
      <c r="D76" s="66">
        <v>4</v>
      </c>
      <c r="E76" s="66">
        <v>3</v>
      </c>
      <c r="F76" s="66">
        <v>0</v>
      </c>
      <c r="G76" s="66">
        <v>0</v>
      </c>
      <c r="H76" s="66">
        <v>7</v>
      </c>
      <c r="I76" s="66">
        <v>3</v>
      </c>
      <c r="J76" s="66">
        <v>23</v>
      </c>
      <c r="K76" s="66">
        <v>871</v>
      </c>
      <c r="L76" s="66">
        <v>46</v>
      </c>
      <c r="M76" s="66">
        <v>258</v>
      </c>
      <c r="N76" s="66">
        <v>123</v>
      </c>
      <c r="O76" s="66">
        <v>890</v>
      </c>
      <c r="P76" s="66">
        <v>136</v>
      </c>
      <c r="Q76" s="66">
        <v>444</v>
      </c>
      <c r="R76" s="66">
        <v>115</v>
      </c>
      <c r="S76" s="66">
        <v>64</v>
      </c>
      <c r="T76" s="66">
        <v>48</v>
      </c>
      <c r="U76" s="66">
        <v>677</v>
      </c>
      <c r="V76" s="66">
        <v>113</v>
      </c>
      <c r="W76" s="66">
        <v>261</v>
      </c>
      <c r="X76" s="66">
        <v>147</v>
      </c>
      <c r="Y76" s="66">
        <v>133</v>
      </c>
      <c r="Z76" s="66">
        <v>27</v>
      </c>
      <c r="AA76" s="66">
        <v>56</v>
      </c>
      <c r="AB76" s="66">
        <v>90</v>
      </c>
      <c r="AC76" s="66">
        <v>39</v>
      </c>
      <c r="AD76" s="66">
        <v>78</v>
      </c>
      <c r="AE76" s="66">
        <v>12</v>
      </c>
      <c r="AF76" s="66">
        <v>25</v>
      </c>
      <c r="AG76" s="66">
        <v>70</v>
      </c>
      <c r="AH76" s="66">
        <v>24</v>
      </c>
      <c r="AI76" s="66">
        <v>1</v>
      </c>
      <c r="AJ76" s="66">
        <v>0</v>
      </c>
      <c r="AK76" s="66">
        <v>0</v>
      </c>
      <c r="AL76" s="66">
        <v>0</v>
      </c>
      <c r="AM76" s="66">
        <v>653</v>
      </c>
      <c r="AN76" s="66">
        <v>471</v>
      </c>
      <c r="AO76" s="66">
        <v>259</v>
      </c>
      <c r="AP76" s="66">
        <v>74</v>
      </c>
      <c r="AQ76" s="66">
        <v>327</v>
      </c>
      <c r="AR76" s="66">
        <v>263</v>
      </c>
      <c r="AS76" s="66">
        <v>182</v>
      </c>
      <c r="AT76" s="66">
        <v>157</v>
      </c>
      <c r="AU76" s="66">
        <v>178</v>
      </c>
      <c r="AV76" s="66">
        <v>213</v>
      </c>
      <c r="AW76" s="66">
        <v>116</v>
      </c>
      <c r="AX76" s="66">
        <v>238</v>
      </c>
      <c r="AY76" s="66">
        <v>204</v>
      </c>
      <c r="AZ76" s="66">
        <v>468</v>
      </c>
      <c r="BA76" s="66">
        <v>391</v>
      </c>
      <c r="BB76" s="66">
        <v>142</v>
      </c>
      <c r="BC76" s="66">
        <v>238</v>
      </c>
      <c r="BD76" s="66">
        <v>285</v>
      </c>
      <c r="BE76" s="66">
        <v>0</v>
      </c>
      <c r="BF76" s="66">
        <v>0</v>
      </c>
      <c r="BG76" s="66">
        <v>151</v>
      </c>
      <c r="BH76" s="66">
        <v>82</v>
      </c>
      <c r="BI76" s="66">
        <v>91</v>
      </c>
      <c r="BJ76" s="66">
        <v>65</v>
      </c>
      <c r="BK76" s="66">
        <v>85</v>
      </c>
      <c r="BL76" s="66">
        <v>63</v>
      </c>
      <c r="BM76" s="66">
        <v>86</v>
      </c>
      <c r="BN76" s="66">
        <v>202</v>
      </c>
      <c r="BO76" s="66">
        <v>104</v>
      </c>
      <c r="BP76" s="66">
        <v>260</v>
      </c>
      <c r="BQ76" s="66">
        <v>244</v>
      </c>
      <c r="BR76" s="66">
        <v>124</v>
      </c>
      <c r="BS76" s="66">
        <v>118</v>
      </c>
      <c r="BT76" s="66">
        <v>221</v>
      </c>
      <c r="BU76" s="66">
        <v>381</v>
      </c>
      <c r="BV76" s="66">
        <v>43</v>
      </c>
      <c r="BW76" s="66">
        <v>104</v>
      </c>
      <c r="BX76" s="66">
        <v>248</v>
      </c>
      <c r="BY76" s="66">
        <v>320</v>
      </c>
      <c r="BZ76" s="66">
        <v>300</v>
      </c>
      <c r="CA76" s="66">
        <v>117</v>
      </c>
      <c r="CB76" s="66">
        <v>83</v>
      </c>
      <c r="CC76" s="66">
        <v>127</v>
      </c>
      <c r="CD76" s="66">
        <v>285</v>
      </c>
      <c r="CE76" s="66">
        <v>61</v>
      </c>
      <c r="CF76" s="66">
        <v>116</v>
      </c>
      <c r="CG76" s="66">
        <v>246</v>
      </c>
      <c r="CH76" s="66">
        <v>193</v>
      </c>
      <c r="CI76" s="66">
        <v>2</v>
      </c>
      <c r="CJ76" s="66">
        <v>0</v>
      </c>
      <c r="CK76" s="66">
        <v>1</v>
      </c>
      <c r="CL76" s="66">
        <v>0</v>
      </c>
      <c r="CM76" s="66">
        <v>0</v>
      </c>
      <c r="CN76" s="66">
        <v>0</v>
      </c>
      <c r="CO76" s="66">
        <v>25</v>
      </c>
      <c r="CP76" s="66">
        <v>744</v>
      </c>
      <c r="CQ76" s="66">
        <v>259</v>
      </c>
      <c r="CR76" s="66">
        <v>591</v>
      </c>
      <c r="CS76" s="66">
        <v>457</v>
      </c>
      <c r="CT76" s="66">
        <v>310</v>
      </c>
      <c r="CU76" s="66">
        <v>168</v>
      </c>
      <c r="CV76" s="66">
        <v>67</v>
      </c>
      <c r="CW76" s="66">
        <v>308</v>
      </c>
      <c r="CX76" s="66">
        <v>408</v>
      </c>
      <c r="CY76" s="66">
        <v>60</v>
      </c>
      <c r="CZ76" s="66">
        <v>192</v>
      </c>
      <c r="DA76" s="66">
        <v>12</v>
      </c>
    </row>
    <row r="77" spans="1:105" ht="15" x14ac:dyDescent="0.35">
      <c r="A77" s="5" t="s">
        <v>318</v>
      </c>
      <c r="B77" s="5" t="s">
        <v>492</v>
      </c>
      <c r="C77" s="66">
        <v>118</v>
      </c>
      <c r="D77" s="66">
        <v>198</v>
      </c>
      <c r="E77" s="66">
        <v>0</v>
      </c>
      <c r="F77" s="66">
        <v>0</v>
      </c>
      <c r="G77" s="66">
        <v>249</v>
      </c>
      <c r="H77" s="66">
        <v>24</v>
      </c>
      <c r="I77" s="66">
        <v>70</v>
      </c>
      <c r="J77" s="66">
        <v>55</v>
      </c>
      <c r="K77" s="66">
        <v>97</v>
      </c>
      <c r="L77" s="66">
        <v>23</v>
      </c>
      <c r="M77" s="66">
        <v>56</v>
      </c>
      <c r="N77" s="66">
        <v>148</v>
      </c>
      <c r="O77" s="66">
        <v>34</v>
      </c>
      <c r="P77" s="66">
        <v>50</v>
      </c>
      <c r="Q77" s="66">
        <v>69</v>
      </c>
      <c r="R77" s="66">
        <v>79</v>
      </c>
      <c r="S77" s="66">
        <v>32</v>
      </c>
      <c r="T77" s="66">
        <v>156</v>
      </c>
      <c r="U77" s="66">
        <v>40</v>
      </c>
      <c r="V77" s="66">
        <v>43</v>
      </c>
      <c r="W77" s="66">
        <v>85</v>
      </c>
      <c r="X77" s="66">
        <v>101</v>
      </c>
      <c r="Y77" s="66">
        <v>59</v>
      </c>
      <c r="Z77" s="66">
        <v>50</v>
      </c>
      <c r="AA77" s="66">
        <v>34</v>
      </c>
      <c r="AB77" s="66">
        <v>73</v>
      </c>
      <c r="AC77" s="66">
        <v>304</v>
      </c>
      <c r="AD77" s="66">
        <v>71</v>
      </c>
      <c r="AE77" s="66">
        <v>58</v>
      </c>
      <c r="AF77" s="66">
        <v>55</v>
      </c>
      <c r="AG77" s="66">
        <v>14</v>
      </c>
      <c r="AH77" s="66">
        <v>43</v>
      </c>
      <c r="AI77" s="66">
        <v>87</v>
      </c>
      <c r="AJ77" s="66">
        <v>166</v>
      </c>
      <c r="AK77" s="66">
        <v>106</v>
      </c>
      <c r="AL77" s="66">
        <v>42</v>
      </c>
      <c r="AM77" s="66">
        <v>41</v>
      </c>
      <c r="AN77" s="66">
        <v>148</v>
      </c>
      <c r="AO77" s="66">
        <v>70</v>
      </c>
      <c r="AP77" s="66">
        <v>39</v>
      </c>
      <c r="AQ77" s="66">
        <v>38</v>
      </c>
      <c r="AR77" s="66">
        <v>27</v>
      </c>
      <c r="AS77" s="66">
        <v>55</v>
      </c>
      <c r="AT77" s="66">
        <v>48</v>
      </c>
      <c r="AU77" s="66">
        <v>79</v>
      </c>
      <c r="AV77" s="66">
        <v>124</v>
      </c>
      <c r="AW77" s="66">
        <v>18</v>
      </c>
      <c r="AX77" s="66">
        <v>82</v>
      </c>
      <c r="AY77" s="66">
        <v>32</v>
      </c>
      <c r="AZ77" s="66">
        <v>65</v>
      </c>
      <c r="BA77" s="66">
        <v>37</v>
      </c>
      <c r="BB77" s="66">
        <v>38</v>
      </c>
      <c r="BC77" s="66">
        <v>94</v>
      </c>
      <c r="BD77" s="66">
        <v>49</v>
      </c>
      <c r="BE77" s="66">
        <v>0</v>
      </c>
      <c r="BF77" s="66">
        <v>0</v>
      </c>
      <c r="BG77" s="66">
        <v>14</v>
      </c>
      <c r="BH77" s="66">
        <v>21</v>
      </c>
      <c r="BI77" s="66">
        <v>16</v>
      </c>
      <c r="BJ77" s="66">
        <v>27</v>
      </c>
      <c r="BK77" s="66">
        <v>10</v>
      </c>
      <c r="BL77" s="66">
        <v>41</v>
      </c>
      <c r="BM77" s="66">
        <v>13</v>
      </c>
      <c r="BN77" s="66">
        <v>42</v>
      </c>
      <c r="BO77" s="66">
        <v>37</v>
      </c>
      <c r="BP77" s="66">
        <v>12</v>
      </c>
      <c r="BQ77" s="66">
        <v>34</v>
      </c>
      <c r="BR77" s="66">
        <v>31</v>
      </c>
      <c r="BS77" s="66">
        <v>49</v>
      </c>
      <c r="BT77" s="66">
        <v>21</v>
      </c>
      <c r="BU77" s="66">
        <v>25</v>
      </c>
      <c r="BV77" s="66">
        <v>14</v>
      </c>
      <c r="BW77" s="66">
        <v>9</v>
      </c>
      <c r="BX77" s="66">
        <v>20</v>
      </c>
      <c r="BY77" s="66">
        <v>26</v>
      </c>
      <c r="BZ77" s="66">
        <v>47</v>
      </c>
      <c r="CA77" s="66">
        <v>13</v>
      </c>
      <c r="CB77" s="66">
        <v>21</v>
      </c>
      <c r="CC77" s="66">
        <v>7</v>
      </c>
      <c r="CD77" s="66">
        <v>46</v>
      </c>
      <c r="CE77" s="66">
        <v>17</v>
      </c>
      <c r="CF77" s="66">
        <v>15</v>
      </c>
      <c r="CG77" s="66">
        <v>8</v>
      </c>
      <c r="CH77" s="66">
        <v>7</v>
      </c>
      <c r="CI77" s="66">
        <v>14</v>
      </c>
      <c r="CJ77" s="66">
        <v>225</v>
      </c>
      <c r="CK77" s="66">
        <v>41</v>
      </c>
      <c r="CL77" s="66">
        <v>32</v>
      </c>
      <c r="CM77" s="66">
        <v>43</v>
      </c>
      <c r="CN77" s="66">
        <v>18</v>
      </c>
      <c r="CO77" s="66">
        <v>17</v>
      </c>
      <c r="CP77" s="66">
        <v>5</v>
      </c>
      <c r="CQ77" s="66">
        <v>29</v>
      </c>
      <c r="CR77" s="66">
        <v>32</v>
      </c>
      <c r="CS77" s="66">
        <v>10</v>
      </c>
      <c r="CT77" s="66">
        <v>31</v>
      </c>
      <c r="CU77" s="66">
        <v>33</v>
      </c>
      <c r="CV77" s="66">
        <v>17</v>
      </c>
      <c r="CW77" s="66">
        <v>9</v>
      </c>
      <c r="CX77" s="66">
        <v>47</v>
      </c>
      <c r="CY77" s="66">
        <v>50</v>
      </c>
      <c r="CZ77" s="66">
        <v>6</v>
      </c>
      <c r="DA77" s="66">
        <v>109</v>
      </c>
    </row>
    <row r="78" spans="1:105" ht="15" x14ac:dyDescent="0.35">
      <c r="A78" s="5" t="s">
        <v>319</v>
      </c>
      <c r="B78" s="5" t="s">
        <v>493</v>
      </c>
      <c r="C78" s="66">
        <v>0</v>
      </c>
      <c r="D78" s="66">
        <v>0</v>
      </c>
      <c r="E78" s="66">
        <v>0</v>
      </c>
      <c r="F78" s="66">
        <v>0</v>
      </c>
      <c r="G78" s="66">
        <v>34</v>
      </c>
      <c r="H78" s="66">
        <v>127</v>
      </c>
      <c r="I78" s="66">
        <v>200</v>
      </c>
      <c r="J78" s="66">
        <v>87</v>
      </c>
      <c r="K78" s="66">
        <v>96</v>
      </c>
      <c r="L78" s="66">
        <v>135</v>
      </c>
      <c r="M78" s="66">
        <v>330</v>
      </c>
      <c r="N78" s="66">
        <v>187</v>
      </c>
      <c r="O78" s="66">
        <v>51</v>
      </c>
      <c r="P78" s="66">
        <v>69</v>
      </c>
      <c r="Q78" s="66">
        <v>38</v>
      </c>
      <c r="R78" s="66">
        <v>74</v>
      </c>
      <c r="S78" s="66">
        <v>101</v>
      </c>
      <c r="T78" s="66">
        <v>242</v>
      </c>
      <c r="U78" s="66">
        <v>41</v>
      </c>
      <c r="V78" s="66">
        <v>120</v>
      </c>
      <c r="W78" s="66">
        <v>125</v>
      </c>
      <c r="X78" s="66">
        <v>316</v>
      </c>
      <c r="Y78" s="66">
        <v>29</v>
      </c>
      <c r="Z78" s="66">
        <v>156</v>
      </c>
      <c r="AA78" s="66">
        <v>100</v>
      </c>
      <c r="AB78" s="66">
        <v>43</v>
      </c>
      <c r="AC78" s="66">
        <v>103</v>
      </c>
      <c r="AD78" s="66">
        <v>181</v>
      </c>
      <c r="AE78" s="66">
        <v>93</v>
      </c>
      <c r="AF78" s="66">
        <v>173</v>
      </c>
      <c r="AG78" s="66">
        <v>67</v>
      </c>
      <c r="AH78" s="66">
        <v>93</v>
      </c>
      <c r="AI78" s="66">
        <v>149</v>
      </c>
      <c r="AJ78" s="66">
        <v>56</v>
      </c>
      <c r="AK78" s="66">
        <v>180</v>
      </c>
      <c r="AL78" s="66">
        <v>398</v>
      </c>
      <c r="AM78" s="66">
        <v>247</v>
      </c>
      <c r="AN78" s="66">
        <v>214</v>
      </c>
      <c r="AO78" s="66">
        <v>90</v>
      </c>
      <c r="AP78" s="66">
        <v>86</v>
      </c>
      <c r="AQ78" s="66">
        <v>2</v>
      </c>
      <c r="AR78" s="66">
        <v>0</v>
      </c>
      <c r="AS78" s="66">
        <v>0</v>
      </c>
      <c r="AT78" s="66">
        <v>127</v>
      </c>
      <c r="AU78" s="66">
        <v>219</v>
      </c>
      <c r="AV78" s="66">
        <v>60</v>
      </c>
      <c r="AW78" s="66">
        <v>51</v>
      </c>
      <c r="AX78" s="66">
        <v>261</v>
      </c>
      <c r="AY78" s="66">
        <v>223</v>
      </c>
      <c r="AZ78" s="66">
        <v>114</v>
      </c>
      <c r="BA78" s="66">
        <v>76</v>
      </c>
      <c r="BB78" s="66">
        <v>227</v>
      </c>
      <c r="BC78" s="66">
        <v>1536</v>
      </c>
      <c r="BD78" s="66">
        <v>196</v>
      </c>
      <c r="BE78" s="66">
        <v>20</v>
      </c>
      <c r="BF78" s="66">
        <v>0</v>
      </c>
      <c r="BG78" s="66">
        <v>39</v>
      </c>
      <c r="BH78" s="66">
        <v>113</v>
      </c>
      <c r="BI78" s="66">
        <v>246</v>
      </c>
      <c r="BJ78" s="66">
        <v>51</v>
      </c>
      <c r="BK78" s="66">
        <v>45</v>
      </c>
      <c r="BL78" s="66">
        <v>59</v>
      </c>
      <c r="BM78" s="66">
        <v>42</v>
      </c>
      <c r="BN78" s="66">
        <v>155</v>
      </c>
      <c r="BO78" s="66">
        <v>96</v>
      </c>
      <c r="BP78" s="66">
        <v>26</v>
      </c>
      <c r="BQ78" s="66">
        <v>126</v>
      </c>
      <c r="BR78" s="66">
        <v>168</v>
      </c>
      <c r="BS78" s="66">
        <v>215</v>
      </c>
      <c r="BT78" s="66">
        <v>0</v>
      </c>
      <c r="BU78" s="66">
        <v>54</v>
      </c>
      <c r="BV78" s="66">
        <v>35</v>
      </c>
      <c r="BW78" s="66">
        <v>76</v>
      </c>
      <c r="BX78" s="66">
        <v>58</v>
      </c>
      <c r="BY78" s="66">
        <v>335</v>
      </c>
      <c r="BZ78" s="66">
        <v>47</v>
      </c>
      <c r="CA78" s="66">
        <v>127</v>
      </c>
      <c r="CB78" s="66">
        <v>81</v>
      </c>
      <c r="CC78" s="66">
        <v>81</v>
      </c>
      <c r="CD78" s="66">
        <v>151</v>
      </c>
      <c r="CE78" s="66">
        <v>72</v>
      </c>
      <c r="CF78" s="66">
        <v>219</v>
      </c>
      <c r="CG78" s="66">
        <v>71</v>
      </c>
      <c r="CH78" s="66">
        <v>71</v>
      </c>
      <c r="CI78" s="66">
        <v>56</v>
      </c>
      <c r="CJ78" s="66">
        <v>59</v>
      </c>
      <c r="CK78" s="66">
        <v>72</v>
      </c>
      <c r="CL78" s="66">
        <v>144</v>
      </c>
      <c r="CM78" s="66">
        <v>52</v>
      </c>
      <c r="CN78" s="66">
        <v>111</v>
      </c>
      <c r="CO78" s="66">
        <v>97</v>
      </c>
      <c r="CP78" s="66">
        <v>42</v>
      </c>
      <c r="CQ78" s="66">
        <v>32</v>
      </c>
      <c r="CR78" s="66">
        <v>125</v>
      </c>
      <c r="CS78" s="66">
        <v>157</v>
      </c>
      <c r="CT78" s="66">
        <v>30</v>
      </c>
      <c r="CU78" s="66">
        <v>112</v>
      </c>
      <c r="CV78" s="66">
        <v>132</v>
      </c>
      <c r="CW78" s="66">
        <v>94</v>
      </c>
      <c r="CX78" s="66">
        <v>94</v>
      </c>
      <c r="CY78" s="66">
        <v>74</v>
      </c>
      <c r="CZ78" s="66">
        <v>69</v>
      </c>
      <c r="DA78" s="66">
        <v>244</v>
      </c>
    </row>
    <row r="79" spans="1:105" ht="15" x14ac:dyDescent="0.35">
      <c r="A79" s="5" t="s">
        <v>320</v>
      </c>
      <c r="B79" s="5" t="s">
        <v>494</v>
      </c>
      <c r="C79" s="66">
        <v>365</v>
      </c>
      <c r="D79" s="66">
        <v>372</v>
      </c>
      <c r="E79" s="66">
        <v>54</v>
      </c>
      <c r="F79" s="66">
        <v>0</v>
      </c>
      <c r="G79" s="66">
        <v>119</v>
      </c>
      <c r="H79" s="66">
        <v>182</v>
      </c>
      <c r="I79" s="66">
        <v>100</v>
      </c>
      <c r="J79" s="66">
        <v>106</v>
      </c>
      <c r="K79" s="66">
        <v>140</v>
      </c>
      <c r="L79" s="66">
        <v>41</v>
      </c>
      <c r="M79" s="66">
        <v>87</v>
      </c>
      <c r="N79" s="66">
        <v>47</v>
      </c>
      <c r="O79" s="66">
        <v>24</v>
      </c>
      <c r="P79" s="66">
        <v>13</v>
      </c>
      <c r="Q79" s="66">
        <v>9</v>
      </c>
      <c r="R79" s="66">
        <v>11</v>
      </c>
      <c r="S79" s="66">
        <v>8</v>
      </c>
      <c r="T79" s="66">
        <v>6</v>
      </c>
      <c r="U79" s="66">
        <v>6</v>
      </c>
      <c r="V79" s="66">
        <v>47</v>
      </c>
      <c r="W79" s="66">
        <v>5</v>
      </c>
      <c r="X79" s="66">
        <v>1</v>
      </c>
      <c r="Y79" s="66">
        <v>8</v>
      </c>
      <c r="Z79" s="66">
        <v>17</v>
      </c>
      <c r="AA79" s="66">
        <v>1</v>
      </c>
      <c r="AB79" s="66">
        <v>2</v>
      </c>
      <c r="AC79" s="66">
        <v>2</v>
      </c>
      <c r="AD79" s="66">
        <v>0</v>
      </c>
      <c r="AE79" s="66">
        <v>0</v>
      </c>
      <c r="AF79" s="66">
        <v>9</v>
      </c>
      <c r="AG79" s="66">
        <v>28</v>
      </c>
      <c r="AH79" s="66">
        <v>0</v>
      </c>
      <c r="AI79" s="66">
        <v>10</v>
      </c>
      <c r="AJ79" s="66">
        <v>7</v>
      </c>
      <c r="AK79" s="66">
        <v>11</v>
      </c>
      <c r="AL79" s="66">
        <v>22</v>
      </c>
      <c r="AM79" s="66">
        <v>58</v>
      </c>
      <c r="AN79" s="66">
        <v>15</v>
      </c>
      <c r="AO79" s="66">
        <v>16</v>
      </c>
      <c r="AP79" s="66">
        <v>33</v>
      </c>
      <c r="AQ79" s="66">
        <v>56</v>
      </c>
      <c r="AR79" s="66">
        <v>74</v>
      </c>
      <c r="AS79" s="66">
        <v>162</v>
      </c>
      <c r="AT79" s="66">
        <v>176</v>
      </c>
      <c r="AU79" s="66">
        <v>132</v>
      </c>
      <c r="AV79" s="66">
        <v>92</v>
      </c>
      <c r="AW79" s="66">
        <v>113</v>
      </c>
      <c r="AX79" s="66">
        <v>257</v>
      </c>
      <c r="AY79" s="66">
        <v>153</v>
      </c>
      <c r="AZ79" s="66">
        <v>233</v>
      </c>
      <c r="BA79" s="66">
        <v>375</v>
      </c>
      <c r="BB79" s="66">
        <v>196</v>
      </c>
      <c r="BC79" s="66">
        <v>187</v>
      </c>
      <c r="BD79" s="66">
        <v>249</v>
      </c>
      <c r="BE79" s="66">
        <v>87</v>
      </c>
      <c r="BF79" s="66">
        <v>0</v>
      </c>
      <c r="BG79" s="66">
        <v>87</v>
      </c>
      <c r="BH79" s="66">
        <v>90</v>
      </c>
      <c r="BI79" s="66">
        <v>73</v>
      </c>
      <c r="BJ79" s="66">
        <v>20</v>
      </c>
      <c r="BK79" s="66">
        <v>33</v>
      </c>
      <c r="BL79" s="66">
        <v>41</v>
      </c>
      <c r="BM79" s="66">
        <v>10</v>
      </c>
      <c r="BN79" s="66">
        <v>38</v>
      </c>
      <c r="BO79" s="66">
        <v>30</v>
      </c>
      <c r="BP79" s="66">
        <v>5</v>
      </c>
      <c r="BQ79" s="66">
        <v>3</v>
      </c>
      <c r="BR79" s="66">
        <v>4</v>
      </c>
      <c r="BS79" s="66">
        <v>4</v>
      </c>
      <c r="BT79" s="66">
        <v>5</v>
      </c>
      <c r="BU79" s="66">
        <v>4</v>
      </c>
      <c r="BV79" s="66">
        <v>1</v>
      </c>
      <c r="BW79" s="66">
        <v>1</v>
      </c>
      <c r="BX79" s="66">
        <v>3</v>
      </c>
      <c r="BY79" s="66">
        <v>1</v>
      </c>
      <c r="BZ79" s="66">
        <v>30</v>
      </c>
      <c r="CA79" s="66">
        <v>1</v>
      </c>
      <c r="CB79" s="66">
        <v>1</v>
      </c>
      <c r="CC79" s="66">
        <v>15</v>
      </c>
      <c r="CD79" s="66">
        <v>7</v>
      </c>
      <c r="CE79" s="66">
        <v>0</v>
      </c>
      <c r="CF79" s="66">
        <v>0</v>
      </c>
      <c r="CG79" s="66">
        <v>7</v>
      </c>
      <c r="CH79" s="66">
        <v>5</v>
      </c>
      <c r="CI79" s="66">
        <v>77</v>
      </c>
      <c r="CJ79" s="66">
        <v>51</v>
      </c>
      <c r="CK79" s="66">
        <v>14</v>
      </c>
      <c r="CL79" s="66">
        <v>15</v>
      </c>
      <c r="CM79" s="66">
        <v>12</v>
      </c>
      <c r="CN79" s="66">
        <v>45</v>
      </c>
      <c r="CO79" s="66">
        <v>38</v>
      </c>
      <c r="CP79" s="66">
        <v>45</v>
      </c>
      <c r="CQ79" s="66">
        <v>129</v>
      </c>
      <c r="CR79" s="66">
        <v>569</v>
      </c>
      <c r="CS79" s="66">
        <v>136</v>
      </c>
      <c r="CT79" s="66">
        <v>44</v>
      </c>
      <c r="CU79" s="66">
        <v>81</v>
      </c>
      <c r="CV79" s="66">
        <v>68</v>
      </c>
      <c r="CW79" s="66">
        <v>74</v>
      </c>
      <c r="CX79" s="66">
        <v>160</v>
      </c>
      <c r="CY79" s="66">
        <v>173</v>
      </c>
      <c r="CZ79" s="66">
        <v>252</v>
      </c>
      <c r="DA79" s="66">
        <v>151</v>
      </c>
    </row>
    <row r="80" spans="1:105" ht="15" x14ac:dyDescent="0.35">
      <c r="A80" s="5" t="s">
        <v>321</v>
      </c>
      <c r="B80" s="5" t="s">
        <v>495</v>
      </c>
      <c r="C80" s="66">
        <v>92</v>
      </c>
      <c r="D80" s="66">
        <v>66</v>
      </c>
      <c r="E80" s="66">
        <v>9</v>
      </c>
      <c r="F80" s="66">
        <v>0</v>
      </c>
      <c r="G80" s="66">
        <v>74</v>
      </c>
      <c r="H80" s="66">
        <v>100</v>
      </c>
      <c r="I80" s="66">
        <v>61</v>
      </c>
      <c r="J80" s="66">
        <v>35</v>
      </c>
      <c r="K80" s="66">
        <v>44</v>
      </c>
      <c r="L80" s="66">
        <v>40</v>
      </c>
      <c r="M80" s="66">
        <v>41</v>
      </c>
      <c r="N80" s="66">
        <v>62</v>
      </c>
      <c r="O80" s="66">
        <v>39</v>
      </c>
      <c r="P80" s="66">
        <v>56</v>
      </c>
      <c r="Q80" s="66">
        <v>62</v>
      </c>
      <c r="R80" s="66">
        <v>61</v>
      </c>
      <c r="S80" s="66">
        <v>58</v>
      </c>
      <c r="T80" s="66">
        <v>25</v>
      </c>
      <c r="U80" s="66">
        <v>42</v>
      </c>
      <c r="V80" s="66">
        <v>107</v>
      </c>
      <c r="W80" s="66">
        <v>29</v>
      </c>
      <c r="X80" s="66">
        <v>18</v>
      </c>
      <c r="Y80" s="66">
        <v>71</v>
      </c>
      <c r="Z80" s="66">
        <v>31</v>
      </c>
      <c r="AA80" s="66">
        <v>12</v>
      </c>
      <c r="AB80" s="66">
        <v>16</v>
      </c>
      <c r="AC80" s="66">
        <v>62</v>
      </c>
      <c r="AD80" s="66">
        <v>24</v>
      </c>
      <c r="AE80" s="66">
        <v>18</v>
      </c>
      <c r="AF80" s="66">
        <v>24</v>
      </c>
      <c r="AG80" s="66">
        <v>88</v>
      </c>
      <c r="AH80" s="66">
        <v>35</v>
      </c>
      <c r="AI80" s="66">
        <v>21</v>
      </c>
      <c r="AJ80" s="66">
        <v>16</v>
      </c>
      <c r="AK80" s="66">
        <v>33</v>
      </c>
      <c r="AL80" s="66">
        <v>25</v>
      </c>
      <c r="AM80" s="66">
        <v>18</v>
      </c>
      <c r="AN80" s="66">
        <v>37</v>
      </c>
      <c r="AO80" s="66">
        <v>48</v>
      </c>
      <c r="AP80" s="66">
        <v>20</v>
      </c>
      <c r="AQ80" s="66">
        <v>42</v>
      </c>
      <c r="AR80" s="66">
        <v>157</v>
      </c>
      <c r="AS80" s="66">
        <v>45</v>
      </c>
      <c r="AT80" s="66">
        <v>55</v>
      </c>
      <c r="AU80" s="66">
        <v>37</v>
      </c>
      <c r="AV80" s="66">
        <v>51</v>
      </c>
      <c r="AW80" s="66">
        <v>73</v>
      </c>
      <c r="AX80" s="66">
        <v>62</v>
      </c>
      <c r="AY80" s="66">
        <v>47</v>
      </c>
      <c r="AZ80" s="66">
        <v>52</v>
      </c>
      <c r="BA80" s="66">
        <v>88</v>
      </c>
      <c r="BB80" s="66">
        <v>82</v>
      </c>
      <c r="BC80" s="66">
        <v>66</v>
      </c>
      <c r="BD80" s="66">
        <v>93</v>
      </c>
      <c r="BE80" s="66">
        <v>1</v>
      </c>
      <c r="BF80" s="66">
        <v>0</v>
      </c>
      <c r="BG80" s="66">
        <v>50</v>
      </c>
      <c r="BH80" s="66">
        <v>16</v>
      </c>
      <c r="BI80" s="66">
        <v>49</v>
      </c>
      <c r="BJ80" s="66">
        <v>41</v>
      </c>
      <c r="BK80" s="66">
        <v>14</v>
      </c>
      <c r="BL80" s="66">
        <v>3</v>
      </c>
      <c r="BM80" s="66">
        <v>19</v>
      </c>
      <c r="BN80" s="66">
        <v>54</v>
      </c>
      <c r="BO80" s="66">
        <v>16</v>
      </c>
      <c r="BP80" s="66">
        <v>54</v>
      </c>
      <c r="BQ80" s="66">
        <v>46</v>
      </c>
      <c r="BR80" s="66">
        <v>24</v>
      </c>
      <c r="BS80" s="66">
        <v>14</v>
      </c>
      <c r="BT80" s="66">
        <v>34</v>
      </c>
      <c r="BU80" s="66">
        <v>48</v>
      </c>
      <c r="BV80" s="66">
        <v>32</v>
      </c>
      <c r="BW80" s="66">
        <v>26</v>
      </c>
      <c r="BX80" s="66">
        <v>37</v>
      </c>
      <c r="BY80" s="66">
        <v>12</v>
      </c>
      <c r="BZ80" s="66">
        <v>51</v>
      </c>
      <c r="CA80" s="66">
        <v>36</v>
      </c>
      <c r="CB80" s="66">
        <v>46</v>
      </c>
      <c r="CC80" s="66">
        <v>39</v>
      </c>
      <c r="CD80" s="66">
        <v>10</v>
      </c>
      <c r="CE80" s="66">
        <v>43</v>
      </c>
      <c r="CF80" s="66">
        <v>14</v>
      </c>
      <c r="CG80" s="66">
        <v>13</v>
      </c>
      <c r="CH80" s="66">
        <v>39</v>
      </c>
      <c r="CI80" s="66">
        <v>43</v>
      </c>
      <c r="CJ80" s="66">
        <v>43</v>
      </c>
      <c r="CK80" s="66">
        <v>39</v>
      </c>
      <c r="CL80" s="66">
        <v>34</v>
      </c>
      <c r="CM80" s="66">
        <v>66</v>
      </c>
      <c r="CN80" s="66">
        <v>36</v>
      </c>
      <c r="CO80" s="66">
        <v>46</v>
      </c>
      <c r="CP80" s="66">
        <v>42</v>
      </c>
      <c r="CQ80" s="66">
        <v>43</v>
      </c>
      <c r="CR80" s="66">
        <v>57</v>
      </c>
      <c r="CS80" s="66">
        <v>17</v>
      </c>
      <c r="CT80" s="66">
        <v>23</v>
      </c>
      <c r="CU80" s="66">
        <v>35</v>
      </c>
      <c r="CV80" s="66">
        <v>41</v>
      </c>
      <c r="CW80" s="66">
        <v>39</v>
      </c>
      <c r="CX80" s="66">
        <v>43</v>
      </c>
      <c r="CY80" s="66">
        <v>52</v>
      </c>
      <c r="CZ80" s="66">
        <v>62</v>
      </c>
      <c r="DA80" s="66">
        <v>71</v>
      </c>
    </row>
    <row r="81" spans="1:105" ht="15" x14ac:dyDescent="0.35">
      <c r="A81" s="5" t="s">
        <v>322</v>
      </c>
      <c r="B81" s="5" t="s">
        <v>496</v>
      </c>
      <c r="C81" s="66">
        <v>0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75</v>
      </c>
      <c r="K81" s="66">
        <v>96</v>
      </c>
      <c r="L81" s="66">
        <v>140</v>
      </c>
      <c r="M81" s="66">
        <v>547</v>
      </c>
      <c r="N81" s="66">
        <v>131</v>
      </c>
      <c r="O81" s="66">
        <v>180</v>
      </c>
      <c r="P81" s="66">
        <v>320</v>
      </c>
      <c r="Q81" s="66">
        <v>180</v>
      </c>
      <c r="R81" s="66">
        <v>161</v>
      </c>
      <c r="S81" s="66">
        <v>226</v>
      </c>
      <c r="T81" s="66">
        <v>305</v>
      </c>
      <c r="U81" s="66">
        <v>175</v>
      </c>
      <c r="V81" s="66">
        <v>121</v>
      </c>
      <c r="W81" s="66">
        <v>358</v>
      </c>
      <c r="X81" s="66">
        <v>412</v>
      </c>
      <c r="Y81" s="66">
        <v>200</v>
      </c>
      <c r="Z81" s="66">
        <v>150</v>
      </c>
      <c r="AA81" s="66">
        <v>199</v>
      </c>
      <c r="AB81" s="66">
        <v>277</v>
      </c>
      <c r="AC81" s="66">
        <v>352</v>
      </c>
      <c r="AD81" s="66">
        <v>235</v>
      </c>
      <c r="AE81" s="66">
        <v>351</v>
      </c>
      <c r="AF81" s="66">
        <v>285</v>
      </c>
      <c r="AG81" s="66">
        <v>217</v>
      </c>
      <c r="AH81" s="66">
        <v>271</v>
      </c>
      <c r="AI81" s="66">
        <v>453</v>
      </c>
      <c r="AJ81" s="66">
        <v>297</v>
      </c>
      <c r="AK81" s="66">
        <v>336</v>
      </c>
      <c r="AL81" s="66">
        <v>354</v>
      </c>
      <c r="AM81" s="66">
        <v>313</v>
      </c>
      <c r="AN81" s="66">
        <v>187</v>
      </c>
      <c r="AO81" s="66">
        <v>260</v>
      </c>
      <c r="AP81" s="66">
        <v>359</v>
      </c>
      <c r="AQ81" s="66">
        <v>104</v>
      </c>
      <c r="AR81" s="66">
        <v>201</v>
      </c>
      <c r="AS81" s="66">
        <v>198</v>
      </c>
      <c r="AT81" s="66">
        <v>74</v>
      </c>
      <c r="AU81" s="66">
        <v>246</v>
      </c>
      <c r="AV81" s="66">
        <v>69</v>
      </c>
      <c r="AW81" s="66">
        <v>245</v>
      </c>
      <c r="AX81" s="66">
        <v>116</v>
      </c>
      <c r="AY81" s="66">
        <v>103</v>
      </c>
      <c r="AZ81" s="66">
        <v>99</v>
      </c>
      <c r="BA81" s="66">
        <v>138</v>
      </c>
      <c r="BB81" s="66">
        <v>170</v>
      </c>
      <c r="BC81" s="66">
        <v>103</v>
      </c>
      <c r="BD81" s="66">
        <v>100</v>
      </c>
      <c r="BE81" s="66">
        <v>2</v>
      </c>
      <c r="BF81" s="66">
        <v>0</v>
      </c>
      <c r="BG81" s="66">
        <v>69</v>
      </c>
      <c r="BH81" s="66">
        <v>72</v>
      </c>
      <c r="BI81" s="66">
        <v>53</v>
      </c>
      <c r="BJ81" s="66">
        <v>244</v>
      </c>
      <c r="BK81" s="66">
        <v>202</v>
      </c>
      <c r="BL81" s="66">
        <v>45</v>
      </c>
      <c r="BM81" s="66">
        <v>113</v>
      </c>
      <c r="BN81" s="66">
        <v>205</v>
      </c>
      <c r="BO81" s="66">
        <v>191</v>
      </c>
      <c r="BP81" s="66">
        <v>138</v>
      </c>
      <c r="BQ81" s="66">
        <v>130</v>
      </c>
      <c r="BR81" s="66">
        <v>157</v>
      </c>
      <c r="BS81" s="66">
        <v>459</v>
      </c>
      <c r="BT81" s="66">
        <v>131</v>
      </c>
      <c r="BU81" s="66">
        <v>136</v>
      </c>
      <c r="BV81" s="66">
        <v>179</v>
      </c>
      <c r="BW81" s="66">
        <v>37</v>
      </c>
      <c r="BX81" s="66">
        <v>177</v>
      </c>
      <c r="BY81" s="66">
        <v>571</v>
      </c>
      <c r="BZ81" s="66">
        <v>208</v>
      </c>
      <c r="CA81" s="66">
        <v>140</v>
      </c>
      <c r="CB81" s="66">
        <v>150</v>
      </c>
      <c r="CC81" s="66">
        <v>255</v>
      </c>
      <c r="CD81" s="66">
        <v>313</v>
      </c>
      <c r="CE81" s="66">
        <v>294</v>
      </c>
      <c r="CF81" s="66">
        <v>333</v>
      </c>
      <c r="CG81" s="66">
        <v>318</v>
      </c>
      <c r="CH81" s="66">
        <v>221</v>
      </c>
      <c r="CI81" s="66">
        <v>512</v>
      </c>
      <c r="CJ81" s="66">
        <v>437</v>
      </c>
      <c r="CK81" s="66">
        <v>253</v>
      </c>
      <c r="CL81" s="66">
        <v>488</v>
      </c>
      <c r="CM81" s="66">
        <v>292</v>
      </c>
      <c r="CN81" s="66">
        <v>283</v>
      </c>
      <c r="CO81" s="66">
        <v>120</v>
      </c>
      <c r="CP81" s="66">
        <v>209</v>
      </c>
      <c r="CQ81" s="66">
        <v>136</v>
      </c>
      <c r="CR81" s="66">
        <v>234</v>
      </c>
      <c r="CS81" s="66">
        <v>114</v>
      </c>
      <c r="CT81" s="66">
        <v>52</v>
      </c>
      <c r="CU81" s="66">
        <v>67</v>
      </c>
      <c r="CV81" s="66">
        <v>93</v>
      </c>
      <c r="CW81" s="66">
        <v>127</v>
      </c>
      <c r="CX81" s="66">
        <v>278</v>
      </c>
      <c r="CY81" s="66">
        <v>135</v>
      </c>
      <c r="CZ81" s="66">
        <v>256</v>
      </c>
      <c r="DA81" s="66">
        <v>137</v>
      </c>
    </row>
    <row r="82" spans="1:105" ht="15" x14ac:dyDescent="0.35">
      <c r="A82" s="5" t="s">
        <v>323</v>
      </c>
      <c r="B82" s="5" t="s">
        <v>497</v>
      </c>
      <c r="C82" s="66">
        <v>69</v>
      </c>
      <c r="D82" s="66">
        <v>373</v>
      </c>
      <c r="E82" s="66">
        <v>12</v>
      </c>
      <c r="F82" s="66">
        <v>0</v>
      </c>
      <c r="G82" s="66">
        <v>41</v>
      </c>
      <c r="H82" s="66">
        <v>184</v>
      </c>
      <c r="I82" s="66">
        <v>37</v>
      </c>
      <c r="J82" s="66">
        <v>199</v>
      </c>
      <c r="K82" s="66">
        <v>36</v>
      </c>
      <c r="L82" s="66">
        <v>160</v>
      </c>
      <c r="M82" s="66">
        <v>72</v>
      </c>
      <c r="N82" s="66">
        <v>127</v>
      </c>
      <c r="O82" s="66">
        <v>66</v>
      </c>
      <c r="P82" s="66">
        <v>38</v>
      </c>
      <c r="Q82" s="66">
        <v>81</v>
      </c>
      <c r="R82" s="66">
        <v>78</v>
      </c>
      <c r="S82" s="66">
        <v>26</v>
      </c>
      <c r="T82" s="66">
        <v>61</v>
      </c>
      <c r="U82" s="66">
        <v>48</v>
      </c>
      <c r="V82" s="66">
        <v>124</v>
      </c>
      <c r="W82" s="66">
        <v>137</v>
      </c>
      <c r="X82" s="66">
        <v>200</v>
      </c>
      <c r="Y82" s="66">
        <v>35</v>
      </c>
      <c r="Z82" s="66">
        <v>64</v>
      </c>
      <c r="AA82" s="66">
        <v>73</v>
      </c>
      <c r="AB82" s="66">
        <v>52</v>
      </c>
      <c r="AC82" s="66">
        <v>346</v>
      </c>
      <c r="AD82" s="66">
        <v>33</v>
      </c>
      <c r="AE82" s="66">
        <v>49</v>
      </c>
      <c r="AF82" s="66">
        <v>75</v>
      </c>
      <c r="AG82" s="66">
        <v>132</v>
      </c>
      <c r="AH82" s="66">
        <v>86</v>
      </c>
      <c r="AI82" s="66">
        <v>41</v>
      </c>
      <c r="AJ82" s="66">
        <v>114</v>
      </c>
      <c r="AK82" s="66">
        <v>26</v>
      </c>
      <c r="AL82" s="66">
        <v>11</v>
      </c>
      <c r="AM82" s="66">
        <v>137</v>
      </c>
      <c r="AN82" s="66">
        <v>29</v>
      </c>
      <c r="AO82" s="66">
        <v>41</v>
      </c>
      <c r="AP82" s="66">
        <v>54</v>
      </c>
      <c r="AQ82" s="66">
        <v>48</v>
      </c>
      <c r="AR82" s="66">
        <v>85</v>
      </c>
      <c r="AS82" s="66">
        <v>431</v>
      </c>
      <c r="AT82" s="66">
        <v>55</v>
      </c>
      <c r="AU82" s="66">
        <v>112</v>
      </c>
      <c r="AV82" s="66">
        <v>70</v>
      </c>
      <c r="AW82" s="66">
        <v>126</v>
      </c>
      <c r="AX82" s="66">
        <v>65</v>
      </c>
      <c r="AY82" s="66">
        <v>86</v>
      </c>
      <c r="AZ82" s="66">
        <v>87</v>
      </c>
      <c r="BA82" s="66">
        <v>59</v>
      </c>
      <c r="BB82" s="66">
        <v>129</v>
      </c>
      <c r="BC82" s="66">
        <v>40</v>
      </c>
      <c r="BD82" s="66">
        <v>40</v>
      </c>
      <c r="BE82" s="66">
        <v>76</v>
      </c>
      <c r="BF82" s="66">
        <v>0</v>
      </c>
      <c r="BG82" s="66">
        <v>26</v>
      </c>
      <c r="BH82" s="66">
        <v>399</v>
      </c>
      <c r="BI82" s="66">
        <v>170</v>
      </c>
      <c r="BJ82" s="66">
        <v>86</v>
      </c>
      <c r="BK82" s="66">
        <v>47</v>
      </c>
      <c r="BL82" s="66">
        <v>38</v>
      </c>
      <c r="BM82" s="66">
        <v>168</v>
      </c>
      <c r="BN82" s="66">
        <v>25</v>
      </c>
      <c r="BO82" s="66">
        <v>23</v>
      </c>
      <c r="BP82" s="66">
        <v>31</v>
      </c>
      <c r="BQ82" s="66">
        <v>12</v>
      </c>
      <c r="BR82" s="66">
        <v>0</v>
      </c>
      <c r="BS82" s="66">
        <v>8</v>
      </c>
      <c r="BT82" s="66">
        <v>84</v>
      </c>
      <c r="BU82" s="66">
        <v>24</v>
      </c>
      <c r="BV82" s="66">
        <v>67</v>
      </c>
      <c r="BW82" s="66">
        <v>16</v>
      </c>
      <c r="BX82" s="66">
        <v>109</v>
      </c>
      <c r="BY82" s="66">
        <v>102</v>
      </c>
      <c r="BZ82" s="66">
        <v>120</v>
      </c>
      <c r="CA82" s="66">
        <v>28</v>
      </c>
      <c r="CB82" s="66">
        <v>18</v>
      </c>
      <c r="CC82" s="66">
        <v>44</v>
      </c>
      <c r="CD82" s="66">
        <v>33</v>
      </c>
      <c r="CE82" s="66">
        <v>31</v>
      </c>
      <c r="CF82" s="66">
        <v>4</v>
      </c>
      <c r="CG82" s="66">
        <v>380</v>
      </c>
      <c r="CH82" s="66">
        <v>28</v>
      </c>
      <c r="CI82" s="66">
        <v>138</v>
      </c>
      <c r="CJ82" s="66">
        <v>83</v>
      </c>
      <c r="CK82" s="66">
        <v>73</v>
      </c>
      <c r="CL82" s="66">
        <v>39</v>
      </c>
      <c r="CM82" s="66">
        <v>14</v>
      </c>
      <c r="CN82" s="66">
        <v>61</v>
      </c>
      <c r="CO82" s="66">
        <v>17</v>
      </c>
      <c r="CP82" s="66">
        <v>16</v>
      </c>
      <c r="CQ82" s="66">
        <v>40</v>
      </c>
      <c r="CR82" s="66">
        <v>103</v>
      </c>
      <c r="CS82" s="66">
        <v>86</v>
      </c>
      <c r="CT82" s="66">
        <v>133</v>
      </c>
      <c r="CU82" s="66">
        <v>77</v>
      </c>
      <c r="CV82" s="66">
        <v>51</v>
      </c>
      <c r="CW82" s="66">
        <v>42</v>
      </c>
      <c r="CX82" s="66">
        <v>179</v>
      </c>
      <c r="CY82" s="66">
        <v>24</v>
      </c>
      <c r="CZ82" s="66">
        <v>132</v>
      </c>
      <c r="DA82" s="66">
        <v>313</v>
      </c>
    </row>
    <row r="83" spans="1:105" ht="15" x14ac:dyDescent="0.35">
      <c r="A83" s="5" t="s">
        <v>324</v>
      </c>
      <c r="B83" s="5" t="s">
        <v>498</v>
      </c>
      <c r="C83" s="66">
        <v>0</v>
      </c>
      <c r="D83" s="66">
        <v>0</v>
      </c>
      <c r="E83" s="66">
        <v>0</v>
      </c>
      <c r="F83" s="66">
        <v>0</v>
      </c>
      <c r="G83" s="66">
        <v>0</v>
      </c>
      <c r="H83" s="66">
        <v>0</v>
      </c>
      <c r="I83" s="66">
        <v>0</v>
      </c>
      <c r="J83" s="66">
        <v>0</v>
      </c>
      <c r="K83" s="66">
        <v>0</v>
      </c>
      <c r="L83" s="66">
        <v>0</v>
      </c>
      <c r="M83" s="66">
        <v>0</v>
      </c>
      <c r="N83" s="66">
        <v>0</v>
      </c>
      <c r="O83" s="66">
        <v>0</v>
      </c>
      <c r="P83" s="66">
        <v>0</v>
      </c>
      <c r="Q83" s="66">
        <v>0</v>
      </c>
      <c r="R83" s="66">
        <v>0</v>
      </c>
      <c r="S83" s="66">
        <v>0</v>
      </c>
      <c r="T83" s="66">
        <v>0</v>
      </c>
      <c r="U83" s="66">
        <v>0</v>
      </c>
      <c r="V83" s="66">
        <v>0</v>
      </c>
      <c r="W83" s="66">
        <v>0</v>
      </c>
      <c r="X83" s="66">
        <v>900</v>
      </c>
      <c r="Y83" s="66">
        <v>508</v>
      </c>
      <c r="Z83" s="66">
        <v>720</v>
      </c>
      <c r="AA83" s="66">
        <v>540</v>
      </c>
      <c r="AB83" s="66">
        <v>331</v>
      </c>
      <c r="AC83" s="66">
        <v>684</v>
      </c>
      <c r="AD83" s="66">
        <v>721</v>
      </c>
      <c r="AE83" s="66">
        <v>294</v>
      </c>
      <c r="AF83" s="66">
        <v>252</v>
      </c>
      <c r="AG83" s="66">
        <v>592</v>
      </c>
      <c r="AH83" s="66">
        <v>470</v>
      </c>
      <c r="AI83" s="66">
        <v>471</v>
      </c>
      <c r="AJ83" s="66">
        <v>324</v>
      </c>
      <c r="AK83" s="66">
        <v>223</v>
      </c>
      <c r="AL83" s="66">
        <v>576</v>
      </c>
      <c r="AM83" s="66">
        <v>830</v>
      </c>
      <c r="AN83" s="66">
        <v>253</v>
      </c>
      <c r="AO83" s="66">
        <v>73</v>
      </c>
      <c r="AP83" s="66">
        <v>1530</v>
      </c>
      <c r="AQ83" s="66">
        <v>218</v>
      </c>
      <c r="AR83" s="66">
        <v>720</v>
      </c>
      <c r="AS83" s="66">
        <v>622</v>
      </c>
      <c r="AT83" s="66">
        <v>758</v>
      </c>
      <c r="AU83" s="66">
        <v>1010</v>
      </c>
      <c r="AV83" s="66">
        <v>396</v>
      </c>
      <c r="AW83" s="66">
        <v>657</v>
      </c>
      <c r="AX83" s="66">
        <v>260</v>
      </c>
      <c r="AY83" s="66">
        <v>515</v>
      </c>
      <c r="AZ83" s="66">
        <v>796</v>
      </c>
      <c r="BA83" s="66">
        <v>472</v>
      </c>
      <c r="BB83" s="66">
        <v>582</v>
      </c>
      <c r="BC83" s="66">
        <v>1832</v>
      </c>
      <c r="BD83" s="66">
        <v>227</v>
      </c>
      <c r="BE83" s="66">
        <v>181</v>
      </c>
      <c r="BF83" s="66">
        <v>0</v>
      </c>
      <c r="BG83" s="66">
        <v>648</v>
      </c>
      <c r="BH83" s="66">
        <v>219</v>
      </c>
      <c r="BI83" s="66">
        <v>38</v>
      </c>
      <c r="BJ83" s="66">
        <v>792</v>
      </c>
      <c r="BK83" s="66">
        <v>541</v>
      </c>
      <c r="BL83" s="66">
        <v>216</v>
      </c>
      <c r="BM83" s="66">
        <v>108</v>
      </c>
      <c r="BN83" s="66">
        <v>180</v>
      </c>
      <c r="BO83" s="66">
        <v>108</v>
      </c>
      <c r="BP83" s="66">
        <v>1261</v>
      </c>
      <c r="BQ83" s="66">
        <v>792</v>
      </c>
      <c r="BR83" s="66">
        <v>252</v>
      </c>
      <c r="BS83" s="66">
        <v>427</v>
      </c>
      <c r="BT83" s="66">
        <v>324</v>
      </c>
      <c r="BU83" s="66">
        <v>216</v>
      </c>
      <c r="BV83" s="66">
        <v>800</v>
      </c>
      <c r="BW83" s="66">
        <v>180</v>
      </c>
      <c r="BX83" s="66">
        <v>216</v>
      </c>
      <c r="BY83" s="66">
        <v>795</v>
      </c>
      <c r="BZ83" s="66">
        <v>469</v>
      </c>
      <c r="CA83" s="66">
        <v>288</v>
      </c>
      <c r="CB83" s="66">
        <v>108</v>
      </c>
      <c r="CC83" s="66">
        <v>361</v>
      </c>
      <c r="CD83" s="66">
        <v>761</v>
      </c>
      <c r="CE83" s="66">
        <v>219</v>
      </c>
      <c r="CF83" s="66">
        <v>36</v>
      </c>
      <c r="CG83" s="66">
        <v>431</v>
      </c>
      <c r="CH83" s="66">
        <v>794</v>
      </c>
      <c r="CI83" s="66">
        <v>360</v>
      </c>
      <c r="CJ83" s="66">
        <v>252</v>
      </c>
      <c r="CK83" s="66">
        <v>291</v>
      </c>
      <c r="CL83" s="66">
        <v>180</v>
      </c>
      <c r="CM83" s="66">
        <v>792</v>
      </c>
      <c r="CN83" s="66">
        <v>324</v>
      </c>
      <c r="CO83" s="66">
        <v>1336</v>
      </c>
      <c r="CP83" s="66">
        <v>192</v>
      </c>
      <c r="CQ83" s="66">
        <v>937</v>
      </c>
      <c r="CR83" s="66">
        <v>334</v>
      </c>
      <c r="CS83" s="66">
        <v>540</v>
      </c>
      <c r="CT83" s="66">
        <v>760</v>
      </c>
      <c r="CU83" s="66">
        <v>185</v>
      </c>
      <c r="CV83" s="66">
        <v>1334</v>
      </c>
      <c r="CW83" s="66">
        <v>792</v>
      </c>
      <c r="CX83" s="66">
        <v>226</v>
      </c>
      <c r="CY83" s="66">
        <v>1712</v>
      </c>
      <c r="CZ83" s="66">
        <v>679</v>
      </c>
      <c r="DA83" s="66">
        <v>400</v>
      </c>
    </row>
    <row r="84" spans="1:105" ht="15" x14ac:dyDescent="0.35">
      <c r="A84" s="5" t="s">
        <v>325</v>
      </c>
      <c r="B84" s="5" t="s">
        <v>499</v>
      </c>
      <c r="C84" s="66">
        <v>123</v>
      </c>
      <c r="D84" s="66">
        <v>112</v>
      </c>
      <c r="E84" s="66">
        <v>15</v>
      </c>
      <c r="F84" s="66">
        <v>0</v>
      </c>
      <c r="G84" s="66">
        <v>46</v>
      </c>
      <c r="H84" s="66">
        <v>61</v>
      </c>
      <c r="I84" s="66">
        <v>99</v>
      </c>
      <c r="J84" s="66">
        <v>124</v>
      </c>
      <c r="K84" s="66">
        <v>64</v>
      </c>
      <c r="L84" s="66">
        <v>93</v>
      </c>
      <c r="M84" s="66">
        <v>111</v>
      </c>
      <c r="N84" s="66">
        <v>113</v>
      </c>
      <c r="O84" s="66">
        <v>147</v>
      </c>
      <c r="P84" s="66">
        <v>118</v>
      </c>
      <c r="Q84" s="66">
        <v>105</v>
      </c>
      <c r="R84" s="66">
        <v>95</v>
      </c>
      <c r="S84" s="66">
        <v>57</v>
      </c>
      <c r="T84" s="66">
        <v>45</v>
      </c>
      <c r="U84" s="66">
        <v>87</v>
      </c>
      <c r="V84" s="66">
        <v>66</v>
      </c>
      <c r="W84" s="66">
        <v>93</v>
      </c>
      <c r="X84" s="66">
        <v>122</v>
      </c>
      <c r="Y84" s="66">
        <v>104</v>
      </c>
      <c r="Z84" s="66">
        <v>74</v>
      </c>
      <c r="AA84" s="66">
        <v>90</v>
      </c>
      <c r="AB84" s="66">
        <v>66</v>
      </c>
      <c r="AC84" s="66">
        <v>72</v>
      </c>
      <c r="AD84" s="66">
        <v>87</v>
      </c>
      <c r="AE84" s="66">
        <v>39</v>
      </c>
      <c r="AF84" s="66">
        <v>74</v>
      </c>
      <c r="AG84" s="66">
        <v>89</v>
      </c>
      <c r="AH84" s="66">
        <v>63</v>
      </c>
      <c r="AI84" s="66">
        <v>63</v>
      </c>
      <c r="AJ84" s="66">
        <v>93</v>
      </c>
      <c r="AK84" s="66">
        <v>79</v>
      </c>
      <c r="AL84" s="66">
        <v>103</v>
      </c>
      <c r="AM84" s="66">
        <v>88</v>
      </c>
      <c r="AN84" s="66">
        <v>171</v>
      </c>
      <c r="AO84" s="66">
        <v>91</v>
      </c>
      <c r="AP84" s="66">
        <v>94</v>
      </c>
      <c r="AQ84" s="66">
        <v>63</v>
      </c>
      <c r="AR84" s="66">
        <v>89</v>
      </c>
      <c r="AS84" s="66">
        <v>94</v>
      </c>
      <c r="AT84" s="66">
        <v>88</v>
      </c>
      <c r="AU84" s="66">
        <v>151</v>
      </c>
      <c r="AV84" s="66">
        <v>78</v>
      </c>
      <c r="AW84" s="66">
        <v>107</v>
      </c>
      <c r="AX84" s="66">
        <v>180</v>
      </c>
      <c r="AY84" s="66">
        <v>66</v>
      </c>
      <c r="AZ84" s="66">
        <v>112</v>
      </c>
      <c r="BA84" s="66">
        <v>148</v>
      </c>
      <c r="BB84" s="66">
        <v>124</v>
      </c>
      <c r="BC84" s="66">
        <v>138</v>
      </c>
      <c r="BD84" s="66">
        <v>78</v>
      </c>
      <c r="BE84" s="66">
        <v>13</v>
      </c>
      <c r="BF84" s="66">
        <v>0</v>
      </c>
      <c r="BG84" s="66">
        <v>102</v>
      </c>
      <c r="BH84" s="66">
        <v>65</v>
      </c>
      <c r="BI84" s="66">
        <v>48</v>
      </c>
      <c r="BJ84" s="66">
        <v>83</v>
      </c>
      <c r="BK84" s="66">
        <v>71</v>
      </c>
      <c r="BL84" s="66">
        <v>61</v>
      </c>
      <c r="BM84" s="66">
        <v>55</v>
      </c>
      <c r="BN84" s="66">
        <v>74</v>
      </c>
      <c r="BO84" s="66">
        <v>68</v>
      </c>
      <c r="BP84" s="66">
        <v>63</v>
      </c>
      <c r="BQ84" s="66">
        <v>64</v>
      </c>
      <c r="BR84" s="66">
        <v>31</v>
      </c>
      <c r="BS84" s="66">
        <v>61</v>
      </c>
      <c r="BT84" s="66">
        <v>32</v>
      </c>
      <c r="BU84" s="66">
        <v>45</v>
      </c>
      <c r="BV84" s="66">
        <v>36</v>
      </c>
      <c r="BW84" s="66">
        <v>55</v>
      </c>
      <c r="BX84" s="66">
        <v>50</v>
      </c>
      <c r="BY84" s="66">
        <v>129</v>
      </c>
      <c r="BZ84" s="66">
        <v>88</v>
      </c>
      <c r="CA84" s="66">
        <v>33</v>
      </c>
      <c r="CB84" s="66">
        <v>44</v>
      </c>
      <c r="CC84" s="66">
        <v>46</v>
      </c>
      <c r="CD84" s="66">
        <v>36</v>
      </c>
      <c r="CE84" s="66">
        <v>21</v>
      </c>
      <c r="CF84" s="66">
        <v>31</v>
      </c>
      <c r="CG84" s="66">
        <v>22</v>
      </c>
      <c r="CH84" s="66">
        <v>34</v>
      </c>
      <c r="CI84" s="66">
        <v>45</v>
      </c>
      <c r="CJ84" s="66">
        <v>35</v>
      </c>
      <c r="CK84" s="66">
        <v>28</v>
      </c>
      <c r="CL84" s="66">
        <v>19</v>
      </c>
      <c r="CM84" s="66">
        <v>69</v>
      </c>
      <c r="CN84" s="66">
        <v>44</v>
      </c>
      <c r="CO84" s="66">
        <v>17</v>
      </c>
      <c r="CP84" s="66">
        <v>74</v>
      </c>
      <c r="CQ84" s="66">
        <v>45</v>
      </c>
      <c r="CR84" s="66">
        <v>35</v>
      </c>
      <c r="CS84" s="66">
        <v>31</v>
      </c>
      <c r="CT84" s="66">
        <v>41</v>
      </c>
      <c r="CU84" s="66">
        <v>18</v>
      </c>
      <c r="CV84" s="66">
        <v>34</v>
      </c>
      <c r="CW84" s="66">
        <v>48</v>
      </c>
      <c r="CX84" s="66">
        <v>64</v>
      </c>
      <c r="CY84" s="66">
        <v>28</v>
      </c>
      <c r="CZ84" s="66">
        <v>70</v>
      </c>
      <c r="DA84" s="66">
        <v>58</v>
      </c>
    </row>
    <row r="85" spans="1:105" ht="15" x14ac:dyDescent="0.35">
      <c r="A85" s="5" t="s">
        <v>326</v>
      </c>
      <c r="B85" s="5" t="s">
        <v>500</v>
      </c>
      <c r="C85" s="66">
        <v>0</v>
      </c>
      <c r="D85" s="66">
        <v>8</v>
      </c>
      <c r="E85" s="66">
        <v>0</v>
      </c>
      <c r="F85" s="66">
        <v>0</v>
      </c>
      <c r="G85" s="66">
        <v>0</v>
      </c>
      <c r="H85" s="66">
        <v>12</v>
      </c>
      <c r="I85" s="66">
        <v>0</v>
      </c>
      <c r="J85" s="66">
        <v>0</v>
      </c>
      <c r="K85" s="66">
        <v>0</v>
      </c>
      <c r="L85" s="66">
        <v>0</v>
      </c>
      <c r="M85" s="66">
        <v>0</v>
      </c>
      <c r="N85" s="66">
        <v>0</v>
      </c>
      <c r="O85" s="66">
        <v>0</v>
      </c>
      <c r="P85" s="66">
        <v>1</v>
      </c>
      <c r="Q85" s="66">
        <v>69</v>
      </c>
      <c r="R85" s="66">
        <v>302</v>
      </c>
      <c r="S85" s="66">
        <v>140</v>
      </c>
      <c r="T85" s="66">
        <v>107</v>
      </c>
      <c r="U85" s="66">
        <v>221</v>
      </c>
      <c r="V85" s="66">
        <v>172</v>
      </c>
      <c r="W85" s="66">
        <v>124</v>
      </c>
      <c r="X85" s="66">
        <v>312</v>
      </c>
      <c r="Y85" s="66">
        <v>105</v>
      </c>
      <c r="Z85" s="66">
        <v>209</v>
      </c>
      <c r="AA85" s="66">
        <v>156</v>
      </c>
      <c r="AB85" s="66">
        <v>45</v>
      </c>
      <c r="AC85" s="66">
        <v>189</v>
      </c>
      <c r="AD85" s="66">
        <v>145</v>
      </c>
      <c r="AE85" s="66">
        <v>89</v>
      </c>
      <c r="AF85" s="66">
        <v>354</v>
      </c>
      <c r="AG85" s="66">
        <v>59</v>
      </c>
      <c r="AH85" s="66">
        <v>106</v>
      </c>
      <c r="AI85" s="66">
        <v>60</v>
      </c>
      <c r="AJ85" s="66">
        <v>145</v>
      </c>
      <c r="AK85" s="66">
        <v>195</v>
      </c>
      <c r="AL85" s="66">
        <v>140</v>
      </c>
      <c r="AM85" s="66">
        <v>200</v>
      </c>
      <c r="AN85" s="66">
        <v>195</v>
      </c>
      <c r="AO85" s="66">
        <v>182</v>
      </c>
      <c r="AP85" s="66">
        <v>145</v>
      </c>
      <c r="AQ85" s="66">
        <v>164</v>
      </c>
      <c r="AR85" s="66">
        <v>386</v>
      </c>
      <c r="AS85" s="66">
        <v>287</v>
      </c>
      <c r="AT85" s="66">
        <v>360</v>
      </c>
      <c r="AU85" s="66">
        <v>390</v>
      </c>
      <c r="AV85" s="66">
        <v>237</v>
      </c>
      <c r="AW85" s="66">
        <v>345</v>
      </c>
      <c r="AX85" s="66">
        <v>349</v>
      </c>
      <c r="AY85" s="66">
        <v>418</v>
      </c>
      <c r="AZ85" s="66">
        <v>363</v>
      </c>
      <c r="BA85" s="66">
        <v>394</v>
      </c>
      <c r="BB85" s="66">
        <v>247</v>
      </c>
      <c r="BC85" s="66">
        <v>163</v>
      </c>
      <c r="BD85" s="66">
        <v>368</v>
      </c>
      <c r="BE85" s="66">
        <v>39</v>
      </c>
      <c r="BF85" s="66">
        <v>0</v>
      </c>
      <c r="BG85" s="66">
        <v>182</v>
      </c>
      <c r="BH85" s="66">
        <v>99</v>
      </c>
      <c r="BI85" s="66">
        <v>132</v>
      </c>
      <c r="BJ85" s="66">
        <v>134</v>
      </c>
      <c r="BK85" s="66">
        <v>129</v>
      </c>
      <c r="BL85" s="66">
        <v>26</v>
      </c>
      <c r="BM85" s="66">
        <v>115</v>
      </c>
      <c r="BN85" s="66">
        <v>280</v>
      </c>
      <c r="BO85" s="66">
        <v>173</v>
      </c>
      <c r="BP85" s="66">
        <v>112</v>
      </c>
      <c r="BQ85" s="66">
        <v>121</v>
      </c>
      <c r="BR85" s="66">
        <v>165</v>
      </c>
      <c r="BS85" s="66">
        <v>151</v>
      </c>
      <c r="BT85" s="66">
        <v>89</v>
      </c>
      <c r="BU85" s="66">
        <v>87</v>
      </c>
      <c r="BV85" s="66">
        <v>246</v>
      </c>
      <c r="BW85" s="66">
        <v>71</v>
      </c>
      <c r="BX85" s="66">
        <v>104</v>
      </c>
      <c r="BY85" s="66">
        <v>148</v>
      </c>
      <c r="BZ85" s="66">
        <v>149</v>
      </c>
      <c r="CA85" s="66">
        <v>77</v>
      </c>
      <c r="CB85" s="66">
        <v>66</v>
      </c>
      <c r="CC85" s="66">
        <v>138</v>
      </c>
      <c r="CD85" s="66">
        <v>140</v>
      </c>
      <c r="CE85" s="66">
        <v>64</v>
      </c>
      <c r="CF85" s="66">
        <v>62</v>
      </c>
      <c r="CG85" s="66">
        <v>120</v>
      </c>
      <c r="CH85" s="66">
        <v>76</v>
      </c>
      <c r="CI85" s="66">
        <v>153</v>
      </c>
      <c r="CJ85" s="66">
        <v>159</v>
      </c>
      <c r="CK85" s="66">
        <v>168</v>
      </c>
      <c r="CL85" s="66">
        <v>305</v>
      </c>
      <c r="CM85" s="66">
        <v>118</v>
      </c>
      <c r="CN85" s="66">
        <v>187</v>
      </c>
      <c r="CO85" s="66">
        <v>177</v>
      </c>
      <c r="CP85" s="66">
        <v>166</v>
      </c>
      <c r="CQ85" s="66">
        <v>191</v>
      </c>
      <c r="CR85" s="66">
        <v>350</v>
      </c>
      <c r="CS85" s="66">
        <v>294</v>
      </c>
      <c r="CT85" s="66">
        <v>306</v>
      </c>
      <c r="CU85" s="66">
        <v>220</v>
      </c>
      <c r="CV85" s="66">
        <v>323</v>
      </c>
      <c r="CW85" s="66">
        <v>304</v>
      </c>
      <c r="CX85" s="66">
        <v>526</v>
      </c>
      <c r="CY85" s="66">
        <v>216</v>
      </c>
      <c r="CZ85" s="66">
        <v>242</v>
      </c>
      <c r="DA85" s="66">
        <v>193</v>
      </c>
    </row>
    <row r="86" spans="1:105" ht="15" x14ac:dyDescent="0.35">
      <c r="A86" s="5" t="s">
        <v>327</v>
      </c>
      <c r="B86" s="5" t="s">
        <v>501</v>
      </c>
      <c r="C86" s="66">
        <v>0</v>
      </c>
      <c r="D86" s="66">
        <v>0</v>
      </c>
      <c r="E86" s="66">
        <v>0</v>
      </c>
      <c r="F86" s="66">
        <v>0</v>
      </c>
      <c r="G86" s="66">
        <v>0</v>
      </c>
      <c r="H86" s="66">
        <v>0</v>
      </c>
      <c r="I86" s="66">
        <v>0</v>
      </c>
      <c r="J86" s="66">
        <v>14</v>
      </c>
      <c r="K86" s="66">
        <v>53</v>
      </c>
      <c r="L86" s="66">
        <v>120</v>
      </c>
      <c r="M86" s="66">
        <v>514</v>
      </c>
      <c r="N86" s="66">
        <v>671</v>
      </c>
      <c r="O86" s="66">
        <v>88</v>
      </c>
      <c r="P86" s="66">
        <v>174</v>
      </c>
      <c r="Q86" s="66">
        <v>120</v>
      </c>
      <c r="R86" s="66">
        <v>101</v>
      </c>
      <c r="S86" s="66">
        <v>86</v>
      </c>
      <c r="T86" s="66">
        <v>54</v>
      </c>
      <c r="U86" s="66">
        <v>40</v>
      </c>
      <c r="V86" s="66">
        <v>187</v>
      </c>
      <c r="W86" s="66">
        <v>305</v>
      </c>
      <c r="X86" s="66">
        <v>172</v>
      </c>
      <c r="Y86" s="66">
        <v>224</v>
      </c>
      <c r="Z86" s="66">
        <v>370</v>
      </c>
      <c r="AA86" s="66">
        <v>240</v>
      </c>
      <c r="AB86" s="66">
        <v>50</v>
      </c>
      <c r="AC86" s="66">
        <v>95</v>
      </c>
      <c r="AD86" s="66">
        <v>59</v>
      </c>
      <c r="AE86" s="66">
        <v>76</v>
      </c>
      <c r="AF86" s="66">
        <v>321</v>
      </c>
      <c r="AG86" s="66">
        <v>56</v>
      </c>
      <c r="AH86" s="66">
        <v>71</v>
      </c>
      <c r="AI86" s="66">
        <v>188</v>
      </c>
      <c r="AJ86" s="66">
        <v>125</v>
      </c>
      <c r="AK86" s="66">
        <v>66</v>
      </c>
      <c r="AL86" s="66">
        <v>87</v>
      </c>
      <c r="AM86" s="66">
        <v>244</v>
      </c>
      <c r="AN86" s="66">
        <v>103</v>
      </c>
      <c r="AO86" s="66">
        <v>536</v>
      </c>
      <c r="AP86" s="66">
        <v>360</v>
      </c>
      <c r="AQ86" s="66">
        <v>403</v>
      </c>
      <c r="AR86" s="66">
        <v>105</v>
      </c>
      <c r="AS86" s="66">
        <v>304</v>
      </c>
      <c r="AT86" s="66">
        <v>92</v>
      </c>
      <c r="AU86" s="66">
        <v>379</v>
      </c>
      <c r="AV86" s="66">
        <v>98</v>
      </c>
      <c r="AW86" s="66">
        <v>75</v>
      </c>
      <c r="AX86" s="66">
        <v>218</v>
      </c>
      <c r="AY86" s="66">
        <v>249</v>
      </c>
      <c r="AZ86" s="66">
        <v>402</v>
      </c>
      <c r="BA86" s="66">
        <v>0</v>
      </c>
      <c r="BB86" s="66">
        <v>53</v>
      </c>
      <c r="BC86" s="66">
        <v>159</v>
      </c>
      <c r="BD86" s="66">
        <v>43</v>
      </c>
      <c r="BE86" s="66">
        <v>6</v>
      </c>
      <c r="BF86" s="66">
        <v>0</v>
      </c>
      <c r="BG86" s="66">
        <v>339</v>
      </c>
      <c r="BH86" s="66">
        <v>174</v>
      </c>
      <c r="BI86" s="66">
        <v>77</v>
      </c>
      <c r="BJ86" s="66">
        <v>53</v>
      </c>
      <c r="BK86" s="66">
        <v>185</v>
      </c>
      <c r="BL86" s="66">
        <v>62</v>
      </c>
      <c r="BM86" s="66">
        <v>145</v>
      </c>
      <c r="BN86" s="66">
        <v>50</v>
      </c>
      <c r="BO86" s="66">
        <v>56</v>
      </c>
      <c r="BP86" s="66">
        <v>381</v>
      </c>
      <c r="BQ86" s="66">
        <v>586</v>
      </c>
      <c r="BR86" s="66">
        <v>246</v>
      </c>
      <c r="BS86" s="66">
        <v>214</v>
      </c>
      <c r="BT86" s="66">
        <v>299</v>
      </c>
      <c r="BU86" s="66">
        <v>49</v>
      </c>
      <c r="BV86" s="66">
        <v>32</v>
      </c>
      <c r="BW86" s="66">
        <v>31</v>
      </c>
      <c r="BX86" s="66">
        <v>67</v>
      </c>
      <c r="BY86" s="66">
        <v>49</v>
      </c>
      <c r="BZ86" s="66">
        <v>166</v>
      </c>
      <c r="CA86" s="66">
        <v>389</v>
      </c>
      <c r="CB86" s="66">
        <v>137</v>
      </c>
      <c r="CC86" s="66">
        <v>118</v>
      </c>
      <c r="CD86" s="66">
        <v>66</v>
      </c>
      <c r="CE86" s="66">
        <v>255</v>
      </c>
      <c r="CF86" s="66">
        <v>56</v>
      </c>
      <c r="CG86" s="66">
        <v>313</v>
      </c>
      <c r="CH86" s="66">
        <v>14</v>
      </c>
      <c r="CI86" s="66">
        <v>58</v>
      </c>
      <c r="CJ86" s="66">
        <v>79</v>
      </c>
      <c r="CK86" s="66">
        <v>157</v>
      </c>
      <c r="CL86" s="66">
        <v>189</v>
      </c>
      <c r="CM86" s="66">
        <v>114</v>
      </c>
      <c r="CN86" s="66">
        <v>310</v>
      </c>
      <c r="CO86" s="66">
        <v>386</v>
      </c>
      <c r="CP86" s="66">
        <v>120</v>
      </c>
      <c r="CQ86" s="66">
        <v>560</v>
      </c>
      <c r="CR86" s="66">
        <v>180</v>
      </c>
      <c r="CS86" s="66">
        <v>75</v>
      </c>
      <c r="CT86" s="66">
        <v>113</v>
      </c>
      <c r="CU86" s="66">
        <v>102</v>
      </c>
      <c r="CV86" s="66">
        <v>186</v>
      </c>
      <c r="CW86" s="66">
        <v>51</v>
      </c>
      <c r="CX86" s="66">
        <v>179</v>
      </c>
      <c r="CY86" s="66">
        <v>200</v>
      </c>
      <c r="CZ86" s="66">
        <v>147</v>
      </c>
      <c r="DA86" s="66">
        <v>113</v>
      </c>
    </row>
    <row r="87" spans="1:105" ht="15" x14ac:dyDescent="0.35">
      <c r="A87" s="5" t="s">
        <v>328</v>
      </c>
      <c r="B87" s="5" t="s">
        <v>502</v>
      </c>
      <c r="C87" s="66">
        <v>118</v>
      </c>
      <c r="D87" s="66">
        <v>114</v>
      </c>
      <c r="E87" s="66">
        <v>112</v>
      </c>
      <c r="F87" s="66">
        <v>0</v>
      </c>
      <c r="G87" s="66">
        <v>44</v>
      </c>
      <c r="H87" s="66">
        <v>39</v>
      </c>
      <c r="I87" s="66">
        <v>225</v>
      </c>
      <c r="J87" s="66">
        <v>72</v>
      </c>
      <c r="K87" s="66">
        <v>149</v>
      </c>
      <c r="L87" s="66">
        <v>35</v>
      </c>
      <c r="M87" s="66">
        <v>27</v>
      </c>
      <c r="N87" s="66">
        <v>51</v>
      </c>
      <c r="O87" s="66">
        <v>197</v>
      </c>
      <c r="P87" s="66">
        <v>269</v>
      </c>
      <c r="Q87" s="66">
        <v>99</v>
      </c>
      <c r="R87" s="66">
        <v>132</v>
      </c>
      <c r="S87" s="66">
        <v>12</v>
      </c>
      <c r="T87" s="66">
        <v>46</v>
      </c>
      <c r="U87" s="66">
        <v>34</v>
      </c>
      <c r="V87" s="66">
        <v>119</v>
      </c>
      <c r="W87" s="66">
        <v>191</v>
      </c>
      <c r="X87" s="66">
        <v>124</v>
      </c>
      <c r="Y87" s="66">
        <v>104</v>
      </c>
      <c r="Z87" s="66">
        <v>70</v>
      </c>
      <c r="AA87" s="66">
        <v>222</v>
      </c>
      <c r="AB87" s="66">
        <v>68</v>
      </c>
      <c r="AC87" s="66">
        <v>116</v>
      </c>
      <c r="AD87" s="66">
        <v>247</v>
      </c>
      <c r="AE87" s="66">
        <v>37</v>
      </c>
      <c r="AF87" s="66">
        <v>48</v>
      </c>
      <c r="AG87" s="66">
        <v>6</v>
      </c>
      <c r="AH87" s="66">
        <v>0</v>
      </c>
      <c r="AI87" s="66">
        <v>0</v>
      </c>
      <c r="AJ87" s="66">
        <v>0</v>
      </c>
      <c r="AK87" s="66">
        <v>0</v>
      </c>
      <c r="AL87" s="66">
        <v>0</v>
      </c>
      <c r="AM87" s="66">
        <v>351</v>
      </c>
      <c r="AN87" s="66">
        <v>371</v>
      </c>
      <c r="AO87" s="66">
        <v>41</v>
      </c>
      <c r="AP87" s="66">
        <v>112</v>
      </c>
      <c r="AQ87" s="66">
        <v>123</v>
      </c>
      <c r="AR87" s="66">
        <v>140</v>
      </c>
      <c r="AS87" s="66">
        <v>31</v>
      </c>
      <c r="AT87" s="66">
        <v>109</v>
      </c>
      <c r="AU87" s="66">
        <v>200</v>
      </c>
      <c r="AV87" s="66">
        <v>45</v>
      </c>
      <c r="AW87" s="66">
        <v>52</v>
      </c>
      <c r="AX87" s="66">
        <v>122</v>
      </c>
      <c r="AY87" s="66">
        <v>238</v>
      </c>
      <c r="AZ87" s="66">
        <v>232</v>
      </c>
      <c r="BA87" s="66">
        <v>139</v>
      </c>
      <c r="BB87" s="66">
        <v>130</v>
      </c>
      <c r="BC87" s="66">
        <v>262</v>
      </c>
      <c r="BD87" s="66">
        <v>124</v>
      </c>
      <c r="BE87" s="66">
        <v>12</v>
      </c>
      <c r="BF87" s="66">
        <v>0</v>
      </c>
      <c r="BG87" s="66">
        <v>36</v>
      </c>
      <c r="BH87" s="66">
        <v>98</v>
      </c>
      <c r="BI87" s="66">
        <v>14</v>
      </c>
      <c r="BJ87" s="66">
        <v>76</v>
      </c>
      <c r="BK87" s="66">
        <v>39</v>
      </c>
      <c r="BL87" s="66">
        <v>186</v>
      </c>
      <c r="BM87" s="66">
        <v>102</v>
      </c>
      <c r="BN87" s="66">
        <v>21</v>
      </c>
      <c r="BO87" s="66">
        <v>38</v>
      </c>
      <c r="BP87" s="66">
        <v>226</v>
      </c>
      <c r="BQ87" s="66">
        <v>193</v>
      </c>
      <c r="BR87" s="66">
        <v>52</v>
      </c>
      <c r="BS87" s="66">
        <v>161</v>
      </c>
      <c r="BT87" s="66">
        <v>193</v>
      </c>
      <c r="BU87" s="66">
        <v>199</v>
      </c>
      <c r="BV87" s="66">
        <v>106</v>
      </c>
      <c r="BW87" s="66">
        <v>67</v>
      </c>
      <c r="BX87" s="66">
        <v>82</v>
      </c>
      <c r="BY87" s="66">
        <v>194</v>
      </c>
      <c r="BZ87" s="66">
        <v>93</v>
      </c>
      <c r="CA87" s="66">
        <v>131</v>
      </c>
      <c r="CB87" s="66">
        <v>37</v>
      </c>
      <c r="CC87" s="66">
        <v>166</v>
      </c>
      <c r="CD87" s="66">
        <v>169</v>
      </c>
      <c r="CE87" s="66">
        <v>28</v>
      </c>
      <c r="CF87" s="66">
        <v>16</v>
      </c>
      <c r="CG87" s="66">
        <v>32</v>
      </c>
      <c r="CH87" s="66">
        <v>103</v>
      </c>
      <c r="CI87" s="66">
        <v>17</v>
      </c>
      <c r="CJ87" s="66">
        <v>8</v>
      </c>
      <c r="CK87" s="66">
        <v>23</v>
      </c>
      <c r="CL87" s="66">
        <v>17</v>
      </c>
      <c r="CM87" s="66">
        <v>17</v>
      </c>
      <c r="CN87" s="66">
        <v>54</v>
      </c>
      <c r="CO87" s="66">
        <v>17</v>
      </c>
      <c r="CP87" s="66">
        <v>481</v>
      </c>
      <c r="CQ87" s="66">
        <v>108</v>
      </c>
      <c r="CR87" s="66">
        <v>638</v>
      </c>
      <c r="CS87" s="66">
        <v>98</v>
      </c>
      <c r="CT87" s="66">
        <v>407</v>
      </c>
      <c r="CU87" s="66">
        <v>181</v>
      </c>
      <c r="CV87" s="66">
        <v>493</v>
      </c>
      <c r="CW87" s="66">
        <v>80</v>
      </c>
      <c r="CX87" s="66">
        <v>216</v>
      </c>
      <c r="CY87" s="66">
        <v>208</v>
      </c>
      <c r="CZ87" s="66">
        <v>111</v>
      </c>
      <c r="DA87" s="66">
        <v>349</v>
      </c>
    </row>
    <row r="88" spans="1:105" ht="15" x14ac:dyDescent="0.35">
      <c r="A88" s="5" t="s">
        <v>329</v>
      </c>
      <c r="B88" s="5" t="s">
        <v>503</v>
      </c>
      <c r="C88" s="66">
        <v>908</v>
      </c>
      <c r="D88" s="66">
        <v>234</v>
      </c>
      <c r="E88" s="66">
        <v>19</v>
      </c>
      <c r="F88" s="66">
        <v>0</v>
      </c>
      <c r="G88" s="66">
        <v>911</v>
      </c>
      <c r="H88" s="66">
        <v>132</v>
      </c>
      <c r="I88" s="66">
        <v>50</v>
      </c>
      <c r="J88" s="66">
        <v>17</v>
      </c>
      <c r="K88" s="66">
        <v>25</v>
      </c>
      <c r="L88" s="66">
        <v>16</v>
      </c>
      <c r="M88" s="66">
        <v>19</v>
      </c>
      <c r="N88" s="66">
        <v>271</v>
      </c>
      <c r="O88" s="66">
        <v>63</v>
      </c>
      <c r="P88" s="66">
        <v>24</v>
      </c>
      <c r="Q88" s="66">
        <v>81</v>
      </c>
      <c r="R88" s="66">
        <v>21</v>
      </c>
      <c r="S88" s="66">
        <v>18</v>
      </c>
      <c r="T88" s="66">
        <v>100</v>
      </c>
      <c r="U88" s="66">
        <v>24</v>
      </c>
      <c r="V88" s="66">
        <v>11</v>
      </c>
      <c r="W88" s="66">
        <v>9</v>
      </c>
      <c r="X88" s="66">
        <v>14</v>
      </c>
      <c r="Y88" s="66">
        <v>75</v>
      </c>
      <c r="Z88" s="66">
        <v>23</v>
      </c>
      <c r="AA88" s="66">
        <v>8</v>
      </c>
      <c r="AB88" s="66">
        <v>10</v>
      </c>
      <c r="AC88" s="66">
        <v>162</v>
      </c>
      <c r="AD88" s="66">
        <v>19</v>
      </c>
      <c r="AE88" s="66">
        <v>5</v>
      </c>
      <c r="AF88" s="66">
        <v>107</v>
      </c>
      <c r="AG88" s="66">
        <v>91</v>
      </c>
      <c r="AH88" s="66">
        <v>17</v>
      </c>
      <c r="AI88" s="66">
        <v>111</v>
      </c>
      <c r="AJ88" s="66">
        <v>10</v>
      </c>
      <c r="AK88" s="66">
        <v>73</v>
      </c>
      <c r="AL88" s="66">
        <v>59</v>
      </c>
      <c r="AM88" s="66">
        <v>168</v>
      </c>
      <c r="AN88" s="66">
        <v>197</v>
      </c>
      <c r="AO88" s="66">
        <v>26</v>
      </c>
      <c r="AP88" s="66">
        <v>76</v>
      </c>
      <c r="AQ88" s="66">
        <v>46</v>
      </c>
      <c r="AR88" s="66">
        <v>203</v>
      </c>
      <c r="AS88" s="66">
        <v>46</v>
      </c>
      <c r="AT88" s="66">
        <v>74</v>
      </c>
      <c r="AU88" s="66">
        <v>92</v>
      </c>
      <c r="AV88" s="66">
        <v>424</v>
      </c>
      <c r="AW88" s="66">
        <v>82</v>
      </c>
      <c r="AX88" s="66">
        <v>134</v>
      </c>
      <c r="AY88" s="66">
        <v>94</v>
      </c>
      <c r="AZ88" s="66">
        <v>61</v>
      </c>
      <c r="BA88" s="66">
        <v>91</v>
      </c>
      <c r="BB88" s="66">
        <v>104</v>
      </c>
      <c r="BC88" s="66">
        <v>38</v>
      </c>
      <c r="BD88" s="66">
        <v>61</v>
      </c>
      <c r="BE88" s="66">
        <v>22</v>
      </c>
      <c r="BF88" s="66">
        <v>0</v>
      </c>
      <c r="BG88" s="66">
        <v>95</v>
      </c>
      <c r="BH88" s="66">
        <v>19</v>
      </c>
      <c r="BI88" s="66">
        <v>67</v>
      </c>
      <c r="BJ88" s="66">
        <v>12</v>
      </c>
      <c r="BK88" s="66">
        <v>73</v>
      </c>
      <c r="BL88" s="66">
        <v>13</v>
      </c>
      <c r="BM88" s="66">
        <v>9</v>
      </c>
      <c r="BN88" s="66">
        <v>31</v>
      </c>
      <c r="BO88" s="66">
        <v>11</v>
      </c>
      <c r="BP88" s="66">
        <v>4</v>
      </c>
      <c r="BQ88" s="66">
        <v>53</v>
      </c>
      <c r="BR88" s="66">
        <v>55</v>
      </c>
      <c r="BS88" s="66">
        <v>3</v>
      </c>
      <c r="BT88" s="66">
        <v>4</v>
      </c>
      <c r="BU88" s="66">
        <v>16</v>
      </c>
      <c r="BV88" s="66">
        <v>29</v>
      </c>
      <c r="BW88" s="66">
        <v>44</v>
      </c>
      <c r="BX88" s="66">
        <v>64</v>
      </c>
      <c r="BY88" s="66">
        <v>93</v>
      </c>
      <c r="BZ88" s="66">
        <v>31</v>
      </c>
      <c r="CA88" s="66">
        <v>19</v>
      </c>
      <c r="CB88" s="66">
        <v>21</v>
      </c>
      <c r="CC88" s="66">
        <v>32</v>
      </c>
      <c r="CD88" s="66">
        <v>17</v>
      </c>
      <c r="CE88" s="66">
        <v>74</v>
      </c>
      <c r="CF88" s="66">
        <v>15</v>
      </c>
      <c r="CG88" s="66">
        <v>163</v>
      </c>
      <c r="CH88" s="66">
        <v>113</v>
      </c>
      <c r="CI88" s="66">
        <v>222</v>
      </c>
      <c r="CJ88" s="66">
        <v>0</v>
      </c>
      <c r="CK88" s="66">
        <v>82</v>
      </c>
      <c r="CL88" s="66">
        <v>17</v>
      </c>
      <c r="CM88" s="66">
        <v>96</v>
      </c>
      <c r="CN88" s="66">
        <v>33</v>
      </c>
      <c r="CO88" s="66">
        <v>17</v>
      </c>
      <c r="CP88" s="66">
        <v>123</v>
      </c>
      <c r="CQ88" s="66">
        <v>46</v>
      </c>
      <c r="CR88" s="66">
        <v>36</v>
      </c>
      <c r="CS88" s="66">
        <v>87</v>
      </c>
      <c r="CT88" s="66">
        <v>196</v>
      </c>
      <c r="CU88" s="66">
        <v>37</v>
      </c>
      <c r="CV88" s="66">
        <v>43</v>
      </c>
      <c r="CW88" s="66">
        <v>169</v>
      </c>
      <c r="CX88" s="66">
        <v>94</v>
      </c>
      <c r="CY88" s="66">
        <v>48</v>
      </c>
      <c r="CZ88" s="66">
        <v>74</v>
      </c>
      <c r="DA88" s="66">
        <v>21</v>
      </c>
    </row>
    <row r="89" spans="1:105" ht="15" x14ac:dyDescent="0.35">
      <c r="A89" s="5" t="s">
        <v>330</v>
      </c>
      <c r="B89" s="5" t="s">
        <v>504</v>
      </c>
      <c r="C89" s="66">
        <v>265</v>
      </c>
      <c r="D89" s="66">
        <v>250</v>
      </c>
      <c r="E89" s="66">
        <v>27</v>
      </c>
      <c r="F89" s="66">
        <v>0</v>
      </c>
      <c r="G89" s="66">
        <v>0</v>
      </c>
      <c r="H89" s="66">
        <v>82</v>
      </c>
      <c r="I89" s="66">
        <v>303</v>
      </c>
      <c r="J89" s="66">
        <v>417</v>
      </c>
      <c r="K89" s="66">
        <v>197</v>
      </c>
      <c r="L89" s="66">
        <v>236</v>
      </c>
      <c r="M89" s="66">
        <v>145</v>
      </c>
      <c r="N89" s="66">
        <v>97</v>
      </c>
      <c r="O89" s="66">
        <v>74</v>
      </c>
      <c r="P89" s="66">
        <v>268</v>
      </c>
      <c r="Q89" s="66">
        <v>151</v>
      </c>
      <c r="R89" s="66">
        <v>188</v>
      </c>
      <c r="S89" s="66">
        <v>253</v>
      </c>
      <c r="T89" s="66">
        <v>407</v>
      </c>
      <c r="U89" s="66">
        <v>87</v>
      </c>
      <c r="V89" s="66">
        <v>148</v>
      </c>
      <c r="W89" s="66">
        <v>203</v>
      </c>
      <c r="X89" s="66">
        <v>355</v>
      </c>
      <c r="Y89" s="66">
        <v>155</v>
      </c>
      <c r="Z89" s="66">
        <v>144</v>
      </c>
      <c r="AA89" s="66">
        <v>106</v>
      </c>
      <c r="AB89" s="66">
        <v>295</v>
      </c>
      <c r="AC89" s="66">
        <v>216</v>
      </c>
      <c r="AD89" s="66">
        <v>125</v>
      </c>
      <c r="AE89" s="66">
        <v>122</v>
      </c>
      <c r="AF89" s="66">
        <v>193</v>
      </c>
      <c r="AG89" s="66">
        <v>204</v>
      </c>
      <c r="AH89" s="66">
        <v>161</v>
      </c>
      <c r="AI89" s="66">
        <v>172</v>
      </c>
      <c r="AJ89" s="66">
        <v>70</v>
      </c>
      <c r="AK89" s="66">
        <v>158</v>
      </c>
      <c r="AL89" s="66">
        <v>651</v>
      </c>
      <c r="AM89" s="66">
        <v>406</v>
      </c>
      <c r="AN89" s="66">
        <v>133</v>
      </c>
      <c r="AO89" s="66">
        <v>295</v>
      </c>
      <c r="AP89" s="66">
        <v>237</v>
      </c>
      <c r="AQ89" s="66">
        <v>483</v>
      </c>
      <c r="AR89" s="66">
        <v>395</v>
      </c>
      <c r="AS89" s="66">
        <v>250</v>
      </c>
      <c r="AT89" s="66">
        <v>284</v>
      </c>
      <c r="AU89" s="66">
        <v>268</v>
      </c>
      <c r="AV89" s="66">
        <v>104</v>
      </c>
      <c r="AW89" s="66">
        <v>203</v>
      </c>
      <c r="AX89" s="66">
        <v>234</v>
      </c>
      <c r="AY89" s="66">
        <v>365</v>
      </c>
      <c r="AZ89" s="66">
        <v>222</v>
      </c>
      <c r="BA89" s="66">
        <v>175</v>
      </c>
      <c r="BB89" s="66">
        <v>363</v>
      </c>
      <c r="BC89" s="66">
        <v>255</v>
      </c>
      <c r="BD89" s="66">
        <v>161</v>
      </c>
      <c r="BE89" s="66">
        <v>374</v>
      </c>
      <c r="BF89" s="66">
        <v>0</v>
      </c>
      <c r="BG89" s="66">
        <v>142</v>
      </c>
      <c r="BH89" s="66">
        <v>268</v>
      </c>
      <c r="BI89" s="66">
        <v>193</v>
      </c>
      <c r="BJ89" s="66">
        <v>228</v>
      </c>
      <c r="BK89" s="66">
        <v>141</v>
      </c>
      <c r="BL89" s="66">
        <v>73</v>
      </c>
      <c r="BM89" s="66">
        <v>256</v>
      </c>
      <c r="BN89" s="66">
        <v>398</v>
      </c>
      <c r="BO89" s="66">
        <v>158</v>
      </c>
      <c r="BP89" s="66">
        <v>353</v>
      </c>
      <c r="BQ89" s="66">
        <v>289</v>
      </c>
      <c r="BR89" s="66">
        <v>253</v>
      </c>
      <c r="BS89" s="66">
        <v>612</v>
      </c>
      <c r="BT89" s="66">
        <v>211</v>
      </c>
      <c r="BU89" s="66">
        <v>162</v>
      </c>
      <c r="BV89" s="66">
        <v>106</v>
      </c>
      <c r="BW89" s="66">
        <v>104</v>
      </c>
      <c r="BX89" s="66">
        <v>243</v>
      </c>
      <c r="BY89" s="66">
        <v>396</v>
      </c>
      <c r="BZ89" s="66">
        <v>126</v>
      </c>
      <c r="CA89" s="66">
        <v>332</v>
      </c>
      <c r="CB89" s="66">
        <v>95</v>
      </c>
      <c r="CC89" s="66">
        <v>335</v>
      </c>
      <c r="CD89" s="66">
        <v>333</v>
      </c>
      <c r="CE89" s="66">
        <v>251</v>
      </c>
      <c r="CF89" s="66">
        <v>521</v>
      </c>
      <c r="CG89" s="66">
        <v>152</v>
      </c>
      <c r="CH89" s="66">
        <v>113</v>
      </c>
      <c r="CI89" s="66">
        <v>283</v>
      </c>
      <c r="CJ89" s="66">
        <v>174</v>
      </c>
      <c r="CK89" s="66">
        <v>217</v>
      </c>
      <c r="CL89" s="66">
        <v>567</v>
      </c>
      <c r="CM89" s="66">
        <v>275</v>
      </c>
      <c r="CN89" s="66">
        <v>190</v>
      </c>
      <c r="CO89" s="66">
        <v>129</v>
      </c>
      <c r="CP89" s="66">
        <v>157</v>
      </c>
      <c r="CQ89" s="66">
        <v>236</v>
      </c>
      <c r="CR89" s="66">
        <v>466</v>
      </c>
      <c r="CS89" s="66">
        <v>90</v>
      </c>
      <c r="CT89" s="66">
        <v>179</v>
      </c>
      <c r="CU89" s="66">
        <v>199</v>
      </c>
      <c r="CV89" s="66">
        <v>311</v>
      </c>
      <c r="CW89" s="66">
        <v>244</v>
      </c>
      <c r="CX89" s="66">
        <v>145</v>
      </c>
      <c r="CY89" s="66">
        <v>213</v>
      </c>
      <c r="CZ89" s="66">
        <v>299</v>
      </c>
      <c r="DA89" s="66">
        <v>231</v>
      </c>
    </row>
    <row r="90" spans="1:105" ht="15" x14ac:dyDescent="0.35">
      <c r="A90" s="5" t="s">
        <v>331</v>
      </c>
      <c r="B90" s="5" t="s">
        <v>505</v>
      </c>
      <c r="C90" s="66">
        <v>210</v>
      </c>
      <c r="D90" s="66">
        <v>177</v>
      </c>
      <c r="E90" s="66">
        <v>10</v>
      </c>
      <c r="F90" s="66">
        <v>0</v>
      </c>
      <c r="G90" s="66">
        <v>288</v>
      </c>
      <c r="H90" s="66">
        <v>160</v>
      </c>
      <c r="I90" s="66">
        <v>142</v>
      </c>
      <c r="J90" s="66">
        <v>159</v>
      </c>
      <c r="K90" s="66">
        <v>77</v>
      </c>
      <c r="L90" s="66">
        <v>196</v>
      </c>
      <c r="M90" s="66">
        <v>91</v>
      </c>
      <c r="N90" s="66">
        <v>246</v>
      </c>
      <c r="O90" s="66">
        <v>133</v>
      </c>
      <c r="P90" s="66">
        <v>99</v>
      </c>
      <c r="Q90" s="66">
        <v>179</v>
      </c>
      <c r="R90" s="66">
        <v>154</v>
      </c>
      <c r="S90" s="66">
        <v>246</v>
      </c>
      <c r="T90" s="66">
        <v>200</v>
      </c>
      <c r="U90" s="66">
        <v>148</v>
      </c>
      <c r="V90" s="66">
        <v>144</v>
      </c>
      <c r="W90" s="66">
        <v>175</v>
      </c>
      <c r="X90" s="66">
        <v>304</v>
      </c>
      <c r="Y90" s="66">
        <v>171</v>
      </c>
      <c r="Z90" s="66">
        <v>261</v>
      </c>
      <c r="AA90" s="66">
        <v>223</v>
      </c>
      <c r="AB90" s="66">
        <v>215</v>
      </c>
      <c r="AC90" s="66">
        <v>158</v>
      </c>
      <c r="AD90" s="66">
        <v>355</v>
      </c>
      <c r="AE90" s="66">
        <v>146</v>
      </c>
      <c r="AF90" s="66">
        <v>369</v>
      </c>
      <c r="AG90" s="66">
        <v>169</v>
      </c>
      <c r="AH90" s="66">
        <v>137</v>
      </c>
      <c r="AI90" s="66">
        <v>80</v>
      </c>
      <c r="AJ90" s="66">
        <v>230</v>
      </c>
      <c r="AK90" s="66">
        <v>135</v>
      </c>
      <c r="AL90" s="66">
        <v>59</v>
      </c>
      <c r="AM90" s="66">
        <v>426</v>
      </c>
      <c r="AN90" s="66">
        <v>72</v>
      </c>
      <c r="AO90" s="66">
        <v>104</v>
      </c>
      <c r="AP90" s="66">
        <v>191</v>
      </c>
      <c r="AQ90" s="66">
        <v>107</v>
      </c>
      <c r="AR90" s="66">
        <v>124</v>
      </c>
      <c r="AS90" s="66">
        <v>172</v>
      </c>
      <c r="AT90" s="66">
        <v>152</v>
      </c>
      <c r="AU90" s="66">
        <v>173</v>
      </c>
      <c r="AV90" s="66">
        <v>164</v>
      </c>
      <c r="AW90" s="66">
        <v>164</v>
      </c>
      <c r="AX90" s="66">
        <v>161</v>
      </c>
      <c r="AY90" s="66">
        <v>154</v>
      </c>
      <c r="AZ90" s="66">
        <v>290</v>
      </c>
      <c r="BA90" s="66">
        <v>196</v>
      </c>
      <c r="BB90" s="66">
        <v>60</v>
      </c>
      <c r="BC90" s="66">
        <v>137</v>
      </c>
      <c r="BD90" s="66">
        <v>142</v>
      </c>
      <c r="BE90" s="66">
        <v>0</v>
      </c>
      <c r="BF90" s="66">
        <v>0</v>
      </c>
      <c r="BG90" s="66">
        <v>82</v>
      </c>
      <c r="BH90" s="66">
        <v>219</v>
      </c>
      <c r="BI90" s="66">
        <v>281</v>
      </c>
      <c r="BJ90" s="66">
        <v>209</v>
      </c>
      <c r="BK90" s="66">
        <v>167</v>
      </c>
      <c r="BL90" s="66">
        <v>184</v>
      </c>
      <c r="BM90" s="66">
        <v>136</v>
      </c>
      <c r="BN90" s="66">
        <v>475</v>
      </c>
      <c r="BO90" s="66">
        <v>448</v>
      </c>
      <c r="BP90" s="66">
        <v>307</v>
      </c>
      <c r="BQ90" s="66">
        <v>475</v>
      </c>
      <c r="BR90" s="66">
        <v>286</v>
      </c>
      <c r="BS90" s="66">
        <v>522</v>
      </c>
      <c r="BT90" s="66">
        <v>279</v>
      </c>
      <c r="BU90" s="66">
        <v>269</v>
      </c>
      <c r="BV90" s="66">
        <v>167</v>
      </c>
      <c r="BW90" s="66">
        <v>308</v>
      </c>
      <c r="BX90" s="66">
        <v>493</v>
      </c>
      <c r="BY90" s="66">
        <v>415</v>
      </c>
      <c r="BZ90" s="66">
        <v>315</v>
      </c>
      <c r="CA90" s="66">
        <v>391</v>
      </c>
      <c r="CB90" s="66">
        <v>134</v>
      </c>
      <c r="CC90" s="66">
        <v>450</v>
      </c>
      <c r="CD90" s="66">
        <v>133</v>
      </c>
      <c r="CE90" s="66">
        <v>402</v>
      </c>
      <c r="CF90" s="66">
        <v>199</v>
      </c>
      <c r="CG90" s="66">
        <v>190</v>
      </c>
      <c r="CH90" s="66">
        <v>163</v>
      </c>
      <c r="CI90" s="66">
        <v>191</v>
      </c>
      <c r="CJ90" s="66">
        <v>138</v>
      </c>
      <c r="CK90" s="66">
        <v>182</v>
      </c>
      <c r="CL90" s="66">
        <v>253</v>
      </c>
      <c r="CM90" s="66">
        <v>270</v>
      </c>
      <c r="CN90" s="66">
        <v>154</v>
      </c>
      <c r="CO90" s="66">
        <v>146</v>
      </c>
      <c r="CP90" s="66">
        <v>234</v>
      </c>
      <c r="CQ90" s="66">
        <v>141</v>
      </c>
      <c r="CR90" s="66">
        <v>120</v>
      </c>
      <c r="CS90" s="66">
        <v>215</v>
      </c>
      <c r="CT90" s="66">
        <v>91</v>
      </c>
      <c r="CU90" s="66">
        <v>139</v>
      </c>
      <c r="CV90" s="66">
        <v>148</v>
      </c>
      <c r="CW90" s="66">
        <v>74</v>
      </c>
      <c r="CX90" s="66">
        <v>109</v>
      </c>
      <c r="CY90" s="66">
        <v>409</v>
      </c>
      <c r="CZ90" s="66">
        <v>410</v>
      </c>
      <c r="DA90" s="66">
        <v>62</v>
      </c>
    </row>
    <row r="91" spans="1:105" ht="15" x14ac:dyDescent="0.35">
      <c r="A91" s="5" t="s">
        <v>332</v>
      </c>
      <c r="B91" s="5" t="s">
        <v>506</v>
      </c>
      <c r="C91" s="66">
        <v>329</v>
      </c>
      <c r="D91" s="66">
        <v>140</v>
      </c>
      <c r="E91" s="66">
        <v>22</v>
      </c>
      <c r="F91" s="66">
        <v>0</v>
      </c>
      <c r="G91" s="66">
        <v>0</v>
      </c>
      <c r="H91" s="66">
        <v>2</v>
      </c>
      <c r="I91" s="66">
        <v>13</v>
      </c>
      <c r="J91" s="66">
        <v>0</v>
      </c>
      <c r="K91" s="66">
        <v>0</v>
      </c>
      <c r="L91" s="66">
        <v>0</v>
      </c>
      <c r="M91" s="66">
        <v>0</v>
      </c>
      <c r="N91" s="66">
        <v>2</v>
      </c>
      <c r="O91" s="66">
        <v>28</v>
      </c>
      <c r="P91" s="66">
        <v>112</v>
      </c>
      <c r="Q91" s="66">
        <v>168</v>
      </c>
      <c r="R91" s="66">
        <v>117</v>
      </c>
      <c r="S91" s="66">
        <v>20</v>
      </c>
      <c r="T91" s="66">
        <v>102</v>
      </c>
      <c r="U91" s="66">
        <v>19</v>
      </c>
      <c r="V91" s="66">
        <v>81</v>
      </c>
      <c r="W91" s="66">
        <v>78</v>
      </c>
      <c r="X91" s="66">
        <v>40</v>
      </c>
      <c r="Y91" s="66">
        <v>16</v>
      </c>
      <c r="Z91" s="66">
        <v>68</v>
      </c>
      <c r="AA91" s="66">
        <v>68</v>
      </c>
      <c r="AB91" s="66">
        <v>67</v>
      </c>
      <c r="AC91" s="66">
        <v>187</v>
      </c>
      <c r="AD91" s="66">
        <v>161</v>
      </c>
      <c r="AE91" s="66">
        <v>185</v>
      </c>
      <c r="AF91" s="66">
        <v>75</v>
      </c>
      <c r="AG91" s="66">
        <v>42</v>
      </c>
      <c r="AH91" s="66">
        <v>274</v>
      </c>
      <c r="AI91" s="66">
        <v>160</v>
      </c>
      <c r="AJ91" s="66">
        <v>51</v>
      </c>
      <c r="AK91" s="66">
        <v>54</v>
      </c>
      <c r="AL91" s="66">
        <v>153</v>
      </c>
      <c r="AM91" s="66">
        <v>65</v>
      </c>
      <c r="AN91" s="66">
        <v>106</v>
      </c>
      <c r="AO91" s="66">
        <v>68</v>
      </c>
      <c r="AP91" s="66">
        <v>80</v>
      </c>
      <c r="AQ91" s="66">
        <v>133</v>
      </c>
      <c r="AR91" s="66">
        <v>312</v>
      </c>
      <c r="AS91" s="66">
        <v>250</v>
      </c>
      <c r="AT91" s="66">
        <v>740</v>
      </c>
      <c r="AU91" s="66">
        <v>121</v>
      </c>
      <c r="AV91" s="66">
        <v>104</v>
      </c>
      <c r="AW91" s="66">
        <v>258</v>
      </c>
      <c r="AX91" s="66">
        <v>160</v>
      </c>
      <c r="AY91" s="66">
        <v>615</v>
      </c>
      <c r="AZ91" s="66">
        <v>199</v>
      </c>
      <c r="BA91" s="66">
        <v>426</v>
      </c>
      <c r="BB91" s="66">
        <v>497</v>
      </c>
      <c r="BC91" s="66">
        <v>290</v>
      </c>
      <c r="BD91" s="66">
        <v>19</v>
      </c>
      <c r="BE91" s="66">
        <v>1</v>
      </c>
      <c r="BF91" s="66">
        <v>0</v>
      </c>
      <c r="BG91" s="66">
        <v>0</v>
      </c>
      <c r="BH91" s="66">
        <v>0</v>
      </c>
      <c r="BI91" s="66">
        <v>1</v>
      </c>
      <c r="BJ91" s="66">
        <v>1</v>
      </c>
      <c r="BK91" s="66">
        <v>0</v>
      </c>
      <c r="BL91" s="66">
        <v>95</v>
      </c>
      <c r="BM91" s="66">
        <v>0</v>
      </c>
      <c r="BN91" s="66">
        <v>1</v>
      </c>
      <c r="BO91" s="66">
        <v>0</v>
      </c>
      <c r="BP91" s="66">
        <v>1</v>
      </c>
      <c r="BQ91" s="66">
        <v>0</v>
      </c>
      <c r="BR91" s="66">
        <v>0</v>
      </c>
      <c r="BS91" s="66">
        <v>0</v>
      </c>
      <c r="BT91" s="66">
        <v>0</v>
      </c>
      <c r="BU91" s="66">
        <v>0</v>
      </c>
      <c r="BV91" s="66">
        <v>0</v>
      </c>
      <c r="BW91" s="66">
        <v>0</v>
      </c>
      <c r="BX91" s="66">
        <v>0</v>
      </c>
      <c r="BY91" s="66">
        <v>443</v>
      </c>
      <c r="BZ91" s="66">
        <v>280</v>
      </c>
      <c r="CA91" s="66">
        <v>68</v>
      </c>
      <c r="CB91" s="66">
        <v>85</v>
      </c>
      <c r="CC91" s="66">
        <v>50</v>
      </c>
      <c r="CD91" s="66">
        <v>412</v>
      </c>
      <c r="CE91" s="66">
        <v>172</v>
      </c>
      <c r="CF91" s="66">
        <v>17</v>
      </c>
      <c r="CG91" s="66">
        <v>57</v>
      </c>
      <c r="CH91" s="66">
        <v>74</v>
      </c>
      <c r="CI91" s="66">
        <v>0</v>
      </c>
      <c r="CJ91" s="66">
        <v>5</v>
      </c>
      <c r="CK91" s="66">
        <v>26</v>
      </c>
      <c r="CL91" s="66">
        <v>214</v>
      </c>
      <c r="CM91" s="66">
        <v>78</v>
      </c>
      <c r="CN91" s="66">
        <v>48</v>
      </c>
      <c r="CO91" s="66">
        <v>393</v>
      </c>
      <c r="CP91" s="66">
        <v>74</v>
      </c>
      <c r="CQ91" s="66">
        <v>148</v>
      </c>
      <c r="CR91" s="66">
        <v>16</v>
      </c>
      <c r="CS91" s="66">
        <v>49</v>
      </c>
      <c r="CT91" s="66">
        <v>9</v>
      </c>
      <c r="CU91" s="66">
        <v>33</v>
      </c>
      <c r="CV91" s="66">
        <v>86</v>
      </c>
      <c r="CW91" s="66">
        <v>721</v>
      </c>
      <c r="CX91" s="66">
        <v>96</v>
      </c>
      <c r="CY91" s="66">
        <v>147</v>
      </c>
      <c r="CZ91" s="66">
        <v>132</v>
      </c>
      <c r="DA91" s="66">
        <v>526</v>
      </c>
    </row>
    <row r="92" spans="1:105" ht="15" x14ac:dyDescent="0.35">
      <c r="A92" s="5" t="s">
        <v>333</v>
      </c>
      <c r="B92" s="5" t="s">
        <v>507</v>
      </c>
      <c r="C92" s="66">
        <v>0</v>
      </c>
      <c r="D92" s="66">
        <v>0</v>
      </c>
      <c r="E92" s="66">
        <v>0</v>
      </c>
      <c r="F92" s="66">
        <v>0</v>
      </c>
      <c r="G92" s="66">
        <v>0</v>
      </c>
      <c r="H92" s="66">
        <v>0</v>
      </c>
      <c r="I92" s="66">
        <v>0</v>
      </c>
      <c r="J92" s="66">
        <v>0</v>
      </c>
      <c r="K92" s="66">
        <v>0</v>
      </c>
      <c r="L92" s="66">
        <v>0</v>
      </c>
      <c r="M92" s="66">
        <v>0</v>
      </c>
      <c r="N92" s="66">
        <v>0</v>
      </c>
      <c r="O92" s="66">
        <v>0</v>
      </c>
      <c r="P92" s="66">
        <v>0</v>
      </c>
      <c r="Q92" s="66">
        <v>0</v>
      </c>
      <c r="R92" s="66">
        <v>0</v>
      </c>
      <c r="S92" s="66">
        <v>0</v>
      </c>
      <c r="T92" s="66">
        <v>0</v>
      </c>
      <c r="U92" s="66">
        <v>0</v>
      </c>
      <c r="V92" s="66">
        <v>0</v>
      </c>
      <c r="W92" s="66">
        <v>0</v>
      </c>
      <c r="X92" s="66">
        <v>73</v>
      </c>
      <c r="Y92" s="66">
        <v>59</v>
      </c>
      <c r="Z92" s="66">
        <v>59</v>
      </c>
      <c r="AA92" s="66">
        <v>30</v>
      </c>
      <c r="AB92" s="66">
        <v>13</v>
      </c>
      <c r="AC92" s="66">
        <v>31</v>
      </c>
      <c r="AD92" s="66">
        <v>27</v>
      </c>
      <c r="AE92" s="66">
        <v>35</v>
      </c>
      <c r="AF92" s="66">
        <v>28</v>
      </c>
      <c r="AG92" s="66">
        <v>39</v>
      </c>
      <c r="AH92" s="66">
        <v>23</v>
      </c>
      <c r="AI92" s="66">
        <v>18</v>
      </c>
      <c r="AJ92" s="66">
        <v>16</v>
      </c>
      <c r="AK92" s="66">
        <v>11</v>
      </c>
      <c r="AL92" s="66">
        <v>35</v>
      </c>
      <c r="AM92" s="66">
        <v>34</v>
      </c>
      <c r="AN92" s="66">
        <v>28</v>
      </c>
      <c r="AO92" s="66">
        <v>28</v>
      </c>
      <c r="AP92" s="66">
        <v>51</v>
      </c>
      <c r="AQ92" s="66">
        <v>84</v>
      </c>
      <c r="AR92" s="66">
        <v>34</v>
      </c>
      <c r="AS92" s="66">
        <v>78</v>
      </c>
      <c r="AT92" s="66">
        <v>64</v>
      </c>
      <c r="AU92" s="66">
        <v>92</v>
      </c>
      <c r="AV92" s="66">
        <v>82</v>
      </c>
      <c r="AW92" s="66">
        <v>28</v>
      </c>
      <c r="AX92" s="66">
        <v>43</v>
      </c>
      <c r="AY92" s="66">
        <v>28</v>
      </c>
      <c r="AZ92" s="66">
        <v>24</v>
      </c>
      <c r="BA92" s="66">
        <v>46</v>
      </c>
      <c r="BB92" s="66">
        <v>75</v>
      </c>
      <c r="BC92" s="66">
        <v>36</v>
      </c>
      <c r="BD92" s="66">
        <v>45</v>
      </c>
      <c r="BE92" s="66">
        <v>6</v>
      </c>
      <c r="BF92" s="66">
        <v>0</v>
      </c>
      <c r="BG92" s="66">
        <v>41</v>
      </c>
      <c r="BH92" s="66">
        <v>22</v>
      </c>
      <c r="BI92" s="66">
        <v>22</v>
      </c>
      <c r="BJ92" s="66">
        <v>27</v>
      </c>
      <c r="BK92" s="66">
        <v>53</v>
      </c>
      <c r="BL92" s="66">
        <v>69</v>
      </c>
      <c r="BM92" s="66">
        <v>35</v>
      </c>
      <c r="BN92" s="66">
        <v>33</v>
      </c>
      <c r="BO92" s="66">
        <v>9</v>
      </c>
      <c r="BP92" s="66">
        <v>24</v>
      </c>
      <c r="BQ92" s="66">
        <v>68</v>
      </c>
      <c r="BR92" s="66">
        <v>0</v>
      </c>
      <c r="BS92" s="66">
        <v>2</v>
      </c>
      <c r="BT92" s="66">
        <v>1</v>
      </c>
      <c r="BU92" s="66">
        <v>1</v>
      </c>
      <c r="BV92" s="66">
        <v>0</v>
      </c>
      <c r="BW92" s="66">
        <v>0</v>
      </c>
      <c r="BX92" s="66">
        <v>0</v>
      </c>
      <c r="BY92" s="66">
        <v>1</v>
      </c>
      <c r="BZ92" s="66">
        <v>19</v>
      </c>
      <c r="CA92" s="66">
        <v>61</v>
      </c>
      <c r="CB92" s="66">
        <v>67</v>
      </c>
      <c r="CC92" s="66">
        <v>41</v>
      </c>
      <c r="CD92" s="66">
        <v>67</v>
      </c>
      <c r="CE92" s="66">
        <v>22</v>
      </c>
      <c r="CF92" s="66">
        <v>57</v>
      </c>
      <c r="CG92" s="66">
        <v>32</v>
      </c>
      <c r="CH92" s="66">
        <v>22</v>
      </c>
      <c r="CI92" s="66">
        <v>42</v>
      </c>
      <c r="CJ92" s="66">
        <v>33</v>
      </c>
      <c r="CK92" s="66">
        <v>37</v>
      </c>
      <c r="CL92" s="66">
        <v>67</v>
      </c>
      <c r="CM92" s="66">
        <v>30</v>
      </c>
      <c r="CN92" s="66">
        <v>44</v>
      </c>
      <c r="CO92" s="66">
        <v>33</v>
      </c>
      <c r="CP92" s="66">
        <v>93</v>
      </c>
      <c r="CQ92" s="66">
        <v>24</v>
      </c>
      <c r="CR92" s="66">
        <v>85</v>
      </c>
      <c r="CS92" s="66">
        <v>16</v>
      </c>
      <c r="CT92" s="66">
        <v>25</v>
      </c>
      <c r="CU92" s="66">
        <v>49</v>
      </c>
      <c r="CV92" s="66">
        <v>78</v>
      </c>
      <c r="CW92" s="66">
        <v>45</v>
      </c>
      <c r="CX92" s="66">
        <v>43</v>
      </c>
      <c r="CY92" s="66">
        <v>42</v>
      </c>
      <c r="CZ92" s="66">
        <v>36</v>
      </c>
      <c r="DA92" s="66">
        <v>20</v>
      </c>
    </row>
    <row r="93" spans="1:105" ht="15" x14ac:dyDescent="0.35">
      <c r="A93" s="5" t="s">
        <v>334</v>
      </c>
      <c r="B93" s="5" t="s">
        <v>508</v>
      </c>
      <c r="C93" s="66">
        <v>0</v>
      </c>
      <c r="D93" s="66">
        <v>0</v>
      </c>
      <c r="E93" s="66">
        <v>0</v>
      </c>
      <c r="F93" s="66">
        <v>0</v>
      </c>
      <c r="G93" s="66">
        <v>0</v>
      </c>
      <c r="H93" s="66">
        <v>0</v>
      </c>
      <c r="I93" s="66">
        <v>0</v>
      </c>
      <c r="J93" s="66">
        <v>199</v>
      </c>
      <c r="K93" s="66">
        <v>163</v>
      </c>
      <c r="L93" s="66">
        <v>99</v>
      </c>
      <c r="M93" s="66">
        <v>616</v>
      </c>
      <c r="N93" s="66">
        <v>232</v>
      </c>
      <c r="O93" s="66">
        <v>97</v>
      </c>
      <c r="P93" s="66">
        <v>251</v>
      </c>
      <c r="Q93" s="66">
        <v>556</v>
      </c>
      <c r="R93" s="66">
        <v>66</v>
      </c>
      <c r="S93" s="66">
        <v>397</v>
      </c>
      <c r="T93" s="66">
        <v>76</v>
      </c>
      <c r="U93" s="66">
        <v>175</v>
      </c>
      <c r="V93" s="66">
        <v>205</v>
      </c>
      <c r="W93" s="66">
        <v>145</v>
      </c>
      <c r="X93" s="66">
        <v>248</v>
      </c>
      <c r="Y93" s="66">
        <v>77</v>
      </c>
      <c r="Z93" s="66">
        <v>68</v>
      </c>
      <c r="AA93" s="66">
        <v>114</v>
      </c>
      <c r="AB93" s="66">
        <v>52</v>
      </c>
      <c r="AC93" s="66">
        <v>106</v>
      </c>
      <c r="AD93" s="66">
        <v>158</v>
      </c>
      <c r="AE93" s="66">
        <v>111</v>
      </c>
      <c r="AF93" s="66">
        <v>247</v>
      </c>
      <c r="AG93" s="66">
        <v>694</v>
      </c>
      <c r="AH93" s="66">
        <v>107</v>
      </c>
      <c r="AI93" s="66">
        <v>162</v>
      </c>
      <c r="AJ93" s="66">
        <v>79</v>
      </c>
      <c r="AK93" s="66">
        <v>53</v>
      </c>
      <c r="AL93" s="66">
        <v>250</v>
      </c>
      <c r="AM93" s="66">
        <v>199</v>
      </c>
      <c r="AN93" s="66">
        <v>33</v>
      </c>
      <c r="AO93" s="66">
        <v>68</v>
      </c>
      <c r="AP93" s="66">
        <v>146</v>
      </c>
      <c r="AQ93" s="66">
        <v>57</v>
      </c>
      <c r="AR93" s="66">
        <v>390</v>
      </c>
      <c r="AS93" s="66">
        <v>217</v>
      </c>
      <c r="AT93" s="66">
        <v>256</v>
      </c>
      <c r="AU93" s="66">
        <v>216</v>
      </c>
      <c r="AV93" s="66">
        <v>38</v>
      </c>
      <c r="AW93" s="66">
        <v>152</v>
      </c>
      <c r="AX93" s="66">
        <v>130</v>
      </c>
      <c r="AY93" s="66">
        <v>645</v>
      </c>
      <c r="AZ93" s="66">
        <v>104</v>
      </c>
      <c r="BA93" s="66">
        <v>216</v>
      </c>
      <c r="BB93" s="66">
        <v>286</v>
      </c>
      <c r="BC93" s="66">
        <v>230</v>
      </c>
      <c r="BD93" s="66">
        <v>87</v>
      </c>
      <c r="BE93" s="66">
        <v>44</v>
      </c>
      <c r="BF93" s="66">
        <v>0</v>
      </c>
      <c r="BG93" s="66">
        <v>737</v>
      </c>
      <c r="BH93" s="66">
        <v>111</v>
      </c>
      <c r="BI93" s="66">
        <v>40</v>
      </c>
      <c r="BJ93" s="66">
        <v>60</v>
      </c>
      <c r="BK93" s="66">
        <v>347</v>
      </c>
      <c r="BL93" s="66">
        <v>59</v>
      </c>
      <c r="BM93" s="66">
        <v>54</v>
      </c>
      <c r="BN93" s="66">
        <v>133</v>
      </c>
      <c r="BO93" s="66">
        <v>23</v>
      </c>
      <c r="BP93" s="66">
        <v>66</v>
      </c>
      <c r="BQ93" s="66">
        <v>141</v>
      </c>
      <c r="BR93" s="66">
        <v>29</v>
      </c>
      <c r="BS93" s="66">
        <v>105</v>
      </c>
      <c r="BT93" s="66">
        <v>207</v>
      </c>
      <c r="BU93" s="66">
        <v>48</v>
      </c>
      <c r="BV93" s="66">
        <v>87</v>
      </c>
      <c r="BW93" s="66">
        <v>79</v>
      </c>
      <c r="BX93" s="66">
        <v>26</v>
      </c>
      <c r="BY93" s="66">
        <v>81</v>
      </c>
      <c r="BZ93" s="66">
        <v>118</v>
      </c>
      <c r="CA93" s="66">
        <v>169</v>
      </c>
      <c r="CB93" s="66">
        <v>138</v>
      </c>
      <c r="CC93" s="66">
        <v>35</v>
      </c>
      <c r="CD93" s="66">
        <v>90</v>
      </c>
      <c r="CE93" s="66">
        <v>244</v>
      </c>
      <c r="CF93" s="66">
        <v>34</v>
      </c>
      <c r="CG93" s="66">
        <v>292</v>
      </c>
      <c r="CH93" s="66">
        <v>92</v>
      </c>
      <c r="CI93" s="66">
        <v>109</v>
      </c>
      <c r="CJ93" s="66">
        <v>80</v>
      </c>
      <c r="CK93" s="66">
        <v>30</v>
      </c>
      <c r="CL93" s="66">
        <v>157</v>
      </c>
      <c r="CM93" s="66">
        <v>111</v>
      </c>
      <c r="CN93" s="66">
        <v>77</v>
      </c>
      <c r="CO93" s="66">
        <v>42</v>
      </c>
      <c r="CP93" s="66">
        <v>89</v>
      </c>
      <c r="CQ93" s="66">
        <v>130</v>
      </c>
      <c r="CR93" s="66">
        <v>261</v>
      </c>
      <c r="CS93" s="66">
        <v>152</v>
      </c>
      <c r="CT93" s="66">
        <v>746</v>
      </c>
      <c r="CU93" s="66">
        <v>97</v>
      </c>
      <c r="CV93" s="66">
        <v>80</v>
      </c>
      <c r="CW93" s="66">
        <v>39</v>
      </c>
      <c r="CX93" s="66">
        <v>88</v>
      </c>
      <c r="CY93" s="66">
        <v>70</v>
      </c>
      <c r="CZ93" s="66">
        <v>90</v>
      </c>
      <c r="DA93" s="66">
        <v>101</v>
      </c>
    </row>
    <row r="94" spans="1:105" ht="15" x14ac:dyDescent="0.35">
      <c r="A94" s="5" t="s">
        <v>335</v>
      </c>
      <c r="B94" s="5" t="s">
        <v>509</v>
      </c>
      <c r="C94" s="66">
        <v>325</v>
      </c>
      <c r="D94" s="66">
        <v>251</v>
      </c>
      <c r="E94" s="66">
        <v>83</v>
      </c>
      <c r="F94" s="66">
        <v>0</v>
      </c>
      <c r="G94" s="66">
        <v>120</v>
      </c>
      <c r="H94" s="66">
        <v>67</v>
      </c>
      <c r="I94" s="66">
        <v>94</v>
      </c>
      <c r="J94" s="66">
        <v>14</v>
      </c>
      <c r="K94" s="66">
        <v>35</v>
      </c>
      <c r="L94" s="66">
        <v>11</v>
      </c>
      <c r="M94" s="66">
        <v>30</v>
      </c>
      <c r="N94" s="66">
        <v>21</v>
      </c>
      <c r="O94" s="66">
        <v>16</v>
      </c>
      <c r="P94" s="66">
        <v>26</v>
      </c>
      <c r="Q94" s="66">
        <v>4</v>
      </c>
      <c r="R94" s="66">
        <v>13</v>
      </c>
      <c r="S94" s="66">
        <v>6</v>
      </c>
      <c r="T94" s="66">
        <v>7</v>
      </c>
      <c r="U94" s="66">
        <v>13</v>
      </c>
      <c r="V94" s="66">
        <v>3</v>
      </c>
      <c r="W94" s="66">
        <v>0</v>
      </c>
      <c r="X94" s="66">
        <v>29</v>
      </c>
      <c r="Y94" s="66">
        <v>1</v>
      </c>
      <c r="Z94" s="66">
        <v>2</v>
      </c>
      <c r="AA94" s="66">
        <v>1</v>
      </c>
      <c r="AB94" s="66">
        <v>2</v>
      </c>
      <c r="AC94" s="66">
        <v>7</v>
      </c>
      <c r="AD94" s="66">
        <v>2</v>
      </c>
      <c r="AE94" s="66">
        <v>5</v>
      </c>
      <c r="AF94" s="66">
        <v>1</v>
      </c>
      <c r="AG94" s="66">
        <v>31</v>
      </c>
      <c r="AH94" s="66">
        <v>0</v>
      </c>
      <c r="AI94" s="66">
        <v>2</v>
      </c>
      <c r="AJ94" s="66">
        <v>76</v>
      </c>
      <c r="AK94" s="66">
        <v>14</v>
      </c>
      <c r="AL94" s="66">
        <v>2</v>
      </c>
      <c r="AM94" s="66">
        <v>36</v>
      </c>
      <c r="AN94" s="66">
        <v>10</v>
      </c>
      <c r="AO94" s="66">
        <v>5</v>
      </c>
      <c r="AP94" s="66">
        <v>37</v>
      </c>
      <c r="AQ94" s="66">
        <v>58</v>
      </c>
      <c r="AR94" s="66">
        <v>39</v>
      </c>
      <c r="AS94" s="66">
        <v>104</v>
      </c>
      <c r="AT94" s="66">
        <v>133</v>
      </c>
      <c r="AU94" s="66">
        <v>31</v>
      </c>
      <c r="AV94" s="66">
        <v>119</v>
      </c>
      <c r="AW94" s="66">
        <v>75</v>
      </c>
      <c r="AX94" s="66">
        <v>225</v>
      </c>
      <c r="AY94" s="66">
        <v>136</v>
      </c>
      <c r="AZ94" s="66">
        <v>211</v>
      </c>
      <c r="BA94" s="66">
        <v>328</v>
      </c>
      <c r="BB94" s="66">
        <v>563</v>
      </c>
      <c r="BC94" s="66">
        <v>396</v>
      </c>
      <c r="BD94" s="66">
        <v>284</v>
      </c>
      <c r="BE94" s="66">
        <v>313</v>
      </c>
      <c r="BF94" s="66">
        <v>0</v>
      </c>
      <c r="BG94" s="66">
        <v>117</v>
      </c>
      <c r="BH94" s="66">
        <v>27</v>
      </c>
      <c r="BI94" s="66">
        <v>17</v>
      </c>
      <c r="BJ94" s="66">
        <v>18</v>
      </c>
      <c r="BK94" s="66">
        <v>8</v>
      </c>
      <c r="BL94" s="66">
        <v>24</v>
      </c>
      <c r="BM94" s="66">
        <v>37</v>
      </c>
      <c r="BN94" s="66">
        <v>31</v>
      </c>
      <c r="BO94" s="66">
        <v>10</v>
      </c>
      <c r="BP94" s="66">
        <v>10</v>
      </c>
      <c r="BQ94" s="66">
        <v>12</v>
      </c>
      <c r="BR94" s="66">
        <v>4</v>
      </c>
      <c r="BS94" s="66">
        <v>6</v>
      </c>
      <c r="BT94" s="66">
        <v>2</v>
      </c>
      <c r="BU94" s="66">
        <v>4</v>
      </c>
      <c r="BV94" s="66">
        <v>2</v>
      </c>
      <c r="BW94" s="66">
        <v>3</v>
      </c>
      <c r="BX94" s="66">
        <v>4</v>
      </c>
      <c r="BY94" s="66">
        <v>6</v>
      </c>
      <c r="BZ94" s="66">
        <v>9</v>
      </c>
      <c r="CA94" s="66">
        <v>4</v>
      </c>
      <c r="CB94" s="66">
        <v>4</v>
      </c>
      <c r="CC94" s="66">
        <v>7</v>
      </c>
      <c r="CD94" s="66">
        <v>10</v>
      </c>
      <c r="CE94" s="66">
        <v>2</v>
      </c>
      <c r="CF94" s="66">
        <v>2</v>
      </c>
      <c r="CG94" s="66">
        <v>12</v>
      </c>
      <c r="CH94" s="66">
        <v>2</v>
      </c>
      <c r="CI94" s="66">
        <v>8</v>
      </c>
      <c r="CJ94" s="66">
        <v>2</v>
      </c>
      <c r="CK94" s="66">
        <v>0</v>
      </c>
      <c r="CL94" s="66">
        <v>33</v>
      </c>
      <c r="CM94" s="66">
        <v>6</v>
      </c>
      <c r="CN94" s="66">
        <v>58</v>
      </c>
      <c r="CO94" s="66">
        <v>20</v>
      </c>
      <c r="CP94" s="66">
        <v>60</v>
      </c>
      <c r="CQ94" s="66">
        <v>45</v>
      </c>
      <c r="CR94" s="66">
        <v>67</v>
      </c>
      <c r="CS94" s="66">
        <v>136</v>
      </c>
      <c r="CT94" s="66">
        <v>65</v>
      </c>
      <c r="CU94" s="66">
        <v>82</v>
      </c>
      <c r="CV94" s="66">
        <v>33</v>
      </c>
      <c r="CW94" s="66">
        <v>41</v>
      </c>
      <c r="CX94" s="66">
        <v>249</v>
      </c>
      <c r="CY94" s="66">
        <v>168</v>
      </c>
      <c r="CZ94" s="66">
        <v>150</v>
      </c>
      <c r="DA94" s="66">
        <v>86</v>
      </c>
    </row>
    <row r="95" spans="1:105" ht="15" x14ac:dyDescent="0.35">
      <c r="A95" s="5" t="s">
        <v>336</v>
      </c>
      <c r="B95" s="5" t="s">
        <v>510</v>
      </c>
      <c r="C95" s="66">
        <v>1026</v>
      </c>
      <c r="D95" s="66">
        <v>1302</v>
      </c>
      <c r="E95" s="66">
        <v>23</v>
      </c>
      <c r="F95" s="66">
        <v>0</v>
      </c>
      <c r="G95" s="66">
        <v>714</v>
      </c>
      <c r="H95" s="66">
        <v>455</v>
      </c>
      <c r="I95" s="66">
        <v>463</v>
      </c>
      <c r="J95" s="66">
        <v>439</v>
      </c>
      <c r="K95" s="66">
        <v>374</v>
      </c>
      <c r="L95" s="66">
        <v>338</v>
      </c>
      <c r="M95" s="66">
        <v>156</v>
      </c>
      <c r="N95" s="66">
        <v>563</v>
      </c>
      <c r="O95" s="66">
        <v>789</v>
      </c>
      <c r="P95" s="66">
        <v>394</v>
      </c>
      <c r="Q95" s="66">
        <v>571</v>
      </c>
      <c r="R95" s="66">
        <v>305</v>
      </c>
      <c r="S95" s="66">
        <v>293</v>
      </c>
      <c r="T95" s="66">
        <v>213</v>
      </c>
      <c r="U95" s="66">
        <v>211</v>
      </c>
      <c r="V95" s="66">
        <v>484</v>
      </c>
      <c r="W95" s="66">
        <v>429</v>
      </c>
      <c r="X95" s="66">
        <v>643</v>
      </c>
      <c r="Y95" s="66">
        <v>699</v>
      </c>
      <c r="Z95" s="66">
        <v>282</v>
      </c>
      <c r="AA95" s="66">
        <v>574</v>
      </c>
      <c r="AB95" s="66">
        <v>184</v>
      </c>
      <c r="AC95" s="66">
        <v>525</v>
      </c>
      <c r="AD95" s="66">
        <v>611</v>
      </c>
      <c r="AE95" s="66">
        <v>423</v>
      </c>
      <c r="AF95" s="66">
        <v>534</v>
      </c>
      <c r="AG95" s="66">
        <v>440</v>
      </c>
      <c r="AH95" s="66">
        <v>694</v>
      </c>
      <c r="AI95" s="66">
        <v>433</v>
      </c>
      <c r="AJ95" s="66">
        <v>431</v>
      </c>
      <c r="AK95" s="66">
        <v>231</v>
      </c>
      <c r="AL95" s="66">
        <v>470</v>
      </c>
      <c r="AM95" s="66">
        <v>438</v>
      </c>
      <c r="AN95" s="66">
        <v>337</v>
      </c>
      <c r="AO95" s="66">
        <v>297</v>
      </c>
      <c r="AP95" s="66">
        <v>389</v>
      </c>
      <c r="AQ95" s="66">
        <v>401</v>
      </c>
      <c r="AR95" s="66">
        <v>465</v>
      </c>
      <c r="AS95" s="66">
        <v>436</v>
      </c>
      <c r="AT95" s="66">
        <v>1025</v>
      </c>
      <c r="AU95" s="66">
        <v>400</v>
      </c>
      <c r="AV95" s="66">
        <v>450</v>
      </c>
      <c r="AW95" s="66">
        <v>579</v>
      </c>
      <c r="AX95" s="66">
        <v>615</v>
      </c>
      <c r="AY95" s="66">
        <v>1010</v>
      </c>
      <c r="AZ95" s="66">
        <v>423</v>
      </c>
      <c r="BA95" s="66">
        <v>544</v>
      </c>
      <c r="BB95" s="66">
        <v>956</v>
      </c>
      <c r="BC95" s="66">
        <v>265</v>
      </c>
      <c r="BD95" s="66">
        <v>364</v>
      </c>
      <c r="BE95" s="66">
        <v>41</v>
      </c>
      <c r="BF95" s="66">
        <v>0</v>
      </c>
      <c r="BG95" s="66">
        <v>136</v>
      </c>
      <c r="BH95" s="66">
        <v>40</v>
      </c>
      <c r="BI95" s="66">
        <v>160</v>
      </c>
      <c r="BJ95" s="66">
        <v>146</v>
      </c>
      <c r="BK95" s="66">
        <v>286</v>
      </c>
      <c r="BL95" s="66">
        <v>98</v>
      </c>
      <c r="BM95" s="66">
        <v>145</v>
      </c>
      <c r="BN95" s="66">
        <v>439</v>
      </c>
      <c r="BO95" s="66">
        <v>306</v>
      </c>
      <c r="BP95" s="66">
        <v>314</v>
      </c>
      <c r="BQ95" s="66">
        <v>136</v>
      </c>
      <c r="BR95" s="66">
        <v>343</v>
      </c>
      <c r="BS95" s="66">
        <v>271</v>
      </c>
      <c r="BT95" s="66">
        <v>200</v>
      </c>
      <c r="BU95" s="66">
        <v>178</v>
      </c>
      <c r="BV95" s="66">
        <v>120</v>
      </c>
      <c r="BW95" s="66">
        <v>211</v>
      </c>
      <c r="BX95" s="66">
        <v>254</v>
      </c>
      <c r="BY95" s="66">
        <v>136</v>
      </c>
      <c r="BZ95" s="66">
        <v>304</v>
      </c>
      <c r="CA95" s="66">
        <v>119</v>
      </c>
      <c r="CB95" s="66">
        <v>114</v>
      </c>
      <c r="CC95" s="66">
        <v>193</v>
      </c>
      <c r="CD95" s="66">
        <v>86</v>
      </c>
      <c r="CE95" s="66">
        <v>181</v>
      </c>
      <c r="CF95" s="66">
        <v>103</v>
      </c>
      <c r="CG95" s="66">
        <v>89</v>
      </c>
      <c r="CH95" s="66">
        <v>146</v>
      </c>
      <c r="CI95" s="66">
        <v>177</v>
      </c>
      <c r="CJ95" s="66">
        <v>93</v>
      </c>
      <c r="CK95" s="66">
        <v>116</v>
      </c>
      <c r="CL95" s="66">
        <v>117</v>
      </c>
      <c r="CM95" s="66">
        <v>108</v>
      </c>
      <c r="CN95" s="66">
        <v>147</v>
      </c>
      <c r="CO95" s="66">
        <v>73</v>
      </c>
      <c r="CP95" s="66">
        <v>287</v>
      </c>
      <c r="CQ95" s="66">
        <v>213</v>
      </c>
      <c r="CR95" s="66">
        <v>206</v>
      </c>
      <c r="CS95" s="66">
        <v>211</v>
      </c>
      <c r="CT95" s="66">
        <v>130</v>
      </c>
      <c r="CU95" s="66">
        <v>466</v>
      </c>
      <c r="CV95" s="66">
        <v>254</v>
      </c>
      <c r="CW95" s="66">
        <v>135</v>
      </c>
      <c r="CX95" s="66">
        <v>222</v>
      </c>
      <c r="CY95" s="66">
        <v>150</v>
      </c>
      <c r="CZ95" s="66">
        <v>768</v>
      </c>
      <c r="DA95" s="66">
        <v>225</v>
      </c>
    </row>
    <row r="96" spans="1:105" ht="15" x14ac:dyDescent="0.35">
      <c r="A96" s="5" t="s">
        <v>337</v>
      </c>
      <c r="B96" s="5" t="s">
        <v>511</v>
      </c>
      <c r="C96" s="66">
        <v>171</v>
      </c>
      <c r="D96" s="66">
        <v>29</v>
      </c>
      <c r="E96" s="66">
        <v>10</v>
      </c>
      <c r="F96" s="66">
        <v>0</v>
      </c>
      <c r="G96" s="66">
        <v>27</v>
      </c>
      <c r="H96" s="66">
        <v>142</v>
      </c>
      <c r="I96" s="66">
        <v>100</v>
      </c>
      <c r="J96" s="66">
        <v>19</v>
      </c>
      <c r="K96" s="66">
        <v>16</v>
      </c>
      <c r="L96" s="66">
        <v>33</v>
      </c>
      <c r="M96" s="66">
        <v>222</v>
      </c>
      <c r="N96" s="66">
        <v>268</v>
      </c>
      <c r="O96" s="66">
        <v>257</v>
      </c>
      <c r="P96" s="66">
        <v>118</v>
      </c>
      <c r="Q96" s="66">
        <v>122</v>
      </c>
      <c r="R96" s="66">
        <v>77</v>
      </c>
      <c r="S96" s="66">
        <v>30</v>
      </c>
      <c r="T96" s="66">
        <v>37</v>
      </c>
      <c r="U96" s="66">
        <v>55</v>
      </c>
      <c r="V96" s="66">
        <v>22</v>
      </c>
      <c r="W96" s="66">
        <v>123</v>
      </c>
      <c r="X96" s="66">
        <v>80</v>
      </c>
      <c r="Y96" s="66">
        <v>28</v>
      </c>
      <c r="Z96" s="66">
        <v>7</v>
      </c>
      <c r="AA96" s="66">
        <v>32</v>
      </c>
      <c r="AB96" s="66">
        <v>39</v>
      </c>
      <c r="AC96" s="66">
        <v>56</v>
      </c>
      <c r="AD96" s="66">
        <v>52</v>
      </c>
      <c r="AE96" s="66">
        <v>36</v>
      </c>
      <c r="AF96" s="66">
        <v>59</v>
      </c>
      <c r="AG96" s="66">
        <v>40</v>
      </c>
      <c r="AH96" s="66">
        <v>7</v>
      </c>
      <c r="AI96" s="66">
        <v>18</v>
      </c>
      <c r="AJ96" s="66">
        <v>254</v>
      </c>
      <c r="AK96" s="66">
        <v>30</v>
      </c>
      <c r="AL96" s="66">
        <v>23</v>
      </c>
      <c r="AM96" s="66">
        <v>6</v>
      </c>
      <c r="AN96" s="66">
        <v>7</v>
      </c>
      <c r="AO96" s="66">
        <v>48</v>
      </c>
      <c r="AP96" s="66">
        <v>19</v>
      </c>
      <c r="AQ96" s="66">
        <v>6</v>
      </c>
      <c r="AR96" s="66">
        <v>96</v>
      </c>
      <c r="AS96" s="66">
        <v>85</v>
      </c>
      <c r="AT96" s="66">
        <v>88</v>
      </c>
      <c r="AU96" s="66">
        <v>36</v>
      </c>
      <c r="AV96" s="66">
        <v>218</v>
      </c>
      <c r="AW96" s="66">
        <v>17</v>
      </c>
      <c r="AX96" s="66">
        <v>16</v>
      </c>
      <c r="AY96" s="66">
        <v>37</v>
      </c>
      <c r="AZ96" s="66">
        <v>38</v>
      </c>
      <c r="BA96" s="66">
        <v>87</v>
      </c>
      <c r="BB96" s="66">
        <v>28</v>
      </c>
      <c r="BC96" s="66">
        <v>46</v>
      </c>
      <c r="BD96" s="66">
        <v>5</v>
      </c>
      <c r="BE96" s="66">
        <v>8</v>
      </c>
      <c r="BF96" s="66">
        <v>0</v>
      </c>
      <c r="BG96" s="66">
        <v>24</v>
      </c>
      <c r="BH96" s="66">
        <v>65</v>
      </c>
      <c r="BI96" s="66">
        <v>15</v>
      </c>
      <c r="BJ96" s="66">
        <v>66</v>
      </c>
      <c r="BK96" s="66">
        <v>30</v>
      </c>
      <c r="BL96" s="66">
        <v>33</v>
      </c>
      <c r="BM96" s="66">
        <v>136</v>
      </c>
      <c r="BN96" s="66">
        <v>321</v>
      </c>
      <c r="BO96" s="66">
        <v>273</v>
      </c>
      <c r="BP96" s="66">
        <v>239</v>
      </c>
      <c r="BQ96" s="66">
        <v>287</v>
      </c>
      <c r="BR96" s="66">
        <v>326</v>
      </c>
      <c r="BS96" s="66">
        <v>548</v>
      </c>
      <c r="BT96" s="66">
        <v>525</v>
      </c>
      <c r="BU96" s="66">
        <v>950</v>
      </c>
      <c r="BV96" s="66">
        <v>377</v>
      </c>
      <c r="BW96" s="66">
        <v>486</v>
      </c>
      <c r="BX96" s="66">
        <v>67</v>
      </c>
      <c r="BY96" s="66">
        <v>65</v>
      </c>
      <c r="BZ96" s="66">
        <v>24</v>
      </c>
      <c r="CA96" s="66">
        <v>18</v>
      </c>
      <c r="CB96" s="66">
        <v>8</v>
      </c>
      <c r="CC96" s="66">
        <v>57</v>
      </c>
      <c r="CD96" s="66">
        <v>30</v>
      </c>
      <c r="CE96" s="66">
        <v>40</v>
      </c>
      <c r="CF96" s="66">
        <v>0</v>
      </c>
      <c r="CG96" s="66">
        <v>3</v>
      </c>
      <c r="CH96" s="66">
        <v>11</v>
      </c>
      <c r="CI96" s="66">
        <v>1</v>
      </c>
      <c r="CJ96" s="66">
        <v>1</v>
      </c>
      <c r="CK96" s="66">
        <v>3</v>
      </c>
      <c r="CL96" s="66">
        <v>0</v>
      </c>
      <c r="CM96" s="66">
        <v>1</v>
      </c>
      <c r="CN96" s="66">
        <v>2</v>
      </c>
      <c r="CO96" s="66">
        <v>0</v>
      </c>
      <c r="CP96" s="66">
        <v>1</v>
      </c>
      <c r="CQ96" s="66">
        <v>2</v>
      </c>
      <c r="CR96" s="66">
        <v>0</v>
      </c>
      <c r="CS96" s="66">
        <v>8</v>
      </c>
      <c r="CT96" s="66">
        <v>0</v>
      </c>
      <c r="CU96" s="66">
        <v>0</v>
      </c>
      <c r="CV96" s="66">
        <v>0</v>
      </c>
      <c r="CW96" s="66">
        <v>0</v>
      </c>
      <c r="CX96" s="66">
        <v>0</v>
      </c>
      <c r="CY96" s="66">
        <v>0</v>
      </c>
      <c r="CZ96" s="66">
        <v>0</v>
      </c>
      <c r="DA96" s="66">
        <v>0</v>
      </c>
    </row>
    <row r="97" spans="1:105" ht="15" x14ac:dyDescent="0.35">
      <c r="A97" s="5" t="s">
        <v>338</v>
      </c>
      <c r="B97" s="5" t="s">
        <v>512</v>
      </c>
      <c r="C97" s="66">
        <v>3</v>
      </c>
      <c r="D97" s="66">
        <v>5</v>
      </c>
      <c r="E97" s="66">
        <v>1</v>
      </c>
      <c r="F97" s="66">
        <v>0</v>
      </c>
      <c r="G97" s="66">
        <v>9</v>
      </c>
      <c r="H97" s="66">
        <v>16</v>
      </c>
      <c r="I97" s="66">
        <v>5</v>
      </c>
      <c r="J97" s="66">
        <v>6</v>
      </c>
      <c r="K97" s="66">
        <v>10</v>
      </c>
      <c r="L97" s="66">
        <v>6</v>
      </c>
      <c r="M97" s="66">
        <v>3</v>
      </c>
      <c r="N97" s="66">
        <v>27</v>
      </c>
      <c r="O97" s="66">
        <v>8</v>
      </c>
      <c r="P97" s="66">
        <v>10</v>
      </c>
      <c r="Q97" s="66">
        <v>1</v>
      </c>
      <c r="R97" s="66">
        <v>15</v>
      </c>
      <c r="S97" s="66">
        <v>12</v>
      </c>
      <c r="T97" s="66">
        <v>9</v>
      </c>
      <c r="U97" s="66">
        <v>10</v>
      </c>
      <c r="V97" s="66">
        <v>0</v>
      </c>
      <c r="W97" s="66">
        <v>8</v>
      </c>
      <c r="X97" s="66">
        <v>14</v>
      </c>
      <c r="Y97" s="66">
        <v>3</v>
      </c>
      <c r="Z97" s="66">
        <v>21</v>
      </c>
      <c r="AA97" s="66">
        <v>9</v>
      </c>
      <c r="AB97" s="66">
        <v>9</v>
      </c>
      <c r="AC97" s="66">
        <v>4</v>
      </c>
      <c r="AD97" s="66">
        <v>1</v>
      </c>
      <c r="AE97" s="66">
        <v>0</v>
      </c>
      <c r="AF97" s="66">
        <v>0</v>
      </c>
      <c r="AG97" s="66">
        <v>85</v>
      </c>
      <c r="AH97" s="66">
        <v>28</v>
      </c>
      <c r="AI97" s="66">
        <v>19</v>
      </c>
      <c r="AJ97" s="66">
        <v>2</v>
      </c>
      <c r="AK97" s="66">
        <v>22</v>
      </c>
      <c r="AL97" s="66">
        <v>5</v>
      </c>
      <c r="AM97" s="66">
        <v>0</v>
      </c>
      <c r="AN97" s="66">
        <v>5</v>
      </c>
      <c r="AO97" s="66">
        <v>2</v>
      </c>
      <c r="AP97" s="66">
        <v>14</v>
      </c>
      <c r="AQ97" s="66">
        <v>52</v>
      </c>
      <c r="AR97" s="66">
        <v>3</v>
      </c>
      <c r="AS97" s="66">
        <v>10</v>
      </c>
      <c r="AT97" s="66">
        <v>31</v>
      </c>
      <c r="AU97" s="66">
        <v>18</v>
      </c>
      <c r="AV97" s="66">
        <v>16</v>
      </c>
      <c r="AW97" s="66">
        <v>7</v>
      </c>
      <c r="AX97" s="66">
        <v>18</v>
      </c>
      <c r="AY97" s="66">
        <v>11</v>
      </c>
      <c r="AZ97" s="66">
        <v>23</v>
      </c>
      <c r="BA97" s="66">
        <v>0</v>
      </c>
      <c r="BB97" s="66">
        <v>1</v>
      </c>
      <c r="BC97" s="66">
        <v>1</v>
      </c>
      <c r="BD97" s="66">
        <v>28</v>
      </c>
      <c r="BE97" s="66">
        <v>0</v>
      </c>
      <c r="BF97" s="66">
        <v>0</v>
      </c>
      <c r="BG97" s="66">
        <v>4</v>
      </c>
      <c r="BH97" s="66">
        <v>7</v>
      </c>
      <c r="BI97" s="66">
        <v>4</v>
      </c>
      <c r="BJ97" s="66">
        <v>17</v>
      </c>
      <c r="BK97" s="66">
        <v>0</v>
      </c>
      <c r="BL97" s="66">
        <v>27</v>
      </c>
      <c r="BM97" s="66">
        <v>3</v>
      </c>
      <c r="BN97" s="66">
        <v>10</v>
      </c>
      <c r="BO97" s="66">
        <v>24</v>
      </c>
      <c r="BP97" s="66">
        <v>1</v>
      </c>
      <c r="BQ97" s="66">
        <v>0</v>
      </c>
      <c r="BR97" s="66">
        <v>7</v>
      </c>
      <c r="BS97" s="66">
        <v>3</v>
      </c>
      <c r="BT97" s="66">
        <v>5</v>
      </c>
      <c r="BU97" s="66">
        <v>4</v>
      </c>
      <c r="BV97" s="66">
        <v>4</v>
      </c>
      <c r="BW97" s="66">
        <v>1</v>
      </c>
      <c r="BX97" s="66">
        <v>1</v>
      </c>
      <c r="BY97" s="66">
        <v>34</v>
      </c>
      <c r="BZ97" s="66">
        <v>9</v>
      </c>
      <c r="CA97" s="66">
        <v>2</v>
      </c>
      <c r="CB97" s="66">
        <v>30</v>
      </c>
      <c r="CC97" s="66">
        <v>7</v>
      </c>
      <c r="CD97" s="66">
        <v>6</v>
      </c>
      <c r="CE97" s="66">
        <v>7</v>
      </c>
      <c r="CF97" s="66">
        <v>20</v>
      </c>
      <c r="CG97" s="66">
        <v>25</v>
      </c>
      <c r="CH97" s="66">
        <v>2</v>
      </c>
      <c r="CI97" s="66">
        <v>2</v>
      </c>
      <c r="CJ97" s="66">
        <v>5</v>
      </c>
      <c r="CK97" s="66">
        <v>5</v>
      </c>
      <c r="CL97" s="66">
        <v>5</v>
      </c>
      <c r="CM97" s="66">
        <v>1</v>
      </c>
      <c r="CN97" s="66">
        <v>19</v>
      </c>
      <c r="CO97" s="66">
        <v>2</v>
      </c>
      <c r="CP97" s="66">
        <v>0</v>
      </c>
      <c r="CQ97" s="66">
        <v>1</v>
      </c>
      <c r="CR97" s="66">
        <v>2</v>
      </c>
      <c r="CS97" s="66">
        <v>4</v>
      </c>
      <c r="CT97" s="66">
        <v>4</v>
      </c>
      <c r="CU97" s="66">
        <v>5</v>
      </c>
      <c r="CV97" s="66">
        <v>1</v>
      </c>
      <c r="CW97" s="66">
        <v>11</v>
      </c>
      <c r="CX97" s="66">
        <v>4</v>
      </c>
      <c r="CY97" s="66">
        <v>13</v>
      </c>
      <c r="CZ97" s="66">
        <v>6</v>
      </c>
      <c r="DA97" s="66">
        <v>1</v>
      </c>
    </row>
    <row r="98" spans="1:105" ht="15" x14ac:dyDescent="0.35">
      <c r="A98" s="5" t="s">
        <v>339</v>
      </c>
      <c r="B98" s="5" t="s">
        <v>513</v>
      </c>
      <c r="C98" s="66">
        <v>0</v>
      </c>
      <c r="D98" s="66">
        <v>0</v>
      </c>
      <c r="E98" s="66">
        <v>0</v>
      </c>
      <c r="F98" s="66">
        <v>0</v>
      </c>
      <c r="G98" s="66">
        <v>0</v>
      </c>
      <c r="H98" s="66">
        <v>0</v>
      </c>
      <c r="I98" s="66">
        <v>0</v>
      </c>
      <c r="J98" s="66">
        <v>0</v>
      </c>
      <c r="K98" s="66">
        <v>0</v>
      </c>
      <c r="L98" s="66">
        <v>0</v>
      </c>
      <c r="M98" s="66">
        <v>0</v>
      </c>
      <c r="N98" s="66">
        <v>0</v>
      </c>
      <c r="O98" s="66">
        <v>0</v>
      </c>
      <c r="P98" s="66">
        <v>10</v>
      </c>
      <c r="Q98" s="66">
        <v>93</v>
      </c>
      <c r="R98" s="66">
        <v>71</v>
      </c>
      <c r="S98" s="66">
        <v>68</v>
      </c>
      <c r="T98" s="66">
        <v>25</v>
      </c>
      <c r="U98" s="66">
        <v>52</v>
      </c>
      <c r="V98" s="66">
        <v>56</v>
      </c>
      <c r="W98" s="66">
        <v>56</v>
      </c>
      <c r="X98" s="66">
        <v>72</v>
      </c>
      <c r="Y98" s="66">
        <v>26</v>
      </c>
      <c r="Z98" s="66">
        <v>47</v>
      </c>
      <c r="AA98" s="66">
        <v>13</v>
      </c>
      <c r="AB98" s="66">
        <v>18</v>
      </c>
      <c r="AC98" s="66">
        <v>28</v>
      </c>
      <c r="AD98" s="66">
        <v>23</v>
      </c>
      <c r="AE98" s="66">
        <v>19</v>
      </c>
      <c r="AF98" s="66">
        <v>31</v>
      </c>
      <c r="AG98" s="66">
        <v>23</v>
      </c>
      <c r="AH98" s="66">
        <v>11</v>
      </c>
      <c r="AI98" s="66">
        <v>106</v>
      </c>
      <c r="AJ98" s="66">
        <v>15</v>
      </c>
      <c r="AK98" s="66">
        <v>26</v>
      </c>
      <c r="AL98" s="66">
        <v>15</v>
      </c>
      <c r="AM98" s="66">
        <v>141</v>
      </c>
      <c r="AN98" s="66">
        <v>10</v>
      </c>
      <c r="AO98" s="66">
        <v>10</v>
      </c>
      <c r="AP98" s="66">
        <v>42</v>
      </c>
      <c r="AQ98" s="66">
        <v>42</v>
      </c>
      <c r="AR98" s="66">
        <v>56</v>
      </c>
      <c r="AS98" s="66">
        <v>44</v>
      </c>
      <c r="AT98" s="66">
        <v>30</v>
      </c>
      <c r="AU98" s="66">
        <v>423</v>
      </c>
      <c r="AV98" s="66">
        <v>55</v>
      </c>
      <c r="AW98" s="66">
        <v>18</v>
      </c>
      <c r="AX98" s="66">
        <v>64</v>
      </c>
      <c r="AY98" s="66">
        <v>538</v>
      </c>
      <c r="AZ98" s="66">
        <v>33</v>
      </c>
      <c r="BA98" s="66">
        <v>31</v>
      </c>
      <c r="BB98" s="66">
        <v>56</v>
      </c>
      <c r="BC98" s="66">
        <v>220</v>
      </c>
      <c r="BD98" s="66">
        <v>31</v>
      </c>
      <c r="BE98" s="66">
        <v>8</v>
      </c>
      <c r="BF98" s="66">
        <v>0</v>
      </c>
      <c r="BG98" s="66">
        <v>95</v>
      </c>
      <c r="BH98" s="66">
        <v>41</v>
      </c>
      <c r="BI98" s="66">
        <v>29</v>
      </c>
      <c r="BJ98" s="66">
        <v>19</v>
      </c>
      <c r="BK98" s="66">
        <v>36</v>
      </c>
      <c r="BL98" s="66">
        <v>268</v>
      </c>
      <c r="BM98" s="66">
        <v>23</v>
      </c>
      <c r="BN98" s="66">
        <v>43</v>
      </c>
      <c r="BO98" s="66">
        <v>22</v>
      </c>
      <c r="BP98" s="66">
        <v>7</v>
      </c>
      <c r="BQ98" s="66">
        <v>19</v>
      </c>
      <c r="BR98" s="66">
        <v>334</v>
      </c>
      <c r="BS98" s="66">
        <v>11</v>
      </c>
      <c r="BT98" s="66">
        <v>20</v>
      </c>
      <c r="BU98" s="66">
        <v>22</v>
      </c>
      <c r="BV98" s="66">
        <v>131</v>
      </c>
      <c r="BW98" s="66">
        <v>12</v>
      </c>
      <c r="BX98" s="66">
        <v>5</v>
      </c>
      <c r="BY98" s="66">
        <v>21</v>
      </c>
      <c r="BZ98" s="66">
        <v>24</v>
      </c>
      <c r="CA98" s="66">
        <v>9</v>
      </c>
      <c r="CB98" s="66">
        <v>22</v>
      </c>
      <c r="CC98" s="66">
        <v>13</v>
      </c>
      <c r="CD98" s="66">
        <v>257</v>
      </c>
      <c r="CE98" s="66">
        <v>18</v>
      </c>
      <c r="CF98" s="66">
        <v>9</v>
      </c>
      <c r="CG98" s="66">
        <v>10</v>
      </c>
      <c r="CH98" s="66">
        <v>6</v>
      </c>
      <c r="CI98" s="66">
        <v>129</v>
      </c>
      <c r="CJ98" s="66">
        <v>14</v>
      </c>
      <c r="CK98" s="66">
        <v>13</v>
      </c>
      <c r="CL98" s="66">
        <v>39</v>
      </c>
      <c r="CM98" s="66">
        <v>31</v>
      </c>
      <c r="CN98" s="66">
        <v>24</v>
      </c>
      <c r="CO98" s="66">
        <v>36</v>
      </c>
      <c r="CP98" s="66">
        <v>31</v>
      </c>
      <c r="CQ98" s="66">
        <v>20</v>
      </c>
      <c r="CR98" s="66">
        <v>453</v>
      </c>
      <c r="CS98" s="66">
        <v>19</v>
      </c>
      <c r="CT98" s="66">
        <v>21</v>
      </c>
      <c r="CU98" s="66">
        <v>24</v>
      </c>
      <c r="CV98" s="66">
        <v>26</v>
      </c>
      <c r="CW98" s="66">
        <v>25</v>
      </c>
      <c r="CX98" s="66">
        <v>53</v>
      </c>
      <c r="CY98" s="66">
        <v>37</v>
      </c>
      <c r="CZ98" s="66">
        <v>47</v>
      </c>
      <c r="DA98" s="66">
        <v>37</v>
      </c>
    </row>
    <row r="99" spans="1:105" ht="15" x14ac:dyDescent="0.35">
      <c r="A99" s="5" t="s">
        <v>340</v>
      </c>
      <c r="B99" s="5" t="s">
        <v>514</v>
      </c>
      <c r="C99" s="66">
        <v>50</v>
      </c>
      <c r="D99" s="66">
        <v>20</v>
      </c>
      <c r="E99" s="66">
        <v>3</v>
      </c>
      <c r="F99" s="66">
        <v>0</v>
      </c>
      <c r="G99" s="66">
        <v>116</v>
      </c>
      <c r="H99" s="66">
        <v>12</v>
      </c>
      <c r="I99" s="66">
        <v>25</v>
      </c>
      <c r="J99" s="66">
        <v>35</v>
      </c>
      <c r="K99" s="66">
        <v>62</v>
      </c>
      <c r="L99" s="66">
        <v>23</v>
      </c>
      <c r="M99" s="66">
        <v>23</v>
      </c>
      <c r="N99" s="66">
        <v>187</v>
      </c>
      <c r="O99" s="66">
        <v>41</v>
      </c>
      <c r="P99" s="66">
        <v>32</v>
      </c>
      <c r="Q99" s="66">
        <v>29</v>
      </c>
      <c r="R99" s="66">
        <v>34</v>
      </c>
      <c r="S99" s="66">
        <v>24</v>
      </c>
      <c r="T99" s="66">
        <v>96</v>
      </c>
      <c r="U99" s="66">
        <v>117</v>
      </c>
      <c r="V99" s="66">
        <v>48</v>
      </c>
      <c r="W99" s="66">
        <v>53</v>
      </c>
      <c r="X99" s="66">
        <v>42</v>
      </c>
      <c r="Y99" s="66">
        <v>27</v>
      </c>
      <c r="Z99" s="66">
        <v>79</v>
      </c>
      <c r="AA99" s="66">
        <v>10</v>
      </c>
      <c r="AB99" s="66">
        <v>25</v>
      </c>
      <c r="AC99" s="66">
        <v>24</v>
      </c>
      <c r="AD99" s="66">
        <v>135</v>
      </c>
      <c r="AE99" s="66">
        <v>36</v>
      </c>
      <c r="AF99" s="66">
        <v>21</v>
      </c>
      <c r="AG99" s="66">
        <v>52</v>
      </c>
      <c r="AH99" s="66">
        <v>319</v>
      </c>
      <c r="AI99" s="66">
        <v>35</v>
      </c>
      <c r="AJ99" s="66">
        <v>322</v>
      </c>
      <c r="AK99" s="66">
        <v>2</v>
      </c>
      <c r="AL99" s="66">
        <v>0</v>
      </c>
      <c r="AM99" s="66">
        <v>0</v>
      </c>
      <c r="AN99" s="66">
        <v>0</v>
      </c>
      <c r="AO99" s="66">
        <v>0</v>
      </c>
      <c r="AP99" s="66">
        <v>0</v>
      </c>
      <c r="AQ99" s="66">
        <v>1</v>
      </c>
      <c r="AR99" s="66">
        <v>0</v>
      </c>
      <c r="AS99" s="66">
        <v>0</v>
      </c>
      <c r="AT99" s="66">
        <v>0</v>
      </c>
      <c r="AU99" s="66">
        <v>0</v>
      </c>
      <c r="AV99" s="66">
        <v>0</v>
      </c>
      <c r="AW99" s="66">
        <v>100</v>
      </c>
      <c r="AX99" s="66">
        <v>96</v>
      </c>
      <c r="AY99" s="66">
        <v>74</v>
      </c>
      <c r="AZ99" s="66">
        <v>167</v>
      </c>
      <c r="BA99" s="66">
        <v>27</v>
      </c>
      <c r="BB99" s="66">
        <v>50</v>
      </c>
      <c r="BC99" s="66">
        <v>44</v>
      </c>
      <c r="BD99" s="66">
        <v>37</v>
      </c>
      <c r="BE99" s="66">
        <v>11</v>
      </c>
      <c r="BF99" s="66">
        <v>0</v>
      </c>
      <c r="BG99" s="66">
        <v>16</v>
      </c>
      <c r="BH99" s="66">
        <v>20</v>
      </c>
      <c r="BI99" s="66">
        <v>32</v>
      </c>
      <c r="BJ99" s="66">
        <v>60</v>
      </c>
      <c r="BK99" s="66">
        <v>60</v>
      </c>
      <c r="BL99" s="66">
        <v>11</v>
      </c>
      <c r="BM99" s="66">
        <v>5</v>
      </c>
      <c r="BN99" s="66">
        <v>29</v>
      </c>
      <c r="BO99" s="66">
        <v>45</v>
      </c>
      <c r="BP99" s="66">
        <v>47</v>
      </c>
      <c r="BQ99" s="66">
        <v>26</v>
      </c>
      <c r="BR99" s="66">
        <v>7</v>
      </c>
      <c r="BS99" s="66">
        <v>42</v>
      </c>
      <c r="BT99" s="66">
        <v>15</v>
      </c>
      <c r="BU99" s="66">
        <v>54</v>
      </c>
      <c r="BV99" s="66">
        <v>12</v>
      </c>
      <c r="BW99" s="66">
        <v>2</v>
      </c>
      <c r="BX99" s="66">
        <v>71</v>
      </c>
      <c r="BY99" s="66">
        <v>60</v>
      </c>
      <c r="BZ99" s="66">
        <v>22</v>
      </c>
      <c r="CA99" s="66">
        <v>10</v>
      </c>
      <c r="CB99" s="66">
        <v>12</v>
      </c>
      <c r="CC99" s="66">
        <v>54</v>
      </c>
      <c r="CD99" s="66">
        <v>18</v>
      </c>
      <c r="CE99" s="66">
        <v>11</v>
      </c>
      <c r="CF99" s="66">
        <v>17</v>
      </c>
      <c r="CG99" s="66">
        <v>35</v>
      </c>
      <c r="CH99" s="66">
        <v>18</v>
      </c>
      <c r="CI99" s="66">
        <v>84</v>
      </c>
      <c r="CJ99" s="66">
        <v>10</v>
      </c>
      <c r="CK99" s="66">
        <v>13</v>
      </c>
      <c r="CL99" s="66">
        <v>53</v>
      </c>
      <c r="CM99" s="66">
        <v>55</v>
      </c>
      <c r="CN99" s="66">
        <v>17</v>
      </c>
      <c r="CO99" s="66">
        <v>20</v>
      </c>
      <c r="CP99" s="66">
        <v>21</v>
      </c>
      <c r="CQ99" s="66">
        <v>381</v>
      </c>
      <c r="CR99" s="66">
        <v>11</v>
      </c>
      <c r="CS99" s="66">
        <v>126</v>
      </c>
      <c r="CT99" s="66">
        <v>14</v>
      </c>
      <c r="CU99" s="66">
        <v>39</v>
      </c>
      <c r="CV99" s="66">
        <v>10</v>
      </c>
      <c r="CW99" s="66">
        <v>20</v>
      </c>
      <c r="CX99" s="66">
        <v>37</v>
      </c>
      <c r="CY99" s="66">
        <v>13</v>
      </c>
      <c r="CZ99" s="66">
        <v>13</v>
      </c>
      <c r="DA99" s="66">
        <v>84</v>
      </c>
    </row>
    <row r="100" spans="1:105" ht="15" x14ac:dyDescent="0.35">
      <c r="A100" s="5" t="s">
        <v>341</v>
      </c>
      <c r="B100" s="5" t="s">
        <v>515</v>
      </c>
      <c r="C100" s="66">
        <v>0</v>
      </c>
      <c r="D100" s="66">
        <v>0</v>
      </c>
      <c r="E100" s="66">
        <v>0</v>
      </c>
      <c r="F100" s="66">
        <v>0</v>
      </c>
      <c r="G100" s="66">
        <v>0</v>
      </c>
      <c r="H100" s="66">
        <v>0</v>
      </c>
      <c r="I100" s="66">
        <v>0</v>
      </c>
      <c r="J100" s="66">
        <v>0</v>
      </c>
      <c r="K100" s="66">
        <v>0</v>
      </c>
      <c r="L100" s="66">
        <v>0</v>
      </c>
      <c r="M100" s="66">
        <v>0</v>
      </c>
      <c r="N100" s="66">
        <v>0</v>
      </c>
      <c r="O100" s="66">
        <v>0</v>
      </c>
      <c r="P100" s="66">
        <v>0</v>
      </c>
      <c r="Q100" s="66">
        <v>0</v>
      </c>
      <c r="R100" s="66">
        <v>0</v>
      </c>
      <c r="S100" s="66">
        <v>0</v>
      </c>
      <c r="T100" s="66">
        <v>0</v>
      </c>
      <c r="U100" s="66">
        <v>0</v>
      </c>
      <c r="V100" s="66">
        <v>0</v>
      </c>
      <c r="W100" s="66">
        <v>0</v>
      </c>
      <c r="X100" s="66">
        <v>39</v>
      </c>
      <c r="Y100" s="66">
        <v>81</v>
      </c>
      <c r="Z100" s="66">
        <v>73</v>
      </c>
      <c r="AA100" s="66">
        <v>39</v>
      </c>
      <c r="AB100" s="66">
        <v>22</v>
      </c>
      <c r="AC100" s="66">
        <v>69</v>
      </c>
      <c r="AD100" s="66">
        <v>52</v>
      </c>
      <c r="AE100" s="66">
        <v>14</v>
      </c>
      <c r="AF100" s="66">
        <v>16</v>
      </c>
      <c r="AG100" s="66">
        <v>66</v>
      </c>
      <c r="AH100" s="66">
        <v>22</v>
      </c>
      <c r="AI100" s="66">
        <v>35</v>
      </c>
      <c r="AJ100" s="66">
        <v>7</v>
      </c>
      <c r="AK100" s="66">
        <v>10</v>
      </c>
      <c r="AL100" s="66">
        <v>9</v>
      </c>
      <c r="AM100" s="66">
        <v>4</v>
      </c>
      <c r="AN100" s="66">
        <v>77</v>
      </c>
      <c r="AO100" s="66">
        <v>8</v>
      </c>
      <c r="AP100" s="66">
        <v>24</v>
      </c>
      <c r="AQ100" s="66">
        <v>79</v>
      </c>
      <c r="AR100" s="66">
        <v>28</v>
      </c>
      <c r="AS100" s="66">
        <v>139</v>
      </c>
      <c r="AT100" s="66">
        <v>24</v>
      </c>
      <c r="AU100" s="66">
        <v>70</v>
      </c>
      <c r="AV100" s="66">
        <v>71</v>
      </c>
      <c r="AW100" s="66">
        <v>76</v>
      </c>
      <c r="AX100" s="66">
        <v>83</v>
      </c>
      <c r="AY100" s="66">
        <v>165</v>
      </c>
      <c r="AZ100" s="66">
        <v>72</v>
      </c>
      <c r="BA100" s="66">
        <v>29</v>
      </c>
      <c r="BB100" s="66">
        <v>73</v>
      </c>
      <c r="BC100" s="66">
        <v>300</v>
      </c>
      <c r="BD100" s="66">
        <v>18</v>
      </c>
      <c r="BE100" s="66">
        <v>7</v>
      </c>
      <c r="BF100" s="66">
        <v>0</v>
      </c>
      <c r="BG100" s="66">
        <v>2</v>
      </c>
      <c r="BH100" s="66">
        <v>10</v>
      </c>
      <c r="BI100" s="66">
        <v>6</v>
      </c>
      <c r="BJ100" s="66">
        <v>36</v>
      </c>
      <c r="BK100" s="66">
        <v>14</v>
      </c>
      <c r="BL100" s="66">
        <v>2</v>
      </c>
      <c r="BM100" s="66">
        <v>2</v>
      </c>
      <c r="BN100" s="66">
        <v>11</v>
      </c>
      <c r="BO100" s="66">
        <v>2</v>
      </c>
      <c r="BP100" s="66">
        <v>6</v>
      </c>
      <c r="BQ100" s="66">
        <v>34</v>
      </c>
      <c r="BR100" s="66">
        <v>31</v>
      </c>
      <c r="BS100" s="66">
        <v>33</v>
      </c>
      <c r="BT100" s="66">
        <v>8</v>
      </c>
      <c r="BU100" s="66">
        <v>31</v>
      </c>
      <c r="BV100" s="66">
        <v>7</v>
      </c>
      <c r="BW100" s="66">
        <v>4</v>
      </c>
      <c r="BX100" s="66">
        <v>14</v>
      </c>
      <c r="BY100" s="66">
        <v>14</v>
      </c>
      <c r="BZ100" s="66">
        <v>13</v>
      </c>
      <c r="CA100" s="66">
        <v>20</v>
      </c>
      <c r="CB100" s="66">
        <v>16</v>
      </c>
      <c r="CC100" s="66">
        <v>9</v>
      </c>
      <c r="CD100" s="66">
        <v>26</v>
      </c>
      <c r="CE100" s="66">
        <v>11</v>
      </c>
      <c r="CF100" s="66">
        <v>4</v>
      </c>
      <c r="CG100" s="66">
        <v>20</v>
      </c>
      <c r="CH100" s="66">
        <v>5</v>
      </c>
      <c r="CI100" s="66">
        <v>13</v>
      </c>
      <c r="CJ100" s="66">
        <v>42</v>
      </c>
      <c r="CK100" s="66">
        <v>6</v>
      </c>
      <c r="CL100" s="66">
        <v>3</v>
      </c>
      <c r="CM100" s="66">
        <v>6</v>
      </c>
      <c r="CN100" s="66">
        <v>23</v>
      </c>
      <c r="CO100" s="66">
        <v>15</v>
      </c>
      <c r="CP100" s="66">
        <v>12</v>
      </c>
      <c r="CQ100" s="66">
        <v>52</v>
      </c>
      <c r="CR100" s="66">
        <v>30</v>
      </c>
      <c r="CS100" s="66">
        <v>55</v>
      </c>
      <c r="CT100" s="66">
        <v>60</v>
      </c>
      <c r="CU100" s="66">
        <v>8</v>
      </c>
      <c r="CV100" s="66">
        <v>10</v>
      </c>
      <c r="CW100" s="66">
        <v>28</v>
      </c>
      <c r="CX100" s="66">
        <v>7</v>
      </c>
      <c r="CY100" s="66">
        <v>122</v>
      </c>
      <c r="CZ100" s="66">
        <v>20</v>
      </c>
      <c r="DA100" s="66">
        <v>37</v>
      </c>
    </row>
    <row r="101" spans="1:105" ht="15" x14ac:dyDescent="0.35">
      <c r="A101" s="5" t="s">
        <v>342</v>
      </c>
      <c r="B101" s="5" t="s">
        <v>516</v>
      </c>
      <c r="C101" s="66">
        <v>211</v>
      </c>
      <c r="D101" s="66">
        <v>187</v>
      </c>
      <c r="E101" s="66">
        <v>1</v>
      </c>
      <c r="F101" s="66">
        <v>0</v>
      </c>
      <c r="G101" s="66">
        <v>241</v>
      </c>
      <c r="H101" s="66">
        <v>40</v>
      </c>
      <c r="I101" s="66">
        <v>102</v>
      </c>
      <c r="J101" s="66">
        <v>64</v>
      </c>
      <c r="K101" s="66">
        <v>53</v>
      </c>
      <c r="L101" s="66">
        <v>17</v>
      </c>
      <c r="M101" s="66">
        <v>93</v>
      </c>
      <c r="N101" s="66">
        <v>152</v>
      </c>
      <c r="O101" s="66">
        <v>411</v>
      </c>
      <c r="P101" s="66">
        <v>246</v>
      </c>
      <c r="Q101" s="66">
        <v>221</v>
      </c>
      <c r="R101" s="66">
        <v>89</v>
      </c>
      <c r="S101" s="66">
        <v>42</v>
      </c>
      <c r="T101" s="66">
        <v>262</v>
      </c>
      <c r="U101" s="66">
        <v>190</v>
      </c>
      <c r="V101" s="66">
        <v>177</v>
      </c>
      <c r="W101" s="66">
        <v>332</v>
      </c>
      <c r="X101" s="66">
        <v>130</v>
      </c>
      <c r="Y101" s="66">
        <v>109</v>
      </c>
      <c r="Z101" s="66">
        <v>67</v>
      </c>
      <c r="AA101" s="66">
        <v>142</v>
      </c>
      <c r="AB101" s="66">
        <v>202</v>
      </c>
      <c r="AC101" s="66">
        <v>127</v>
      </c>
      <c r="AD101" s="66">
        <v>126</v>
      </c>
      <c r="AE101" s="66">
        <v>167</v>
      </c>
      <c r="AF101" s="66">
        <v>117</v>
      </c>
      <c r="AG101" s="66">
        <v>112</v>
      </c>
      <c r="AH101" s="66">
        <v>67</v>
      </c>
      <c r="AI101" s="66">
        <v>101</v>
      </c>
      <c r="AJ101" s="66">
        <v>167</v>
      </c>
      <c r="AK101" s="66">
        <v>84</v>
      </c>
      <c r="AL101" s="66">
        <v>72</v>
      </c>
      <c r="AM101" s="66">
        <v>406</v>
      </c>
      <c r="AN101" s="66">
        <v>309</v>
      </c>
      <c r="AO101" s="66">
        <v>254</v>
      </c>
      <c r="AP101" s="66">
        <v>173</v>
      </c>
      <c r="AQ101" s="66">
        <v>164</v>
      </c>
      <c r="AR101" s="66">
        <v>171</v>
      </c>
      <c r="AS101" s="66">
        <v>213</v>
      </c>
      <c r="AT101" s="66">
        <v>170</v>
      </c>
      <c r="AU101" s="66">
        <v>84</v>
      </c>
      <c r="AV101" s="66">
        <v>211</v>
      </c>
      <c r="AW101" s="66">
        <v>54</v>
      </c>
      <c r="AX101" s="66">
        <v>207</v>
      </c>
      <c r="AY101" s="66">
        <v>203</v>
      </c>
      <c r="AZ101" s="66">
        <v>174</v>
      </c>
      <c r="BA101" s="66">
        <v>115</v>
      </c>
      <c r="BB101" s="66">
        <v>221</v>
      </c>
      <c r="BC101" s="66">
        <v>171</v>
      </c>
      <c r="BD101" s="66">
        <v>415</v>
      </c>
      <c r="BE101" s="66">
        <v>0</v>
      </c>
      <c r="BF101" s="66">
        <v>0</v>
      </c>
      <c r="BG101" s="66">
        <v>54</v>
      </c>
      <c r="BH101" s="66">
        <v>10</v>
      </c>
      <c r="BI101" s="66">
        <v>88</v>
      </c>
      <c r="BJ101" s="66">
        <v>56</v>
      </c>
      <c r="BK101" s="66">
        <v>111</v>
      </c>
      <c r="BL101" s="66">
        <v>41</v>
      </c>
      <c r="BM101" s="66">
        <v>99</v>
      </c>
      <c r="BN101" s="66">
        <v>255</v>
      </c>
      <c r="BO101" s="66">
        <v>86</v>
      </c>
      <c r="BP101" s="66">
        <v>53</v>
      </c>
      <c r="BQ101" s="66">
        <v>158</v>
      </c>
      <c r="BR101" s="66">
        <v>258</v>
      </c>
      <c r="BS101" s="66">
        <v>110</v>
      </c>
      <c r="BT101" s="66">
        <v>42</v>
      </c>
      <c r="BU101" s="66">
        <v>215</v>
      </c>
      <c r="BV101" s="66">
        <v>23</v>
      </c>
      <c r="BW101" s="66">
        <v>86</v>
      </c>
      <c r="BX101" s="66">
        <v>59</v>
      </c>
      <c r="BY101" s="66">
        <v>153</v>
      </c>
      <c r="BZ101" s="66">
        <v>271</v>
      </c>
      <c r="CA101" s="66">
        <v>60</v>
      </c>
      <c r="CB101" s="66">
        <v>106</v>
      </c>
      <c r="CC101" s="66">
        <v>71</v>
      </c>
      <c r="CD101" s="66">
        <v>356</v>
      </c>
      <c r="CE101" s="66">
        <v>48</v>
      </c>
      <c r="CF101" s="66">
        <v>197</v>
      </c>
      <c r="CG101" s="66">
        <v>202</v>
      </c>
      <c r="CH101" s="66">
        <v>116</v>
      </c>
      <c r="CI101" s="66">
        <v>106</v>
      </c>
      <c r="CJ101" s="66">
        <v>167</v>
      </c>
      <c r="CK101" s="66">
        <v>233</v>
      </c>
      <c r="CL101" s="66">
        <v>0</v>
      </c>
      <c r="CM101" s="66">
        <v>1</v>
      </c>
      <c r="CN101" s="66">
        <v>0</v>
      </c>
      <c r="CO101" s="66">
        <v>0</v>
      </c>
      <c r="CP101" s="66">
        <v>433</v>
      </c>
      <c r="CQ101" s="66">
        <v>112</v>
      </c>
      <c r="CR101" s="66">
        <v>110</v>
      </c>
      <c r="CS101" s="66">
        <v>194</v>
      </c>
      <c r="CT101" s="66">
        <v>481</v>
      </c>
      <c r="CU101" s="66">
        <v>145</v>
      </c>
      <c r="CV101" s="66">
        <v>477</v>
      </c>
      <c r="CW101" s="66">
        <v>160</v>
      </c>
      <c r="CX101" s="66">
        <v>186</v>
      </c>
      <c r="CY101" s="66">
        <v>68</v>
      </c>
      <c r="CZ101" s="66">
        <v>1</v>
      </c>
      <c r="DA101" s="66">
        <v>27</v>
      </c>
    </row>
    <row r="102" spans="1:105" ht="15" x14ac:dyDescent="0.35">
      <c r="A102" s="5" t="s">
        <v>343</v>
      </c>
      <c r="B102" s="5" t="s">
        <v>517</v>
      </c>
      <c r="C102" s="66">
        <v>0</v>
      </c>
      <c r="D102" s="66">
        <v>0</v>
      </c>
      <c r="E102" s="66">
        <v>0</v>
      </c>
      <c r="F102" s="66">
        <v>0</v>
      </c>
      <c r="G102" s="66">
        <v>0</v>
      </c>
      <c r="H102" s="66">
        <v>0</v>
      </c>
      <c r="I102" s="66">
        <v>0</v>
      </c>
      <c r="J102" s="66">
        <v>0</v>
      </c>
      <c r="K102" s="66">
        <v>0</v>
      </c>
      <c r="L102" s="66">
        <v>0</v>
      </c>
      <c r="M102" s="66">
        <v>0</v>
      </c>
      <c r="N102" s="66">
        <v>0</v>
      </c>
      <c r="O102" s="66">
        <v>0</v>
      </c>
      <c r="P102" s="66">
        <v>0</v>
      </c>
      <c r="Q102" s="66">
        <v>0</v>
      </c>
      <c r="R102" s="66">
        <v>0</v>
      </c>
      <c r="S102" s="66">
        <v>0</v>
      </c>
      <c r="T102" s="66">
        <v>0</v>
      </c>
      <c r="U102" s="66">
        <v>0</v>
      </c>
      <c r="V102" s="66">
        <v>0</v>
      </c>
      <c r="W102" s="66">
        <v>0</v>
      </c>
      <c r="X102" s="66">
        <v>55</v>
      </c>
      <c r="Y102" s="66">
        <v>34</v>
      </c>
      <c r="Z102" s="66">
        <v>43</v>
      </c>
      <c r="AA102" s="66">
        <v>23</v>
      </c>
      <c r="AB102" s="66">
        <v>12</v>
      </c>
      <c r="AC102" s="66">
        <v>14</v>
      </c>
      <c r="AD102" s="66">
        <v>23</v>
      </c>
      <c r="AE102" s="66">
        <v>24</v>
      </c>
      <c r="AF102" s="66">
        <v>38</v>
      </c>
      <c r="AG102" s="66">
        <v>19</v>
      </c>
      <c r="AH102" s="66">
        <v>13</v>
      </c>
      <c r="AI102" s="66">
        <v>22</v>
      </c>
      <c r="AJ102" s="66">
        <v>13</v>
      </c>
      <c r="AK102" s="66">
        <v>9</v>
      </c>
      <c r="AL102" s="66">
        <v>28</v>
      </c>
      <c r="AM102" s="66">
        <v>33</v>
      </c>
      <c r="AN102" s="66">
        <v>16</v>
      </c>
      <c r="AO102" s="66">
        <v>26</v>
      </c>
      <c r="AP102" s="66">
        <v>54</v>
      </c>
      <c r="AQ102" s="66">
        <v>93</v>
      </c>
      <c r="AR102" s="66">
        <v>16</v>
      </c>
      <c r="AS102" s="66">
        <v>48</v>
      </c>
      <c r="AT102" s="66">
        <v>41</v>
      </c>
      <c r="AU102" s="66">
        <v>78</v>
      </c>
      <c r="AV102" s="66">
        <v>61</v>
      </c>
      <c r="AW102" s="66">
        <v>20</v>
      </c>
      <c r="AX102" s="66">
        <v>13</v>
      </c>
      <c r="AY102" s="66">
        <v>36</v>
      </c>
      <c r="AZ102" s="66">
        <v>32</v>
      </c>
      <c r="BA102" s="66">
        <v>40</v>
      </c>
      <c r="BB102" s="66">
        <v>54</v>
      </c>
      <c r="BC102" s="66">
        <v>86</v>
      </c>
      <c r="BD102" s="66">
        <v>62</v>
      </c>
      <c r="BE102" s="66">
        <v>10</v>
      </c>
      <c r="BF102" s="66">
        <v>0</v>
      </c>
      <c r="BG102" s="66">
        <v>31</v>
      </c>
      <c r="BH102" s="66">
        <v>18</v>
      </c>
      <c r="BI102" s="66">
        <v>33</v>
      </c>
      <c r="BJ102" s="66">
        <v>13</v>
      </c>
      <c r="BK102" s="66">
        <v>30</v>
      </c>
      <c r="BL102" s="66">
        <v>26</v>
      </c>
      <c r="BM102" s="66">
        <v>30</v>
      </c>
      <c r="BN102" s="66">
        <v>45</v>
      </c>
      <c r="BO102" s="66">
        <v>32</v>
      </c>
      <c r="BP102" s="66">
        <v>21</v>
      </c>
      <c r="BQ102" s="66">
        <v>67</v>
      </c>
      <c r="BR102" s="66">
        <v>2</v>
      </c>
      <c r="BS102" s="66">
        <v>1</v>
      </c>
      <c r="BT102" s="66">
        <v>0</v>
      </c>
      <c r="BU102" s="66">
        <v>0</v>
      </c>
      <c r="BV102" s="66">
        <v>0</v>
      </c>
      <c r="BW102" s="66">
        <v>0</v>
      </c>
      <c r="BX102" s="66">
        <v>0</v>
      </c>
      <c r="BY102" s="66">
        <v>0</v>
      </c>
      <c r="BZ102" s="66">
        <v>49</v>
      </c>
      <c r="CA102" s="66">
        <v>29</v>
      </c>
      <c r="CB102" s="66">
        <v>40</v>
      </c>
      <c r="CC102" s="66">
        <v>30</v>
      </c>
      <c r="CD102" s="66">
        <v>36</v>
      </c>
      <c r="CE102" s="66">
        <v>11</v>
      </c>
      <c r="CF102" s="66">
        <v>92</v>
      </c>
      <c r="CG102" s="66">
        <v>18</v>
      </c>
      <c r="CH102" s="66">
        <v>12</v>
      </c>
      <c r="CI102" s="66">
        <v>45</v>
      </c>
      <c r="CJ102" s="66">
        <v>18</v>
      </c>
      <c r="CK102" s="66">
        <v>44</v>
      </c>
      <c r="CL102" s="66">
        <v>36</v>
      </c>
      <c r="CM102" s="66">
        <v>21</v>
      </c>
      <c r="CN102" s="66">
        <v>23</v>
      </c>
      <c r="CO102" s="66">
        <v>39</v>
      </c>
      <c r="CP102" s="66">
        <v>71</v>
      </c>
      <c r="CQ102" s="66">
        <v>19</v>
      </c>
      <c r="CR102" s="66">
        <v>79</v>
      </c>
      <c r="CS102" s="66">
        <v>9</v>
      </c>
      <c r="CT102" s="66">
        <v>13</v>
      </c>
      <c r="CU102" s="66">
        <v>24</v>
      </c>
      <c r="CV102" s="66">
        <v>61</v>
      </c>
      <c r="CW102" s="66">
        <v>31</v>
      </c>
      <c r="CX102" s="66">
        <v>24</v>
      </c>
      <c r="CY102" s="66">
        <v>16</v>
      </c>
      <c r="CZ102" s="66">
        <v>61</v>
      </c>
      <c r="DA102" s="66">
        <v>28</v>
      </c>
    </row>
    <row r="103" spans="1:105" ht="15" x14ac:dyDescent="0.35">
      <c r="A103" s="5" t="s">
        <v>344</v>
      </c>
      <c r="B103" s="5" t="s">
        <v>518</v>
      </c>
      <c r="C103" s="66">
        <v>75</v>
      </c>
      <c r="D103" s="66">
        <v>187</v>
      </c>
      <c r="E103" s="66">
        <v>2</v>
      </c>
      <c r="F103" s="66">
        <v>0</v>
      </c>
      <c r="G103" s="66">
        <v>149</v>
      </c>
      <c r="H103" s="66">
        <v>14</v>
      </c>
      <c r="I103" s="66">
        <v>175</v>
      </c>
      <c r="J103" s="66">
        <v>52</v>
      </c>
      <c r="K103" s="66">
        <v>53</v>
      </c>
      <c r="L103" s="66">
        <v>58</v>
      </c>
      <c r="M103" s="66">
        <v>137</v>
      </c>
      <c r="N103" s="66">
        <v>178</v>
      </c>
      <c r="O103" s="66">
        <v>43</v>
      </c>
      <c r="P103" s="66">
        <v>62</v>
      </c>
      <c r="Q103" s="66">
        <v>59</v>
      </c>
      <c r="R103" s="66">
        <v>258</v>
      </c>
      <c r="S103" s="66">
        <v>83</v>
      </c>
      <c r="T103" s="66">
        <v>42</v>
      </c>
      <c r="U103" s="66">
        <v>381</v>
      </c>
      <c r="V103" s="66">
        <v>85</v>
      </c>
      <c r="W103" s="66">
        <v>220</v>
      </c>
      <c r="X103" s="66">
        <v>79</v>
      </c>
      <c r="Y103" s="66">
        <v>112</v>
      </c>
      <c r="Z103" s="66">
        <v>180</v>
      </c>
      <c r="AA103" s="66">
        <v>270</v>
      </c>
      <c r="AB103" s="66">
        <v>72</v>
      </c>
      <c r="AC103" s="66">
        <v>52</v>
      </c>
      <c r="AD103" s="66">
        <v>18</v>
      </c>
      <c r="AE103" s="66">
        <v>53</v>
      </c>
      <c r="AF103" s="66">
        <v>334</v>
      </c>
      <c r="AG103" s="66">
        <v>43</v>
      </c>
      <c r="AH103" s="66">
        <v>167</v>
      </c>
      <c r="AI103" s="66">
        <v>92</v>
      </c>
      <c r="AJ103" s="66">
        <v>85</v>
      </c>
      <c r="AK103" s="66">
        <v>146</v>
      </c>
      <c r="AL103" s="66">
        <v>353</v>
      </c>
      <c r="AM103" s="66">
        <v>301</v>
      </c>
      <c r="AN103" s="66">
        <v>101</v>
      </c>
      <c r="AO103" s="66">
        <v>141</v>
      </c>
      <c r="AP103" s="66">
        <v>335</v>
      </c>
      <c r="AQ103" s="66">
        <v>117</v>
      </c>
      <c r="AR103" s="66">
        <v>160</v>
      </c>
      <c r="AS103" s="66">
        <v>189</v>
      </c>
      <c r="AT103" s="66">
        <v>54</v>
      </c>
      <c r="AU103" s="66">
        <v>303</v>
      </c>
      <c r="AV103" s="66">
        <v>99</v>
      </c>
      <c r="AW103" s="66">
        <v>39</v>
      </c>
      <c r="AX103" s="66">
        <v>44</v>
      </c>
      <c r="AY103" s="66">
        <v>273</v>
      </c>
      <c r="AZ103" s="66">
        <v>141</v>
      </c>
      <c r="BA103" s="66">
        <v>91</v>
      </c>
      <c r="BB103" s="66">
        <v>195</v>
      </c>
      <c r="BC103" s="66">
        <v>125</v>
      </c>
      <c r="BD103" s="66">
        <v>80</v>
      </c>
      <c r="BE103" s="66">
        <v>124</v>
      </c>
      <c r="BF103" s="66">
        <v>0</v>
      </c>
      <c r="BG103" s="66">
        <v>45</v>
      </c>
      <c r="BH103" s="66">
        <v>108</v>
      </c>
      <c r="BI103" s="66">
        <v>78</v>
      </c>
      <c r="BJ103" s="66">
        <v>94</v>
      </c>
      <c r="BK103" s="66">
        <v>184</v>
      </c>
      <c r="BL103" s="66">
        <v>26</v>
      </c>
      <c r="BM103" s="66">
        <v>148</v>
      </c>
      <c r="BN103" s="66">
        <v>65</v>
      </c>
      <c r="BO103" s="66">
        <v>35</v>
      </c>
      <c r="BP103" s="66">
        <v>59</v>
      </c>
      <c r="BQ103" s="66">
        <v>60</v>
      </c>
      <c r="BR103" s="66">
        <v>147</v>
      </c>
      <c r="BS103" s="66">
        <v>320</v>
      </c>
      <c r="BT103" s="66">
        <v>30</v>
      </c>
      <c r="BU103" s="66">
        <v>48</v>
      </c>
      <c r="BV103" s="66">
        <v>4</v>
      </c>
      <c r="BW103" s="66">
        <v>57</v>
      </c>
      <c r="BX103" s="66">
        <v>108</v>
      </c>
      <c r="BY103" s="66">
        <v>58</v>
      </c>
      <c r="BZ103" s="66">
        <v>68</v>
      </c>
      <c r="CA103" s="66">
        <v>164</v>
      </c>
      <c r="CB103" s="66">
        <v>192</v>
      </c>
      <c r="CC103" s="66">
        <v>100</v>
      </c>
      <c r="CD103" s="66">
        <v>36</v>
      </c>
      <c r="CE103" s="66">
        <v>135</v>
      </c>
      <c r="CF103" s="66">
        <v>281</v>
      </c>
      <c r="CG103" s="66">
        <v>177</v>
      </c>
      <c r="CH103" s="66">
        <v>34</v>
      </c>
      <c r="CI103" s="66">
        <v>48</v>
      </c>
      <c r="CJ103" s="66">
        <v>166</v>
      </c>
      <c r="CK103" s="66">
        <v>88</v>
      </c>
      <c r="CL103" s="66">
        <v>153</v>
      </c>
      <c r="CM103" s="66">
        <v>61</v>
      </c>
      <c r="CN103" s="66">
        <v>94</v>
      </c>
      <c r="CO103" s="66">
        <v>192</v>
      </c>
      <c r="CP103" s="66">
        <v>302</v>
      </c>
      <c r="CQ103" s="66">
        <v>263</v>
      </c>
      <c r="CR103" s="66">
        <v>330</v>
      </c>
      <c r="CS103" s="66">
        <v>204</v>
      </c>
      <c r="CT103" s="66">
        <v>62</v>
      </c>
      <c r="CU103" s="66">
        <v>42</v>
      </c>
      <c r="CV103" s="66">
        <v>76</v>
      </c>
      <c r="CW103" s="66">
        <v>92</v>
      </c>
      <c r="CX103" s="66">
        <v>170</v>
      </c>
      <c r="CY103" s="66">
        <v>205</v>
      </c>
      <c r="CZ103" s="66">
        <v>100</v>
      </c>
      <c r="DA103" s="66">
        <v>81</v>
      </c>
    </row>
    <row r="104" spans="1:105" ht="15" x14ac:dyDescent="0.35">
      <c r="A104" s="5" t="s">
        <v>345</v>
      </c>
      <c r="B104" s="5" t="s">
        <v>519</v>
      </c>
      <c r="C104" s="66">
        <v>246</v>
      </c>
      <c r="D104" s="66">
        <v>274</v>
      </c>
      <c r="E104" s="66">
        <v>23</v>
      </c>
      <c r="F104" s="66">
        <v>0</v>
      </c>
      <c r="G104" s="66">
        <v>401</v>
      </c>
      <c r="H104" s="66">
        <v>191</v>
      </c>
      <c r="I104" s="66">
        <v>73</v>
      </c>
      <c r="J104" s="66">
        <v>116</v>
      </c>
      <c r="K104" s="66">
        <v>107</v>
      </c>
      <c r="L104" s="66">
        <v>71</v>
      </c>
      <c r="M104" s="66">
        <v>190</v>
      </c>
      <c r="N104" s="66">
        <v>161</v>
      </c>
      <c r="O104" s="66">
        <v>141</v>
      </c>
      <c r="P104" s="66">
        <v>99</v>
      </c>
      <c r="Q104" s="66">
        <v>161</v>
      </c>
      <c r="R104" s="66">
        <v>585</v>
      </c>
      <c r="S104" s="66">
        <v>101</v>
      </c>
      <c r="T104" s="66">
        <v>217</v>
      </c>
      <c r="U104" s="66">
        <v>160</v>
      </c>
      <c r="V104" s="66">
        <v>37</v>
      </c>
      <c r="W104" s="66">
        <v>624</v>
      </c>
      <c r="X104" s="66">
        <v>140</v>
      </c>
      <c r="Y104" s="66">
        <v>49</v>
      </c>
      <c r="Z104" s="66">
        <v>112</v>
      </c>
      <c r="AA104" s="66">
        <v>243</v>
      </c>
      <c r="AB104" s="66">
        <v>43</v>
      </c>
      <c r="AC104" s="66">
        <v>41</v>
      </c>
      <c r="AD104" s="66">
        <v>76</v>
      </c>
      <c r="AE104" s="66">
        <v>62</v>
      </c>
      <c r="AF104" s="66">
        <v>203</v>
      </c>
      <c r="AG104" s="66">
        <v>108</v>
      </c>
      <c r="AH104" s="66">
        <v>77</v>
      </c>
      <c r="AI104" s="66">
        <v>146</v>
      </c>
      <c r="AJ104" s="66">
        <v>188</v>
      </c>
      <c r="AK104" s="66">
        <v>95</v>
      </c>
      <c r="AL104" s="66">
        <v>162</v>
      </c>
      <c r="AM104" s="66">
        <v>92</v>
      </c>
      <c r="AN104" s="66">
        <v>137</v>
      </c>
      <c r="AO104" s="66">
        <v>64</v>
      </c>
      <c r="AP104" s="66">
        <v>72</v>
      </c>
      <c r="AQ104" s="66">
        <v>101</v>
      </c>
      <c r="AR104" s="66">
        <v>103</v>
      </c>
      <c r="AS104" s="66">
        <v>153</v>
      </c>
      <c r="AT104" s="66">
        <v>59</v>
      </c>
      <c r="AU104" s="66">
        <v>144</v>
      </c>
      <c r="AV104" s="66">
        <v>173</v>
      </c>
      <c r="AW104" s="66">
        <v>162</v>
      </c>
      <c r="AX104" s="66">
        <v>329</v>
      </c>
      <c r="AY104" s="66">
        <v>160</v>
      </c>
      <c r="AZ104" s="66">
        <v>211</v>
      </c>
      <c r="BA104" s="66">
        <v>339</v>
      </c>
      <c r="BB104" s="66">
        <v>112</v>
      </c>
      <c r="BC104" s="66">
        <v>214</v>
      </c>
      <c r="BD104" s="66">
        <v>149</v>
      </c>
      <c r="BE104" s="66">
        <v>33</v>
      </c>
      <c r="BF104" s="66">
        <v>0</v>
      </c>
      <c r="BG104" s="66">
        <v>0</v>
      </c>
      <c r="BH104" s="66">
        <v>88</v>
      </c>
      <c r="BI104" s="66">
        <v>19</v>
      </c>
      <c r="BJ104" s="66">
        <v>78</v>
      </c>
      <c r="BK104" s="66">
        <v>55</v>
      </c>
      <c r="BL104" s="66">
        <v>16</v>
      </c>
      <c r="BM104" s="66">
        <v>76</v>
      </c>
      <c r="BN104" s="66">
        <v>101</v>
      </c>
      <c r="BO104" s="66">
        <v>126</v>
      </c>
      <c r="BP104" s="66">
        <v>59</v>
      </c>
      <c r="BQ104" s="66">
        <v>60</v>
      </c>
      <c r="BR104" s="66">
        <v>53</v>
      </c>
      <c r="BS104" s="66">
        <v>183</v>
      </c>
      <c r="BT104" s="66">
        <v>61</v>
      </c>
      <c r="BU104" s="66">
        <v>117</v>
      </c>
      <c r="BV104" s="66">
        <v>79</v>
      </c>
      <c r="BW104" s="66">
        <v>50</v>
      </c>
      <c r="BX104" s="66">
        <v>149</v>
      </c>
      <c r="BY104" s="66">
        <v>54</v>
      </c>
      <c r="BZ104" s="66">
        <v>99</v>
      </c>
      <c r="CA104" s="66">
        <v>53</v>
      </c>
      <c r="CB104" s="66">
        <v>30</v>
      </c>
      <c r="CC104" s="66">
        <v>124</v>
      </c>
      <c r="CD104" s="66">
        <v>115</v>
      </c>
      <c r="CE104" s="66">
        <v>63</v>
      </c>
      <c r="CF104" s="66">
        <v>50</v>
      </c>
      <c r="CG104" s="66">
        <v>74</v>
      </c>
      <c r="CH104" s="66">
        <v>49</v>
      </c>
      <c r="CI104" s="66">
        <v>92</v>
      </c>
      <c r="CJ104" s="66">
        <v>65</v>
      </c>
      <c r="CK104" s="66">
        <v>46</v>
      </c>
      <c r="CL104" s="66">
        <v>78</v>
      </c>
      <c r="CM104" s="66">
        <v>101</v>
      </c>
      <c r="CN104" s="66">
        <v>65</v>
      </c>
      <c r="CO104" s="66">
        <v>86</v>
      </c>
      <c r="CP104" s="66">
        <v>97</v>
      </c>
      <c r="CQ104" s="66">
        <v>55</v>
      </c>
      <c r="CR104" s="66">
        <v>133</v>
      </c>
      <c r="CS104" s="66">
        <v>65</v>
      </c>
      <c r="CT104" s="66">
        <v>66</v>
      </c>
      <c r="CU104" s="66">
        <v>82</v>
      </c>
      <c r="CV104" s="66">
        <v>75</v>
      </c>
      <c r="CW104" s="66">
        <v>75</v>
      </c>
      <c r="CX104" s="66">
        <v>132</v>
      </c>
      <c r="CY104" s="66">
        <v>102</v>
      </c>
      <c r="CZ104" s="66">
        <v>223</v>
      </c>
      <c r="DA104" s="66">
        <v>153</v>
      </c>
    </row>
    <row r="105" spans="1:105" ht="15" x14ac:dyDescent="0.35">
      <c r="A105" s="5" t="s">
        <v>346</v>
      </c>
      <c r="B105" s="5" t="s">
        <v>520</v>
      </c>
      <c r="C105" s="66">
        <v>87</v>
      </c>
      <c r="D105" s="66">
        <v>83</v>
      </c>
      <c r="E105" s="66">
        <v>34</v>
      </c>
      <c r="F105" s="66">
        <v>0</v>
      </c>
      <c r="G105" s="66">
        <v>28</v>
      </c>
      <c r="H105" s="66">
        <v>101</v>
      </c>
      <c r="I105" s="66">
        <v>37</v>
      </c>
      <c r="J105" s="66">
        <v>24</v>
      </c>
      <c r="K105" s="66">
        <v>52</v>
      </c>
      <c r="L105" s="66">
        <v>43</v>
      </c>
      <c r="M105" s="66">
        <v>37</v>
      </c>
      <c r="N105" s="66">
        <v>20</v>
      </c>
      <c r="O105" s="66">
        <v>1</v>
      </c>
      <c r="P105" s="66">
        <v>0</v>
      </c>
      <c r="Q105" s="66">
        <v>0</v>
      </c>
      <c r="R105" s="66">
        <v>0</v>
      </c>
      <c r="S105" s="66">
        <v>0</v>
      </c>
      <c r="T105" s="66">
        <v>10</v>
      </c>
      <c r="U105" s="66">
        <v>60</v>
      </c>
      <c r="V105" s="66">
        <v>111</v>
      </c>
      <c r="W105" s="66">
        <v>68</v>
      </c>
      <c r="X105" s="66">
        <v>38</v>
      </c>
      <c r="Y105" s="66">
        <v>36</v>
      </c>
      <c r="Z105" s="66">
        <v>42</v>
      </c>
      <c r="AA105" s="66">
        <v>20</v>
      </c>
      <c r="AB105" s="66">
        <v>19</v>
      </c>
      <c r="AC105" s="66">
        <v>72</v>
      </c>
      <c r="AD105" s="66">
        <v>28</v>
      </c>
      <c r="AE105" s="66">
        <v>10</v>
      </c>
      <c r="AF105" s="66">
        <v>39</v>
      </c>
      <c r="AG105" s="66">
        <v>95</v>
      </c>
      <c r="AH105" s="66">
        <v>21</v>
      </c>
      <c r="AI105" s="66">
        <v>27</v>
      </c>
      <c r="AJ105" s="66">
        <v>33</v>
      </c>
      <c r="AK105" s="66">
        <v>71</v>
      </c>
      <c r="AL105" s="66">
        <v>18</v>
      </c>
      <c r="AM105" s="66">
        <v>39</v>
      </c>
      <c r="AN105" s="66">
        <v>44</v>
      </c>
      <c r="AO105" s="66">
        <v>44</v>
      </c>
      <c r="AP105" s="66">
        <v>38</v>
      </c>
      <c r="AQ105" s="66">
        <v>18</v>
      </c>
      <c r="AR105" s="66">
        <v>176</v>
      </c>
      <c r="AS105" s="66">
        <v>62</v>
      </c>
      <c r="AT105" s="66">
        <v>45</v>
      </c>
      <c r="AU105" s="66">
        <v>53</v>
      </c>
      <c r="AV105" s="66">
        <v>25</v>
      </c>
      <c r="AW105" s="66">
        <v>62</v>
      </c>
      <c r="AX105" s="66">
        <v>107</v>
      </c>
      <c r="AY105" s="66">
        <v>60</v>
      </c>
      <c r="AZ105" s="66">
        <v>33</v>
      </c>
      <c r="BA105" s="66">
        <v>110</v>
      </c>
      <c r="BB105" s="66">
        <v>107</v>
      </c>
      <c r="BC105" s="66">
        <v>127</v>
      </c>
      <c r="BD105" s="66">
        <v>68</v>
      </c>
      <c r="BE105" s="66">
        <v>50</v>
      </c>
      <c r="BF105" s="66">
        <v>0</v>
      </c>
      <c r="BG105" s="66">
        <v>28</v>
      </c>
      <c r="BH105" s="66">
        <v>22</v>
      </c>
      <c r="BI105" s="66">
        <v>29</v>
      </c>
      <c r="BJ105" s="66">
        <v>46</v>
      </c>
      <c r="BK105" s="66">
        <v>64</v>
      </c>
      <c r="BL105" s="66">
        <v>11</v>
      </c>
      <c r="BM105" s="66">
        <v>30</v>
      </c>
      <c r="BN105" s="66">
        <v>54</v>
      </c>
      <c r="BO105" s="66">
        <v>29</v>
      </c>
      <c r="BP105" s="66">
        <v>39</v>
      </c>
      <c r="BQ105" s="66">
        <v>106</v>
      </c>
      <c r="BR105" s="66">
        <v>11</v>
      </c>
      <c r="BS105" s="66">
        <v>0</v>
      </c>
      <c r="BT105" s="66">
        <v>34</v>
      </c>
      <c r="BU105" s="66">
        <v>8</v>
      </c>
      <c r="BV105" s="66">
        <v>16</v>
      </c>
      <c r="BW105" s="66">
        <v>3</v>
      </c>
      <c r="BX105" s="66">
        <v>0</v>
      </c>
      <c r="BY105" s="66">
        <v>0</v>
      </c>
      <c r="BZ105" s="66">
        <v>0</v>
      </c>
      <c r="CA105" s="66">
        <v>0</v>
      </c>
      <c r="CB105" s="66">
        <v>0</v>
      </c>
      <c r="CC105" s="66">
        <v>92</v>
      </c>
      <c r="CD105" s="66">
        <v>134</v>
      </c>
      <c r="CE105" s="66">
        <v>30</v>
      </c>
      <c r="CF105" s="66">
        <v>14</v>
      </c>
      <c r="CG105" s="66">
        <v>15</v>
      </c>
      <c r="CH105" s="66">
        <v>32</v>
      </c>
      <c r="CI105" s="66">
        <v>28</v>
      </c>
      <c r="CJ105" s="66">
        <v>44</v>
      </c>
      <c r="CK105" s="66">
        <v>53</v>
      </c>
      <c r="CL105" s="66">
        <v>40</v>
      </c>
      <c r="CM105" s="66">
        <v>61</v>
      </c>
      <c r="CN105" s="66">
        <v>36</v>
      </c>
      <c r="CO105" s="66">
        <v>82</v>
      </c>
      <c r="CP105" s="66">
        <v>29</v>
      </c>
      <c r="CQ105" s="66">
        <v>41</v>
      </c>
      <c r="CR105" s="66">
        <v>68</v>
      </c>
      <c r="CS105" s="66">
        <v>26</v>
      </c>
      <c r="CT105" s="66">
        <v>8</v>
      </c>
      <c r="CU105" s="66">
        <v>78</v>
      </c>
      <c r="CV105" s="66">
        <v>11</v>
      </c>
      <c r="CW105" s="66">
        <v>38</v>
      </c>
      <c r="CX105" s="66">
        <v>71</v>
      </c>
      <c r="CY105" s="66">
        <v>60</v>
      </c>
      <c r="CZ105" s="66">
        <v>45</v>
      </c>
      <c r="DA105" s="66">
        <v>92</v>
      </c>
    </row>
    <row r="106" spans="1:105" ht="15" x14ac:dyDescent="0.35">
      <c r="A106" s="5" t="s">
        <v>347</v>
      </c>
      <c r="B106" s="5" t="s">
        <v>521</v>
      </c>
      <c r="C106" s="66">
        <v>0</v>
      </c>
      <c r="D106" s="66">
        <v>0</v>
      </c>
      <c r="E106" s="66">
        <v>0</v>
      </c>
      <c r="F106" s="66">
        <v>0</v>
      </c>
      <c r="G106" s="66">
        <v>0</v>
      </c>
      <c r="H106" s="66">
        <v>0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6">
        <v>0</v>
      </c>
      <c r="O106" s="66">
        <v>0</v>
      </c>
      <c r="P106" s="66">
        <v>0</v>
      </c>
      <c r="Q106" s="66">
        <v>0</v>
      </c>
      <c r="R106" s="66">
        <v>175</v>
      </c>
      <c r="S106" s="66">
        <v>304</v>
      </c>
      <c r="T106" s="66">
        <v>140</v>
      </c>
      <c r="U106" s="66">
        <v>369</v>
      </c>
      <c r="V106" s="66">
        <v>122</v>
      </c>
      <c r="W106" s="66">
        <v>105</v>
      </c>
      <c r="X106" s="66">
        <v>207</v>
      </c>
      <c r="Y106" s="66">
        <v>86</v>
      </c>
      <c r="Z106" s="66">
        <v>178</v>
      </c>
      <c r="AA106" s="66">
        <v>137</v>
      </c>
      <c r="AB106" s="66">
        <v>241</v>
      </c>
      <c r="AC106" s="66">
        <v>63</v>
      </c>
      <c r="AD106" s="66">
        <v>150</v>
      </c>
      <c r="AE106" s="66">
        <v>142</v>
      </c>
      <c r="AF106" s="66">
        <v>203</v>
      </c>
      <c r="AG106" s="66">
        <v>13</v>
      </c>
      <c r="AH106" s="66">
        <v>79</v>
      </c>
      <c r="AI106" s="66">
        <v>187</v>
      </c>
      <c r="AJ106" s="66">
        <v>133</v>
      </c>
      <c r="AK106" s="66">
        <v>94</v>
      </c>
      <c r="AL106" s="66">
        <v>133</v>
      </c>
      <c r="AM106" s="66">
        <v>190</v>
      </c>
      <c r="AN106" s="66">
        <v>141</v>
      </c>
      <c r="AO106" s="66">
        <v>45</v>
      </c>
      <c r="AP106" s="66">
        <v>251</v>
      </c>
      <c r="AQ106" s="66">
        <v>230</v>
      </c>
      <c r="AR106" s="66">
        <v>490</v>
      </c>
      <c r="AS106" s="66">
        <v>247</v>
      </c>
      <c r="AT106" s="66">
        <v>325</v>
      </c>
      <c r="AU106" s="66">
        <v>241</v>
      </c>
      <c r="AV106" s="66">
        <v>97</v>
      </c>
      <c r="AW106" s="66">
        <v>154</v>
      </c>
      <c r="AX106" s="66">
        <v>354</v>
      </c>
      <c r="AY106" s="66">
        <v>240</v>
      </c>
      <c r="AZ106" s="66">
        <v>338</v>
      </c>
      <c r="BA106" s="66">
        <v>373</v>
      </c>
      <c r="BB106" s="66">
        <v>274</v>
      </c>
      <c r="BC106" s="66">
        <v>216</v>
      </c>
      <c r="BD106" s="66">
        <v>63</v>
      </c>
      <c r="BE106" s="66">
        <v>42</v>
      </c>
      <c r="BF106" s="66">
        <v>0</v>
      </c>
      <c r="BG106" s="66">
        <v>101</v>
      </c>
      <c r="BH106" s="66">
        <v>457</v>
      </c>
      <c r="BI106" s="66">
        <v>609</v>
      </c>
      <c r="BJ106" s="66">
        <v>175</v>
      </c>
      <c r="BK106" s="66">
        <v>199</v>
      </c>
      <c r="BL106" s="66">
        <v>33</v>
      </c>
      <c r="BM106" s="66">
        <v>31</v>
      </c>
      <c r="BN106" s="66">
        <v>79</v>
      </c>
      <c r="BO106" s="66">
        <v>256</v>
      </c>
      <c r="BP106" s="66">
        <v>23</v>
      </c>
      <c r="BQ106" s="66">
        <v>159</v>
      </c>
      <c r="BR106" s="66">
        <v>88</v>
      </c>
      <c r="BS106" s="66">
        <v>183</v>
      </c>
      <c r="BT106" s="66">
        <v>87</v>
      </c>
      <c r="BU106" s="66">
        <v>76</v>
      </c>
      <c r="BV106" s="66">
        <v>56</v>
      </c>
      <c r="BW106" s="66">
        <v>40</v>
      </c>
      <c r="BX106" s="66">
        <v>88</v>
      </c>
      <c r="BY106" s="66">
        <v>246</v>
      </c>
      <c r="BZ106" s="66">
        <v>28</v>
      </c>
      <c r="CA106" s="66">
        <v>73</v>
      </c>
      <c r="CB106" s="66">
        <v>49</v>
      </c>
      <c r="CC106" s="66">
        <v>139</v>
      </c>
      <c r="CD106" s="66">
        <v>135</v>
      </c>
      <c r="CE106" s="66">
        <v>55</v>
      </c>
      <c r="CF106" s="66">
        <v>135</v>
      </c>
      <c r="CG106" s="66">
        <v>198</v>
      </c>
      <c r="CH106" s="66">
        <v>46</v>
      </c>
      <c r="CI106" s="66">
        <v>124</v>
      </c>
      <c r="CJ106" s="66">
        <v>181</v>
      </c>
      <c r="CK106" s="66">
        <v>64</v>
      </c>
      <c r="CL106" s="66">
        <v>223</v>
      </c>
      <c r="CM106" s="66">
        <v>141</v>
      </c>
      <c r="CN106" s="66">
        <v>82</v>
      </c>
      <c r="CO106" s="66">
        <v>134</v>
      </c>
      <c r="CP106" s="66">
        <v>170</v>
      </c>
      <c r="CQ106" s="66">
        <v>78</v>
      </c>
      <c r="CR106" s="66">
        <v>250</v>
      </c>
      <c r="CS106" s="66">
        <v>155</v>
      </c>
      <c r="CT106" s="66">
        <v>164</v>
      </c>
      <c r="CU106" s="66">
        <v>161</v>
      </c>
      <c r="CV106" s="66">
        <v>146</v>
      </c>
      <c r="CW106" s="66">
        <v>178</v>
      </c>
      <c r="CX106" s="66">
        <v>197</v>
      </c>
      <c r="CY106" s="66">
        <v>386</v>
      </c>
      <c r="CZ106" s="66">
        <v>268</v>
      </c>
      <c r="DA106" s="66">
        <v>273</v>
      </c>
    </row>
    <row r="107" spans="1:105" ht="15" x14ac:dyDescent="0.35">
      <c r="A107" s="5" t="s">
        <v>348</v>
      </c>
      <c r="B107" s="5" t="s">
        <v>522</v>
      </c>
      <c r="C107" s="66">
        <v>1012</v>
      </c>
      <c r="D107" s="66">
        <v>720</v>
      </c>
      <c r="E107" s="66">
        <v>48</v>
      </c>
      <c r="F107" s="66">
        <v>0</v>
      </c>
      <c r="G107" s="66">
        <v>336</v>
      </c>
      <c r="H107" s="66">
        <v>384</v>
      </c>
      <c r="I107" s="66">
        <v>291</v>
      </c>
      <c r="J107" s="66">
        <v>432</v>
      </c>
      <c r="K107" s="66">
        <v>576</v>
      </c>
      <c r="L107" s="66">
        <v>240</v>
      </c>
      <c r="M107" s="66">
        <v>1008</v>
      </c>
      <c r="N107" s="66">
        <v>576</v>
      </c>
      <c r="O107" s="66">
        <v>1008</v>
      </c>
      <c r="P107" s="66">
        <v>528</v>
      </c>
      <c r="Q107" s="66">
        <v>2592</v>
      </c>
      <c r="R107" s="66">
        <v>387</v>
      </c>
      <c r="S107" s="66">
        <v>192</v>
      </c>
      <c r="T107" s="66">
        <v>1393</v>
      </c>
      <c r="U107" s="66">
        <v>1007</v>
      </c>
      <c r="V107" s="66">
        <v>576</v>
      </c>
      <c r="W107" s="66">
        <v>624</v>
      </c>
      <c r="X107" s="66">
        <v>240</v>
      </c>
      <c r="Y107" s="66">
        <v>1824</v>
      </c>
      <c r="Z107" s="66">
        <v>480</v>
      </c>
      <c r="AA107" s="66">
        <v>592</v>
      </c>
      <c r="AB107" s="66">
        <v>338</v>
      </c>
      <c r="AC107" s="66">
        <v>2208</v>
      </c>
      <c r="AD107" s="66">
        <v>1018</v>
      </c>
      <c r="AE107" s="66">
        <v>544</v>
      </c>
      <c r="AF107" s="66">
        <v>1448</v>
      </c>
      <c r="AG107" s="66">
        <v>193</v>
      </c>
      <c r="AH107" s="66">
        <v>823</v>
      </c>
      <c r="AI107" s="66">
        <v>1057</v>
      </c>
      <c r="AJ107" s="66">
        <v>646</v>
      </c>
      <c r="AK107" s="66">
        <v>2986</v>
      </c>
      <c r="AL107" s="66">
        <v>769</v>
      </c>
      <c r="AM107" s="66">
        <v>816</v>
      </c>
      <c r="AN107" s="66">
        <v>246</v>
      </c>
      <c r="AO107" s="66">
        <v>1920</v>
      </c>
      <c r="AP107" s="66">
        <v>865</v>
      </c>
      <c r="AQ107" s="66">
        <v>307</v>
      </c>
      <c r="AR107" s="66">
        <v>917</v>
      </c>
      <c r="AS107" s="66">
        <v>770</v>
      </c>
      <c r="AT107" s="66">
        <v>3552</v>
      </c>
      <c r="AU107" s="66">
        <v>720</v>
      </c>
      <c r="AV107" s="66">
        <v>481</v>
      </c>
      <c r="AW107" s="66">
        <v>730</v>
      </c>
      <c r="AX107" s="66">
        <v>5277</v>
      </c>
      <c r="AY107" s="66">
        <v>2556</v>
      </c>
      <c r="AZ107" s="66">
        <v>826</v>
      </c>
      <c r="BA107" s="66">
        <v>629</v>
      </c>
      <c r="BB107" s="66">
        <v>3654</v>
      </c>
      <c r="BC107" s="66">
        <v>513</v>
      </c>
      <c r="BD107" s="66">
        <v>1173</v>
      </c>
      <c r="BE107" s="66">
        <v>100</v>
      </c>
      <c r="BF107" s="66">
        <v>0</v>
      </c>
      <c r="BG107" s="66">
        <v>625</v>
      </c>
      <c r="BH107" s="66">
        <v>289</v>
      </c>
      <c r="BI107" s="66">
        <v>0</v>
      </c>
      <c r="BJ107" s="66">
        <v>530</v>
      </c>
      <c r="BK107" s="66">
        <v>2837</v>
      </c>
      <c r="BL107" s="66">
        <v>48</v>
      </c>
      <c r="BM107" s="66">
        <v>424</v>
      </c>
      <c r="BN107" s="66">
        <v>257</v>
      </c>
      <c r="BO107" s="66">
        <v>1680</v>
      </c>
      <c r="BP107" s="66">
        <v>1200</v>
      </c>
      <c r="BQ107" s="66">
        <v>480</v>
      </c>
      <c r="BR107" s="66">
        <v>192</v>
      </c>
      <c r="BS107" s="66">
        <v>3216</v>
      </c>
      <c r="BT107" s="66">
        <v>344</v>
      </c>
      <c r="BU107" s="66">
        <v>2448</v>
      </c>
      <c r="BV107" s="66">
        <v>1927</v>
      </c>
      <c r="BW107" s="66">
        <v>2544</v>
      </c>
      <c r="BX107" s="66">
        <v>917</v>
      </c>
      <c r="BY107" s="66">
        <v>288</v>
      </c>
      <c r="BZ107" s="66">
        <v>1008</v>
      </c>
      <c r="CA107" s="66">
        <v>480</v>
      </c>
      <c r="CB107" s="66">
        <v>1445</v>
      </c>
      <c r="CC107" s="66">
        <v>480</v>
      </c>
      <c r="CD107" s="66">
        <v>145</v>
      </c>
      <c r="CE107" s="66">
        <v>961</v>
      </c>
      <c r="CF107" s="66">
        <v>291</v>
      </c>
      <c r="CG107" s="66">
        <v>1109</v>
      </c>
      <c r="CH107" s="66">
        <v>1104</v>
      </c>
      <c r="CI107" s="66">
        <v>726</v>
      </c>
      <c r="CJ107" s="66">
        <v>775</v>
      </c>
      <c r="CK107" s="66">
        <v>98</v>
      </c>
      <c r="CL107" s="66">
        <v>577</v>
      </c>
      <c r="CM107" s="66">
        <v>528</v>
      </c>
      <c r="CN107" s="66">
        <v>1056</v>
      </c>
      <c r="CO107" s="66">
        <v>290</v>
      </c>
      <c r="CP107" s="66">
        <v>432</v>
      </c>
      <c r="CQ107" s="66">
        <v>1296</v>
      </c>
      <c r="CR107" s="66">
        <v>587</v>
      </c>
      <c r="CS107" s="66">
        <v>1008</v>
      </c>
      <c r="CT107" s="66">
        <v>893</v>
      </c>
      <c r="CU107" s="66">
        <v>730</v>
      </c>
      <c r="CV107" s="66">
        <v>975</v>
      </c>
      <c r="CW107" s="66">
        <v>5328</v>
      </c>
      <c r="CX107" s="66">
        <v>974</v>
      </c>
      <c r="CY107" s="66">
        <v>1167</v>
      </c>
      <c r="CZ107" s="66">
        <v>1170</v>
      </c>
      <c r="DA107" s="66">
        <v>915</v>
      </c>
    </row>
    <row r="108" spans="1:105" ht="15" x14ac:dyDescent="0.35">
      <c r="A108" s="5" t="s">
        <v>349</v>
      </c>
      <c r="B108" s="5" t="s">
        <v>523</v>
      </c>
      <c r="C108" s="66">
        <v>42</v>
      </c>
      <c r="D108" s="66">
        <v>210</v>
      </c>
      <c r="E108" s="66">
        <v>7</v>
      </c>
      <c r="F108" s="66">
        <v>0</v>
      </c>
      <c r="G108" s="66">
        <v>205</v>
      </c>
      <c r="H108" s="66">
        <v>18</v>
      </c>
      <c r="I108" s="66">
        <v>70</v>
      </c>
      <c r="J108" s="66">
        <v>40</v>
      </c>
      <c r="K108" s="66">
        <v>252</v>
      </c>
      <c r="L108" s="66">
        <v>50</v>
      </c>
      <c r="M108" s="66">
        <v>311</v>
      </c>
      <c r="N108" s="66">
        <v>172</v>
      </c>
      <c r="O108" s="66">
        <v>55</v>
      </c>
      <c r="P108" s="66">
        <v>43</v>
      </c>
      <c r="Q108" s="66">
        <v>258</v>
      </c>
      <c r="R108" s="66">
        <v>24</v>
      </c>
      <c r="S108" s="66">
        <v>24</v>
      </c>
      <c r="T108" s="66">
        <v>17</v>
      </c>
      <c r="U108" s="66">
        <v>129</v>
      </c>
      <c r="V108" s="66">
        <v>52</v>
      </c>
      <c r="W108" s="66">
        <v>103</v>
      </c>
      <c r="X108" s="66">
        <v>39</v>
      </c>
      <c r="Y108" s="66">
        <v>39</v>
      </c>
      <c r="Z108" s="66">
        <v>59</v>
      </c>
      <c r="AA108" s="66">
        <v>6</v>
      </c>
      <c r="AB108" s="66">
        <v>27</v>
      </c>
      <c r="AC108" s="66">
        <v>39</v>
      </c>
      <c r="AD108" s="66">
        <v>39</v>
      </c>
      <c r="AE108" s="66">
        <v>34</v>
      </c>
      <c r="AF108" s="66">
        <v>79</v>
      </c>
      <c r="AG108" s="66">
        <v>32</v>
      </c>
      <c r="AH108" s="66">
        <v>26</v>
      </c>
      <c r="AI108" s="66">
        <v>31</v>
      </c>
      <c r="AJ108" s="66">
        <v>47</v>
      </c>
      <c r="AK108" s="66">
        <v>19</v>
      </c>
      <c r="AL108" s="66">
        <v>34</v>
      </c>
      <c r="AM108" s="66">
        <v>137</v>
      </c>
      <c r="AN108" s="66">
        <v>66</v>
      </c>
      <c r="AO108" s="66">
        <v>25</v>
      </c>
      <c r="AP108" s="66">
        <v>15</v>
      </c>
      <c r="AQ108" s="66">
        <v>52</v>
      </c>
      <c r="AR108" s="66">
        <v>65</v>
      </c>
      <c r="AS108" s="66">
        <v>54</v>
      </c>
      <c r="AT108" s="66">
        <v>66</v>
      </c>
      <c r="AU108" s="66">
        <v>46</v>
      </c>
      <c r="AV108" s="66">
        <v>25</v>
      </c>
      <c r="AW108" s="66">
        <v>19</v>
      </c>
      <c r="AX108" s="66">
        <v>51</v>
      </c>
      <c r="AY108" s="66">
        <v>24</v>
      </c>
      <c r="AZ108" s="66">
        <v>132</v>
      </c>
      <c r="BA108" s="66">
        <v>52</v>
      </c>
      <c r="BB108" s="66">
        <v>40</v>
      </c>
      <c r="BC108" s="66">
        <v>62</v>
      </c>
      <c r="BD108" s="66">
        <v>48</v>
      </c>
      <c r="BE108" s="66">
        <v>12</v>
      </c>
      <c r="BF108" s="66">
        <v>0</v>
      </c>
      <c r="BG108" s="66">
        <v>54</v>
      </c>
      <c r="BH108" s="66">
        <v>17</v>
      </c>
      <c r="BI108" s="66">
        <v>7</v>
      </c>
      <c r="BJ108" s="66">
        <v>66</v>
      </c>
      <c r="BK108" s="66">
        <v>23</v>
      </c>
      <c r="BL108" s="66">
        <v>5</v>
      </c>
      <c r="BM108" s="66">
        <v>33</v>
      </c>
      <c r="BN108" s="66">
        <v>12</v>
      </c>
      <c r="BO108" s="66">
        <v>16</v>
      </c>
      <c r="BP108" s="66">
        <v>47</v>
      </c>
      <c r="BQ108" s="66">
        <v>34</v>
      </c>
      <c r="BR108" s="66">
        <v>28</v>
      </c>
      <c r="BS108" s="66">
        <v>47</v>
      </c>
      <c r="BT108" s="66">
        <v>18</v>
      </c>
      <c r="BU108" s="66">
        <v>25</v>
      </c>
      <c r="BV108" s="66">
        <v>40</v>
      </c>
      <c r="BW108" s="66">
        <v>20</v>
      </c>
      <c r="BX108" s="66">
        <v>33</v>
      </c>
      <c r="BY108" s="66">
        <v>48</v>
      </c>
      <c r="BZ108" s="66">
        <v>31</v>
      </c>
      <c r="CA108" s="66">
        <v>14</v>
      </c>
      <c r="CB108" s="66">
        <v>6</v>
      </c>
      <c r="CC108" s="66">
        <v>21</v>
      </c>
      <c r="CD108" s="66">
        <v>22</v>
      </c>
      <c r="CE108" s="66">
        <v>4</v>
      </c>
      <c r="CF108" s="66">
        <v>41</v>
      </c>
      <c r="CG108" s="66">
        <v>44</v>
      </c>
      <c r="CH108" s="66">
        <v>8</v>
      </c>
      <c r="CI108" s="66">
        <v>26</v>
      </c>
      <c r="CJ108" s="66">
        <v>10</v>
      </c>
      <c r="CK108" s="66">
        <v>27</v>
      </c>
      <c r="CL108" s="66">
        <v>41</v>
      </c>
      <c r="CM108" s="66">
        <v>44</v>
      </c>
      <c r="CN108" s="66">
        <v>23</v>
      </c>
      <c r="CO108" s="66">
        <v>23</v>
      </c>
      <c r="CP108" s="66">
        <v>81</v>
      </c>
      <c r="CQ108" s="66">
        <v>155</v>
      </c>
      <c r="CR108" s="66">
        <v>64</v>
      </c>
      <c r="CS108" s="66">
        <v>54</v>
      </c>
      <c r="CT108" s="66">
        <v>44</v>
      </c>
      <c r="CU108" s="66">
        <v>9</v>
      </c>
      <c r="CV108" s="66">
        <v>22</v>
      </c>
      <c r="CW108" s="66">
        <v>14</v>
      </c>
      <c r="CX108" s="66">
        <v>21</v>
      </c>
      <c r="CY108" s="66">
        <v>15</v>
      </c>
      <c r="CZ108" s="66">
        <v>21</v>
      </c>
      <c r="DA108" s="66">
        <v>77</v>
      </c>
    </row>
    <row r="109" spans="1:105" ht="15" x14ac:dyDescent="0.35">
      <c r="A109" s="5" t="s">
        <v>350</v>
      </c>
      <c r="B109" s="5" t="s">
        <v>524</v>
      </c>
      <c r="C109" s="66">
        <v>0</v>
      </c>
      <c r="D109" s="66">
        <v>0</v>
      </c>
      <c r="E109" s="66">
        <v>0</v>
      </c>
      <c r="F109" s="66">
        <v>0</v>
      </c>
      <c r="G109" s="66">
        <v>0</v>
      </c>
      <c r="H109" s="66">
        <v>0</v>
      </c>
      <c r="I109" s="66">
        <v>0</v>
      </c>
      <c r="J109" s="66">
        <v>0</v>
      </c>
      <c r="K109" s="66">
        <v>0</v>
      </c>
      <c r="L109" s="66">
        <v>0</v>
      </c>
      <c r="M109" s="66">
        <v>0</v>
      </c>
      <c r="N109" s="66">
        <v>0</v>
      </c>
      <c r="O109" s="66">
        <v>0</v>
      </c>
      <c r="P109" s="66">
        <v>0</v>
      </c>
      <c r="Q109" s="66">
        <v>0</v>
      </c>
      <c r="R109" s="66">
        <v>39</v>
      </c>
      <c r="S109" s="66">
        <v>159</v>
      </c>
      <c r="T109" s="66">
        <v>215</v>
      </c>
      <c r="U109" s="66">
        <v>199</v>
      </c>
      <c r="V109" s="66">
        <v>114</v>
      </c>
      <c r="W109" s="66">
        <v>131</v>
      </c>
      <c r="X109" s="66">
        <v>50</v>
      </c>
      <c r="Y109" s="66">
        <v>151</v>
      </c>
      <c r="Z109" s="66">
        <v>206</v>
      </c>
      <c r="AA109" s="66">
        <v>118</v>
      </c>
      <c r="AB109" s="66">
        <v>222</v>
      </c>
      <c r="AC109" s="66">
        <v>55</v>
      </c>
      <c r="AD109" s="66">
        <v>164</v>
      </c>
      <c r="AE109" s="66">
        <v>124</v>
      </c>
      <c r="AF109" s="66">
        <v>267</v>
      </c>
      <c r="AG109" s="66">
        <v>55</v>
      </c>
      <c r="AH109" s="66">
        <v>75</v>
      </c>
      <c r="AI109" s="66">
        <v>155</v>
      </c>
      <c r="AJ109" s="66">
        <v>135</v>
      </c>
      <c r="AK109" s="66">
        <v>77</v>
      </c>
      <c r="AL109" s="66">
        <v>230</v>
      </c>
      <c r="AM109" s="66">
        <v>247</v>
      </c>
      <c r="AN109" s="66">
        <v>92</v>
      </c>
      <c r="AO109" s="66">
        <v>129</v>
      </c>
      <c r="AP109" s="66">
        <v>105</v>
      </c>
      <c r="AQ109" s="66">
        <v>191</v>
      </c>
      <c r="AR109" s="66">
        <v>194</v>
      </c>
      <c r="AS109" s="66">
        <v>228</v>
      </c>
      <c r="AT109" s="66">
        <v>261</v>
      </c>
      <c r="AU109" s="66">
        <v>228</v>
      </c>
      <c r="AV109" s="66">
        <v>2</v>
      </c>
      <c r="AW109" s="66">
        <v>0</v>
      </c>
      <c r="AX109" s="66">
        <v>97</v>
      </c>
      <c r="AY109" s="66">
        <v>152</v>
      </c>
      <c r="AZ109" s="66">
        <v>485</v>
      </c>
      <c r="BA109" s="66">
        <v>140</v>
      </c>
      <c r="BB109" s="66">
        <v>296</v>
      </c>
      <c r="BC109" s="66">
        <v>185</v>
      </c>
      <c r="BD109" s="66">
        <v>37</v>
      </c>
      <c r="BE109" s="66">
        <v>47</v>
      </c>
      <c r="BF109" s="66">
        <v>0</v>
      </c>
      <c r="BG109" s="66">
        <v>32</v>
      </c>
      <c r="BH109" s="66">
        <v>421</v>
      </c>
      <c r="BI109" s="66">
        <v>343</v>
      </c>
      <c r="BJ109" s="66">
        <v>195</v>
      </c>
      <c r="BK109" s="66">
        <v>77</v>
      </c>
      <c r="BL109" s="66">
        <v>44</v>
      </c>
      <c r="BM109" s="66">
        <v>29</v>
      </c>
      <c r="BN109" s="66">
        <v>45</v>
      </c>
      <c r="BO109" s="66">
        <v>64</v>
      </c>
      <c r="BP109" s="66">
        <v>60</v>
      </c>
      <c r="BQ109" s="66">
        <v>148</v>
      </c>
      <c r="BR109" s="66">
        <v>101</v>
      </c>
      <c r="BS109" s="66">
        <v>369</v>
      </c>
      <c r="BT109" s="66">
        <v>82</v>
      </c>
      <c r="BU109" s="66">
        <v>78</v>
      </c>
      <c r="BV109" s="66">
        <v>41</v>
      </c>
      <c r="BW109" s="66">
        <v>66</v>
      </c>
      <c r="BX109" s="66">
        <v>114</v>
      </c>
      <c r="BY109" s="66">
        <v>100</v>
      </c>
      <c r="BZ109" s="66">
        <v>106</v>
      </c>
      <c r="CA109" s="66">
        <v>135</v>
      </c>
      <c r="CB109" s="66">
        <v>92</v>
      </c>
      <c r="CC109" s="66">
        <v>142</v>
      </c>
      <c r="CD109" s="66">
        <v>236</v>
      </c>
      <c r="CE109" s="66">
        <v>96</v>
      </c>
      <c r="CF109" s="66">
        <v>209</v>
      </c>
      <c r="CG109" s="66">
        <v>190</v>
      </c>
      <c r="CH109" s="66">
        <v>63</v>
      </c>
      <c r="CI109" s="66">
        <v>86</v>
      </c>
      <c r="CJ109" s="66">
        <v>245</v>
      </c>
      <c r="CK109" s="66">
        <v>112</v>
      </c>
      <c r="CL109" s="66">
        <v>32</v>
      </c>
      <c r="CM109" s="66">
        <v>53</v>
      </c>
      <c r="CN109" s="66">
        <v>74</v>
      </c>
      <c r="CO109" s="66">
        <v>207</v>
      </c>
      <c r="CP109" s="66">
        <v>193</v>
      </c>
      <c r="CQ109" s="66">
        <v>104</v>
      </c>
      <c r="CR109" s="66">
        <v>340</v>
      </c>
      <c r="CS109" s="66">
        <v>135</v>
      </c>
      <c r="CT109" s="66">
        <v>137</v>
      </c>
      <c r="CU109" s="66">
        <v>146</v>
      </c>
      <c r="CV109" s="66">
        <v>306</v>
      </c>
      <c r="CW109" s="66">
        <v>172</v>
      </c>
      <c r="CX109" s="66">
        <v>228</v>
      </c>
      <c r="CY109" s="66">
        <v>294</v>
      </c>
      <c r="CZ109" s="66">
        <v>203</v>
      </c>
      <c r="DA109" s="66">
        <v>392</v>
      </c>
    </row>
    <row r="110" spans="1:105" ht="15" x14ac:dyDescent="0.35">
      <c r="A110" s="5" t="s">
        <v>351</v>
      </c>
      <c r="B110" s="5" t="s">
        <v>525</v>
      </c>
      <c r="C110" s="66">
        <v>0</v>
      </c>
      <c r="D110" s="66">
        <v>0</v>
      </c>
      <c r="E110" s="66">
        <v>0</v>
      </c>
      <c r="F110" s="66">
        <v>0</v>
      </c>
      <c r="G110" s="66">
        <v>0</v>
      </c>
      <c r="H110" s="66">
        <v>0</v>
      </c>
      <c r="I110" s="66">
        <v>0</v>
      </c>
      <c r="J110" s="66">
        <v>0</v>
      </c>
      <c r="K110" s="66">
        <v>0</v>
      </c>
      <c r="L110" s="66">
        <v>0</v>
      </c>
      <c r="M110" s="66">
        <v>0</v>
      </c>
      <c r="N110" s="66">
        <v>0</v>
      </c>
      <c r="O110" s="66">
        <v>0</v>
      </c>
      <c r="P110" s="66">
        <v>0</v>
      </c>
      <c r="Q110" s="66">
        <v>0</v>
      </c>
      <c r="R110" s="66">
        <v>0</v>
      </c>
      <c r="S110" s="66">
        <v>0</v>
      </c>
      <c r="T110" s="66">
        <v>0</v>
      </c>
      <c r="U110" s="66">
        <v>289</v>
      </c>
      <c r="V110" s="66">
        <v>406</v>
      </c>
      <c r="W110" s="66">
        <v>240</v>
      </c>
      <c r="X110" s="66">
        <v>495</v>
      </c>
      <c r="Y110" s="66">
        <v>300</v>
      </c>
      <c r="Z110" s="66">
        <v>448</v>
      </c>
      <c r="AA110" s="66">
        <v>207</v>
      </c>
      <c r="AB110" s="66">
        <v>178</v>
      </c>
      <c r="AC110" s="66">
        <v>230</v>
      </c>
      <c r="AD110" s="66">
        <v>624</v>
      </c>
      <c r="AE110" s="66">
        <v>133</v>
      </c>
      <c r="AF110" s="66">
        <v>541</v>
      </c>
      <c r="AG110" s="66">
        <v>317</v>
      </c>
      <c r="AH110" s="66">
        <v>258</v>
      </c>
      <c r="AI110" s="66">
        <v>44</v>
      </c>
      <c r="AJ110" s="66">
        <v>0</v>
      </c>
      <c r="AK110" s="66">
        <v>0</v>
      </c>
      <c r="AL110" s="66">
        <v>0</v>
      </c>
      <c r="AM110" s="66">
        <v>0</v>
      </c>
      <c r="AN110" s="66">
        <v>0</v>
      </c>
      <c r="AO110" s="66">
        <v>0</v>
      </c>
      <c r="AP110" s="66">
        <v>0</v>
      </c>
      <c r="AQ110" s="66">
        <v>0</v>
      </c>
      <c r="AR110" s="66">
        <v>0</v>
      </c>
      <c r="AS110" s="66">
        <v>0</v>
      </c>
      <c r="AT110" s="66">
        <v>0</v>
      </c>
      <c r="AU110" s="66">
        <v>0</v>
      </c>
      <c r="AV110" s="66">
        <v>12</v>
      </c>
      <c r="AW110" s="66">
        <v>12</v>
      </c>
      <c r="AX110" s="66">
        <v>0</v>
      </c>
      <c r="AY110" s="66">
        <v>0</v>
      </c>
      <c r="AZ110" s="66">
        <v>0</v>
      </c>
      <c r="BA110" s="66">
        <v>1</v>
      </c>
      <c r="BB110" s="66">
        <v>570</v>
      </c>
      <c r="BC110" s="66">
        <v>430</v>
      </c>
      <c r="BD110" s="66">
        <v>266</v>
      </c>
      <c r="BE110" s="66">
        <v>254</v>
      </c>
      <c r="BF110" s="66">
        <v>0</v>
      </c>
      <c r="BG110" s="66">
        <v>124</v>
      </c>
      <c r="BH110" s="66">
        <v>376</v>
      </c>
      <c r="BI110" s="66">
        <v>56</v>
      </c>
      <c r="BJ110" s="66">
        <v>122</v>
      </c>
      <c r="BK110" s="66">
        <v>138</v>
      </c>
      <c r="BL110" s="66">
        <v>59</v>
      </c>
      <c r="BM110" s="66">
        <v>94</v>
      </c>
      <c r="BN110" s="66">
        <v>118</v>
      </c>
      <c r="BO110" s="66">
        <v>153</v>
      </c>
      <c r="BP110" s="66">
        <v>106</v>
      </c>
      <c r="BQ110" s="66">
        <v>151</v>
      </c>
      <c r="BR110" s="66">
        <v>204</v>
      </c>
      <c r="BS110" s="66">
        <v>352</v>
      </c>
      <c r="BT110" s="66">
        <v>229</v>
      </c>
      <c r="BU110" s="66">
        <v>165</v>
      </c>
      <c r="BV110" s="66">
        <v>95</v>
      </c>
      <c r="BW110" s="66">
        <v>56</v>
      </c>
      <c r="BX110" s="66">
        <v>140</v>
      </c>
      <c r="BY110" s="66">
        <v>384</v>
      </c>
      <c r="BZ110" s="66">
        <v>170</v>
      </c>
      <c r="CA110" s="66">
        <v>81</v>
      </c>
      <c r="CB110" s="66">
        <v>66</v>
      </c>
      <c r="CC110" s="66">
        <v>141</v>
      </c>
      <c r="CD110" s="66">
        <v>296</v>
      </c>
      <c r="CE110" s="66">
        <v>76</v>
      </c>
      <c r="CF110" s="66">
        <v>68</v>
      </c>
      <c r="CG110" s="66">
        <v>90</v>
      </c>
      <c r="CH110" s="66">
        <v>98</v>
      </c>
      <c r="CI110" s="66">
        <v>287</v>
      </c>
      <c r="CJ110" s="66">
        <v>128</v>
      </c>
      <c r="CK110" s="66">
        <v>136</v>
      </c>
      <c r="CL110" s="66">
        <v>28</v>
      </c>
      <c r="CM110" s="66">
        <v>143</v>
      </c>
      <c r="CN110" s="66">
        <v>89</v>
      </c>
      <c r="CO110" s="66">
        <v>82</v>
      </c>
      <c r="CP110" s="66">
        <v>289</v>
      </c>
      <c r="CQ110" s="66">
        <v>211</v>
      </c>
      <c r="CR110" s="66">
        <v>258</v>
      </c>
      <c r="CS110" s="66">
        <v>185</v>
      </c>
      <c r="CT110" s="66">
        <v>75</v>
      </c>
      <c r="CU110" s="66">
        <v>26</v>
      </c>
      <c r="CV110" s="66">
        <v>245</v>
      </c>
      <c r="CW110" s="66">
        <v>146</v>
      </c>
      <c r="CX110" s="66">
        <v>196</v>
      </c>
      <c r="CY110" s="66">
        <v>124</v>
      </c>
      <c r="CZ110" s="66">
        <v>38</v>
      </c>
      <c r="DA110" s="66">
        <v>150</v>
      </c>
    </row>
    <row r="111" spans="1:105" ht="15" x14ac:dyDescent="0.35">
      <c r="A111" s="5" t="s">
        <v>352</v>
      </c>
      <c r="B111" s="5" t="s">
        <v>526</v>
      </c>
      <c r="C111" s="66">
        <v>20</v>
      </c>
      <c r="D111" s="66">
        <v>4</v>
      </c>
      <c r="E111" s="66">
        <v>0</v>
      </c>
      <c r="F111" s="66">
        <v>0</v>
      </c>
      <c r="G111" s="66">
        <v>3</v>
      </c>
      <c r="H111" s="66">
        <v>6</v>
      </c>
      <c r="I111" s="66">
        <v>6</v>
      </c>
      <c r="J111" s="66">
        <v>12</v>
      </c>
      <c r="K111" s="66">
        <v>8</v>
      </c>
      <c r="L111" s="66">
        <v>4</v>
      </c>
      <c r="M111" s="66">
        <v>8</v>
      </c>
      <c r="N111" s="66">
        <v>7</v>
      </c>
      <c r="O111" s="66">
        <v>11</v>
      </c>
      <c r="P111" s="66">
        <v>19</v>
      </c>
      <c r="Q111" s="66">
        <v>2</v>
      </c>
      <c r="R111" s="66">
        <v>18</v>
      </c>
      <c r="S111" s="66">
        <v>119</v>
      </c>
      <c r="T111" s="66">
        <v>9</v>
      </c>
      <c r="U111" s="66">
        <v>13</v>
      </c>
      <c r="V111" s="66">
        <v>14</v>
      </c>
      <c r="W111" s="66">
        <v>265</v>
      </c>
      <c r="X111" s="66">
        <v>9</v>
      </c>
      <c r="Y111" s="66">
        <v>24</v>
      </c>
      <c r="Z111" s="66">
        <v>26</v>
      </c>
      <c r="AA111" s="66">
        <v>13</v>
      </c>
      <c r="AB111" s="66">
        <v>9</v>
      </c>
      <c r="AC111" s="66">
        <v>8</v>
      </c>
      <c r="AD111" s="66">
        <v>7</v>
      </c>
      <c r="AE111" s="66">
        <v>116</v>
      </c>
      <c r="AF111" s="66">
        <v>14</v>
      </c>
      <c r="AG111" s="66">
        <v>9</v>
      </c>
      <c r="AH111" s="66">
        <v>6</v>
      </c>
      <c r="AI111" s="66">
        <v>9</v>
      </c>
      <c r="AJ111" s="66">
        <v>12</v>
      </c>
      <c r="AK111" s="66">
        <v>9</v>
      </c>
      <c r="AL111" s="66">
        <v>114</v>
      </c>
      <c r="AM111" s="66">
        <v>2</v>
      </c>
      <c r="AN111" s="66">
        <v>2</v>
      </c>
      <c r="AO111" s="66">
        <v>0</v>
      </c>
      <c r="AP111" s="66">
        <v>4</v>
      </c>
      <c r="AQ111" s="66">
        <v>6</v>
      </c>
      <c r="AR111" s="66">
        <v>22</v>
      </c>
      <c r="AS111" s="66">
        <v>69</v>
      </c>
      <c r="AT111" s="66">
        <v>13</v>
      </c>
      <c r="AU111" s="66">
        <v>16</v>
      </c>
      <c r="AV111" s="66">
        <v>11</v>
      </c>
      <c r="AW111" s="66">
        <v>23</v>
      </c>
      <c r="AX111" s="66">
        <v>90</v>
      </c>
      <c r="AY111" s="66">
        <v>10</v>
      </c>
      <c r="AZ111" s="66">
        <v>24</v>
      </c>
      <c r="BA111" s="66">
        <v>16</v>
      </c>
      <c r="BB111" s="66">
        <v>67</v>
      </c>
      <c r="BC111" s="66">
        <v>29</v>
      </c>
      <c r="BD111" s="66">
        <v>21</v>
      </c>
      <c r="BE111" s="66">
        <v>7</v>
      </c>
      <c r="BF111" s="66">
        <v>0</v>
      </c>
      <c r="BG111" s="66">
        <v>11</v>
      </c>
      <c r="BH111" s="66">
        <v>12</v>
      </c>
      <c r="BI111" s="66">
        <v>23</v>
      </c>
      <c r="BJ111" s="66">
        <v>32</v>
      </c>
      <c r="BK111" s="66">
        <v>113</v>
      </c>
      <c r="BL111" s="66">
        <v>0</v>
      </c>
      <c r="BM111" s="66">
        <v>26</v>
      </c>
      <c r="BN111" s="66">
        <v>28</v>
      </c>
      <c r="BO111" s="66">
        <v>16</v>
      </c>
      <c r="BP111" s="66">
        <v>37</v>
      </c>
      <c r="BQ111" s="66">
        <v>41</v>
      </c>
      <c r="BR111" s="66">
        <v>36</v>
      </c>
      <c r="BS111" s="66">
        <v>10</v>
      </c>
      <c r="BT111" s="66">
        <v>2</v>
      </c>
      <c r="BU111" s="66">
        <v>32</v>
      </c>
      <c r="BV111" s="66">
        <v>17</v>
      </c>
      <c r="BW111" s="66">
        <v>15</v>
      </c>
      <c r="BX111" s="66">
        <v>19</v>
      </c>
      <c r="BY111" s="66">
        <v>39</v>
      </c>
      <c r="BZ111" s="66">
        <v>98</v>
      </c>
      <c r="CA111" s="66">
        <v>17</v>
      </c>
      <c r="CB111" s="66">
        <v>18</v>
      </c>
      <c r="CC111" s="66">
        <v>28</v>
      </c>
      <c r="CD111" s="66">
        <v>320</v>
      </c>
      <c r="CE111" s="66">
        <v>18</v>
      </c>
      <c r="CF111" s="66">
        <v>10</v>
      </c>
      <c r="CG111" s="66">
        <v>17</v>
      </c>
      <c r="CH111" s="66">
        <v>30</v>
      </c>
      <c r="CI111" s="66">
        <v>123</v>
      </c>
      <c r="CJ111" s="66">
        <v>215</v>
      </c>
      <c r="CK111" s="66">
        <v>58</v>
      </c>
      <c r="CL111" s="66">
        <v>8</v>
      </c>
      <c r="CM111" s="66">
        <v>26</v>
      </c>
      <c r="CN111" s="66">
        <v>12</v>
      </c>
      <c r="CO111" s="66">
        <v>1</v>
      </c>
      <c r="CP111" s="66">
        <v>22</v>
      </c>
      <c r="CQ111" s="66">
        <v>1</v>
      </c>
      <c r="CR111" s="66">
        <v>4</v>
      </c>
      <c r="CS111" s="66">
        <v>0</v>
      </c>
      <c r="CT111" s="66">
        <v>1</v>
      </c>
      <c r="CU111" s="66">
        <v>2</v>
      </c>
      <c r="CV111" s="66">
        <v>0</v>
      </c>
      <c r="CW111" s="66">
        <v>4</v>
      </c>
      <c r="CX111" s="66">
        <v>18</v>
      </c>
      <c r="CY111" s="66">
        <v>36</v>
      </c>
      <c r="CZ111" s="66">
        <v>15</v>
      </c>
      <c r="DA111" s="66">
        <v>27</v>
      </c>
    </row>
    <row r="112" spans="1:105" ht="15" x14ac:dyDescent="0.35">
      <c r="A112" s="5" t="s">
        <v>353</v>
      </c>
      <c r="B112" s="5" t="s">
        <v>527</v>
      </c>
      <c r="C112" s="66">
        <v>0</v>
      </c>
      <c r="D112" s="66">
        <v>0</v>
      </c>
      <c r="E112" s="66">
        <v>0</v>
      </c>
      <c r="F112" s="66">
        <v>0</v>
      </c>
      <c r="G112" s="66">
        <v>0</v>
      </c>
      <c r="H112" s="66">
        <v>0</v>
      </c>
      <c r="I112" s="66">
        <v>0</v>
      </c>
      <c r="J112" s="66">
        <v>0</v>
      </c>
      <c r="K112" s="66">
        <v>27</v>
      </c>
      <c r="L112" s="66">
        <v>49</v>
      </c>
      <c r="M112" s="66">
        <v>107</v>
      </c>
      <c r="N112" s="66">
        <v>41</v>
      </c>
      <c r="O112" s="66">
        <v>89</v>
      </c>
      <c r="P112" s="66">
        <v>25</v>
      </c>
      <c r="Q112" s="66">
        <v>79</v>
      </c>
      <c r="R112" s="66">
        <v>41</v>
      </c>
      <c r="S112" s="66">
        <v>34</v>
      </c>
      <c r="T112" s="66">
        <v>74</v>
      </c>
      <c r="U112" s="66">
        <v>59</v>
      </c>
      <c r="V112" s="66">
        <v>71</v>
      </c>
      <c r="W112" s="66">
        <v>46</v>
      </c>
      <c r="X112" s="66">
        <v>52</v>
      </c>
      <c r="Y112" s="66">
        <v>34</v>
      </c>
      <c r="Z112" s="66">
        <v>36</v>
      </c>
      <c r="AA112" s="66">
        <v>52</v>
      </c>
      <c r="AB112" s="66">
        <v>46</v>
      </c>
      <c r="AC112" s="66">
        <v>89</v>
      </c>
      <c r="AD112" s="66">
        <v>23</v>
      </c>
      <c r="AE112" s="66">
        <v>26</v>
      </c>
      <c r="AF112" s="66">
        <v>36</v>
      </c>
      <c r="AG112" s="66">
        <v>73</v>
      </c>
      <c r="AH112" s="66">
        <v>25</v>
      </c>
      <c r="AI112" s="66">
        <v>5</v>
      </c>
      <c r="AJ112" s="66">
        <v>10</v>
      </c>
      <c r="AK112" s="66">
        <v>11</v>
      </c>
      <c r="AL112" s="66">
        <v>15</v>
      </c>
      <c r="AM112" s="66">
        <v>21</v>
      </c>
      <c r="AN112" s="66">
        <v>14</v>
      </c>
      <c r="AO112" s="66">
        <v>3</v>
      </c>
      <c r="AP112" s="66">
        <v>18</v>
      </c>
      <c r="AQ112" s="66">
        <v>1</v>
      </c>
      <c r="AR112" s="66">
        <v>2</v>
      </c>
      <c r="AS112" s="66">
        <v>19</v>
      </c>
      <c r="AT112" s="66">
        <v>8</v>
      </c>
      <c r="AU112" s="66">
        <v>11</v>
      </c>
      <c r="AV112" s="66">
        <v>23</v>
      </c>
      <c r="AW112" s="66">
        <v>7</v>
      </c>
      <c r="AX112" s="66">
        <v>34</v>
      </c>
      <c r="AY112" s="66">
        <v>25</v>
      </c>
      <c r="AZ112" s="66">
        <v>10</v>
      </c>
      <c r="BA112" s="66">
        <v>18</v>
      </c>
      <c r="BB112" s="66">
        <v>8</v>
      </c>
      <c r="BC112" s="66">
        <v>12</v>
      </c>
      <c r="BD112" s="66">
        <v>3</v>
      </c>
      <c r="BE112" s="66">
        <v>13</v>
      </c>
      <c r="BF112" s="66">
        <v>0</v>
      </c>
      <c r="BG112" s="66">
        <v>66</v>
      </c>
      <c r="BH112" s="66">
        <v>10</v>
      </c>
      <c r="BI112" s="66">
        <v>13</v>
      </c>
      <c r="BJ112" s="66">
        <v>50</v>
      </c>
      <c r="BK112" s="66">
        <v>9</v>
      </c>
      <c r="BL112" s="66">
        <v>41</v>
      </c>
      <c r="BM112" s="66">
        <v>50</v>
      </c>
      <c r="BN112" s="66">
        <v>26</v>
      </c>
      <c r="BO112" s="66">
        <v>43</v>
      </c>
      <c r="BP112" s="66">
        <v>111</v>
      </c>
      <c r="BQ112" s="66">
        <v>130</v>
      </c>
      <c r="BR112" s="66">
        <v>175</v>
      </c>
      <c r="BS112" s="66">
        <v>183</v>
      </c>
      <c r="BT112" s="66">
        <v>134</v>
      </c>
      <c r="BU112" s="66">
        <v>137</v>
      </c>
      <c r="BV112" s="66">
        <v>202</v>
      </c>
      <c r="BW112" s="66">
        <v>158</v>
      </c>
      <c r="BX112" s="66">
        <v>97</v>
      </c>
      <c r="BY112" s="66">
        <v>7</v>
      </c>
      <c r="BZ112" s="66">
        <v>1</v>
      </c>
      <c r="CA112" s="66">
        <v>2</v>
      </c>
      <c r="CB112" s="66">
        <v>12</v>
      </c>
      <c r="CC112" s="66">
        <v>7</v>
      </c>
      <c r="CD112" s="66">
        <v>6</v>
      </c>
      <c r="CE112" s="66">
        <v>1</v>
      </c>
      <c r="CF112" s="66">
        <v>46</v>
      </c>
      <c r="CG112" s="66">
        <v>57</v>
      </c>
      <c r="CH112" s="66">
        <v>96</v>
      </c>
      <c r="CI112" s="66">
        <v>23</v>
      </c>
      <c r="CJ112" s="66">
        <v>6</v>
      </c>
      <c r="CK112" s="66">
        <v>5</v>
      </c>
      <c r="CL112" s="66">
        <v>6</v>
      </c>
      <c r="CM112" s="66">
        <v>18</v>
      </c>
      <c r="CN112" s="66">
        <v>6</v>
      </c>
      <c r="CO112" s="66">
        <v>1</v>
      </c>
      <c r="CP112" s="66">
        <v>7</v>
      </c>
      <c r="CQ112" s="66">
        <v>4</v>
      </c>
      <c r="CR112" s="66">
        <v>10</v>
      </c>
      <c r="CS112" s="66">
        <v>6</v>
      </c>
      <c r="CT112" s="66">
        <v>1</v>
      </c>
      <c r="CU112" s="66">
        <v>4</v>
      </c>
      <c r="CV112" s="66">
        <v>11</v>
      </c>
      <c r="CW112" s="66">
        <v>1</v>
      </c>
      <c r="CX112" s="66">
        <v>6</v>
      </c>
      <c r="CY112" s="66">
        <v>8</v>
      </c>
      <c r="CZ112" s="66">
        <v>13</v>
      </c>
      <c r="DA112" s="66">
        <v>14</v>
      </c>
    </row>
    <row r="113" spans="1:105" ht="15" x14ac:dyDescent="0.35">
      <c r="A113" s="5" t="s">
        <v>354</v>
      </c>
      <c r="B113" s="5" t="s">
        <v>528</v>
      </c>
      <c r="C113" s="66">
        <v>0</v>
      </c>
      <c r="D113" s="66">
        <v>0</v>
      </c>
      <c r="E113" s="66">
        <v>0</v>
      </c>
      <c r="F113" s="66">
        <v>0</v>
      </c>
      <c r="G113" s="66">
        <v>0</v>
      </c>
      <c r="H113" s="66">
        <v>0</v>
      </c>
      <c r="I113" s="66">
        <v>0</v>
      </c>
      <c r="J113" s="66">
        <v>0</v>
      </c>
      <c r="K113" s="66">
        <v>0</v>
      </c>
      <c r="L113" s="66">
        <v>0</v>
      </c>
      <c r="M113" s="66">
        <v>0</v>
      </c>
      <c r="N113" s="66">
        <v>0</v>
      </c>
      <c r="O113" s="66">
        <v>0</v>
      </c>
      <c r="P113" s="66">
        <v>0</v>
      </c>
      <c r="Q113" s="66">
        <v>0</v>
      </c>
      <c r="R113" s="66">
        <v>0</v>
      </c>
      <c r="S113" s="66">
        <v>0</v>
      </c>
      <c r="T113" s="66">
        <v>0</v>
      </c>
      <c r="U113" s="66">
        <v>0</v>
      </c>
      <c r="V113" s="66">
        <v>0</v>
      </c>
      <c r="W113" s="66">
        <v>0</v>
      </c>
      <c r="X113" s="66">
        <v>0</v>
      </c>
      <c r="Y113" s="66">
        <v>23</v>
      </c>
      <c r="Z113" s="66">
        <v>217</v>
      </c>
      <c r="AA113" s="66">
        <v>50</v>
      </c>
      <c r="AB113" s="66">
        <v>52</v>
      </c>
      <c r="AC113" s="66">
        <v>41</v>
      </c>
      <c r="AD113" s="66">
        <v>116</v>
      </c>
      <c r="AE113" s="66">
        <v>67</v>
      </c>
      <c r="AF113" s="66">
        <v>88</v>
      </c>
      <c r="AG113" s="66">
        <v>73</v>
      </c>
      <c r="AH113" s="66">
        <v>40</v>
      </c>
      <c r="AI113" s="66">
        <v>27</v>
      </c>
      <c r="AJ113" s="66">
        <v>33</v>
      </c>
      <c r="AK113" s="66">
        <v>56</v>
      </c>
      <c r="AL113" s="66">
        <v>24</v>
      </c>
      <c r="AM113" s="66">
        <v>4</v>
      </c>
      <c r="AN113" s="66">
        <v>3</v>
      </c>
      <c r="AO113" s="66">
        <v>0</v>
      </c>
      <c r="AP113" s="66">
        <v>3</v>
      </c>
      <c r="AQ113" s="66">
        <v>16</v>
      </c>
      <c r="AR113" s="66">
        <v>0</v>
      </c>
      <c r="AS113" s="66">
        <v>0</v>
      </c>
      <c r="AT113" s="66">
        <v>0</v>
      </c>
      <c r="AU113" s="66">
        <v>0</v>
      </c>
      <c r="AV113" s="66">
        <v>0</v>
      </c>
      <c r="AW113" s="66">
        <v>3</v>
      </c>
      <c r="AX113" s="66">
        <v>78</v>
      </c>
      <c r="AY113" s="66">
        <v>10</v>
      </c>
      <c r="AZ113" s="66">
        <v>28</v>
      </c>
      <c r="BA113" s="66">
        <v>36</v>
      </c>
      <c r="BB113" s="66">
        <v>21</v>
      </c>
      <c r="BC113" s="66">
        <v>16</v>
      </c>
      <c r="BD113" s="66">
        <v>18</v>
      </c>
      <c r="BE113" s="66">
        <v>6</v>
      </c>
      <c r="BF113" s="66">
        <v>0</v>
      </c>
      <c r="BG113" s="66">
        <v>23</v>
      </c>
      <c r="BH113" s="66">
        <v>4</v>
      </c>
      <c r="BI113" s="66">
        <v>55</v>
      </c>
      <c r="BJ113" s="66">
        <v>18</v>
      </c>
      <c r="BK113" s="66">
        <v>30</v>
      </c>
      <c r="BL113" s="66">
        <v>17</v>
      </c>
      <c r="BM113" s="66">
        <v>11</v>
      </c>
      <c r="BN113" s="66">
        <v>38</v>
      </c>
      <c r="BO113" s="66">
        <v>30</v>
      </c>
      <c r="BP113" s="66">
        <v>30</v>
      </c>
      <c r="BQ113" s="66">
        <v>23</v>
      </c>
      <c r="BR113" s="66">
        <v>53</v>
      </c>
      <c r="BS113" s="66">
        <v>42</v>
      </c>
      <c r="BT113" s="66">
        <v>83</v>
      </c>
      <c r="BU113" s="66">
        <v>70</v>
      </c>
      <c r="BV113" s="66">
        <v>74</v>
      </c>
      <c r="BW113" s="66">
        <v>34</v>
      </c>
      <c r="BX113" s="66">
        <v>57</v>
      </c>
      <c r="BY113" s="66">
        <v>53</v>
      </c>
      <c r="BZ113" s="66">
        <v>80</v>
      </c>
      <c r="CA113" s="66">
        <v>36</v>
      </c>
      <c r="CB113" s="66">
        <v>89</v>
      </c>
      <c r="CC113" s="66">
        <v>123</v>
      </c>
      <c r="CD113" s="66">
        <v>44</v>
      </c>
      <c r="CE113" s="66">
        <v>70</v>
      </c>
      <c r="CF113" s="66">
        <v>53</v>
      </c>
      <c r="CG113" s="66">
        <v>79</v>
      </c>
      <c r="CH113" s="66">
        <v>29</v>
      </c>
      <c r="CI113" s="66">
        <v>64</v>
      </c>
      <c r="CJ113" s="66">
        <v>34</v>
      </c>
      <c r="CK113" s="66">
        <v>53</v>
      </c>
      <c r="CL113" s="66">
        <v>39</v>
      </c>
      <c r="CM113" s="66">
        <v>29</v>
      </c>
      <c r="CN113" s="66">
        <v>115</v>
      </c>
      <c r="CO113" s="66">
        <v>14</v>
      </c>
      <c r="CP113" s="66">
        <v>36</v>
      </c>
      <c r="CQ113" s="66">
        <v>26</v>
      </c>
      <c r="CR113" s="66">
        <v>26</v>
      </c>
      <c r="CS113" s="66">
        <v>57</v>
      </c>
      <c r="CT113" s="66">
        <v>66</v>
      </c>
      <c r="CU113" s="66">
        <v>87</v>
      </c>
      <c r="CV113" s="66">
        <v>19</v>
      </c>
      <c r="CW113" s="66">
        <v>0</v>
      </c>
      <c r="CX113" s="66">
        <v>0</v>
      </c>
      <c r="CY113" s="66">
        <v>0</v>
      </c>
      <c r="CZ113" s="66">
        <v>0</v>
      </c>
      <c r="DA113" s="66">
        <v>0</v>
      </c>
    </row>
    <row r="114" spans="1:105" ht="15" x14ac:dyDescent="0.35">
      <c r="A114" s="5" t="s">
        <v>355</v>
      </c>
      <c r="B114" s="5" t="s">
        <v>529</v>
      </c>
      <c r="C114" s="66">
        <v>43</v>
      </c>
      <c r="D114" s="66">
        <v>34</v>
      </c>
      <c r="E114" s="66">
        <v>2</v>
      </c>
      <c r="F114" s="66">
        <v>0</v>
      </c>
      <c r="G114" s="66">
        <v>17</v>
      </c>
      <c r="H114" s="66">
        <v>31</v>
      </c>
      <c r="I114" s="66">
        <v>45</v>
      </c>
      <c r="J114" s="66">
        <v>63</v>
      </c>
      <c r="K114" s="66">
        <v>27</v>
      </c>
      <c r="L114" s="66">
        <v>71</v>
      </c>
      <c r="M114" s="66">
        <v>22</v>
      </c>
      <c r="N114" s="66">
        <v>26</v>
      </c>
      <c r="O114" s="66">
        <v>36</v>
      </c>
      <c r="P114" s="66">
        <v>65</v>
      </c>
      <c r="Q114" s="66">
        <v>49</v>
      </c>
      <c r="R114" s="66">
        <v>38</v>
      </c>
      <c r="S114" s="66">
        <v>42</v>
      </c>
      <c r="T114" s="66">
        <v>10</v>
      </c>
      <c r="U114" s="66">
        <v>25</v>
      </c>
      <c r="V114" s="66">
        <v>32</v>
      </c>
      <c r="W114" s="66">
        <v>9</v>
      </c>
      <c r="X114" s="66">
        <v>89</v>
      </c>
      <c r="Y114" s="66">
        <v>11</v>
      </c>
      <c r="Z114" s="66">
        <v>14</v>
      </c>
      <c r="AA114" s="66">
        <v>12</v>
      </c>
      <c r="AB114" s="66">
        <v>11</v>
      </c>
      <c r="AC114" s="66">
        <v>58</v>
      </c>
      <c r="AD114" s="66">
        <v>29</v>
      </c>
      <c r="AE114" s="66">
        <v>26</v>
      </c>
      <c r="AF114" s="66">
        <v>82</v>
      </c>
      <c r="AG114" s="66">
        <v>18</v>
      </c>
      <c r="AH114" s="66">
        <v>12</v>
      </c>
      <c r="AI114" s="66">
        <v>15</v>
      </c>
      <c r="AJ114" s="66">
        <v>13</v>
      </c>
      <c r="AK114" s="66">
        <v>94</v>
      </c>
      <c r="AL114" s="66">
        <v>46</v>
      </c>
      <c r="AM114" s="66">
        <v>45</v>
      </c>
      <c r="AN114" s="66">
        <v>18</v>
      </c>
      <c r="AO114" s="66">
        <v>36</v>
      </c>
      <c r="AP114" s="66">
        <v>54</v>
      </c>
      <c r="AQ114" s="66">
        <v>95</v>
      </c>
      <c r="AR114" s="66">
        <v>47</v>
      </c>
      <c r="AS114" s="66">
        <v>32</v>
      </c>
      <c r="AT114" s="66">
        <v>40</v>
      </c>
      <c r="AU114" s="66">
        <v>36</v>
      </c>
      <c r="AV114" s="66">
        <v>30</v>
      </c>
      <c r="AW114" s="66">
        <v>23</v>
      </c>
      <c r="AX114" s="66">
        <v>41</v>
      </c>
      <c r="AY114" s="66">
        <v>40</v>
      </c>
      <c r="AZ114" s="66">
        <v>70</v>
      </c>
      <c r="BA114" s="66">
        <v>20</v>
      </c>
      <c r="BB114" s="66">
        <v>57</v>
      </c>
      <c r="BC114" s="66">
        <v>42</v>
      </c>
      <c r="BD114" s="66">
        <v>37</v>
      </c>
      <c r="BE114" s="66">
        <v>54</v>
      </c>
      <c r="BF114" s="66">
        <v>0</v>
      </c>
      <c r="BG114" s="66">
        <v>25</v>
      </c>
      <c r="BH114" s="66">
        <v>89</v>
      </c>
      <c r="BI114" s="66">
        <v>21</v>
      </c>
      <c r="BJ114" s="66">
        <v>37</v>
      </c>
      <c r="BK114" s="66">
        <v>17</v>
      </c>
      <c r="BL114" s="66">
        <v>28</v>
      </c>
      <c r="BM114" s="66">
        <v>42</v>
      </c>
      <c r="BN114" s="66">
        <v>14</v>
      </c>
      <c r="BO114" s="66">
        <v>40</v>
      </c>
      <c r="BP114" s="66">
        <v>24</v>
      </c>
      <c r="BQ114" s="66">
        <v>20</v>
      </c>
      <c r="BR114" s="66">
        <v>40</v>
      </c>
      <c r="BS114" s="66">
        <v>4</v>
      </c>
      <c r="BT114" s="66">
        <v>76</v>
      </c>
      <c r="BU114" s="66">
        <v>37</v>
      </c>
      <c r="BV114" s="66">
        <v>49</v>
      </c>
      <c r="BW114" s="66">
        <v>28</v>
      </c>
      <c r="BX114" s="66">
        <v>16</v>
      </c>
      <c r="BY114" s="66">
        <v>69</v>
      </c>
      <c r="BZ114" s="66">
        <v>7</v>
      </c>
      <c r="CA114" s="66">
        <v>44</v>
      </c>
      <c r="CB114" s="66">
        <v>10</v>
      </c>
      <c r="CC114" s="66">
        <v>23</v>
      </c>
      <c r="CD114" s="66">
        <v>19</v>
      </c>
      <c r="CE114" s="66">
        <v>37</v>
      </c>
      <c r="CF114" s="66">
        <v>0</v>
      </c>
      <c r="CG114" s="66">
        <v>10</v>
      </c>
      <c r="CH114" s="66">
        <v>27</v>
      </c>
      <c r="CI114" s="66">
        <v>16</v>
      </c>
      <c r="CJ114" s="66">
        <v>6</v>
      </c>
      <c r="CK114" s="66">
        <v>23</v>
      </c>
      <c r="CL114" s="66">
        <v>28</v>
      </c>
      <c r="CM114" s="66">
        <v>10</v>
      </c>
      <c r="CN114" s="66">
        <v>67</v>
      </c>
      <c r="CO114" s="66">
        <v>35</v>
      </c>
      <c r="CP114" s="66">
        <v>35</v>
      </c>
      <c r="CQ114" s="66">
        <v>4</v>
      </c>
      <c r="CR114" s="66">
        <v>74</v>
      </c>
      <c r="CS114" s="66">
        <v>30</v>
      </c>
      <c r="CT114" s="66">
        <v>17</v>
      </c>
      <c r="CU114" s="66">
        <v>53</v>
      </c>
      <c r="CV114" s="66">
        <v>25</v>
      </c>
      <c r="CW114" s="66">
        <v>23</v>
      </c>
      <c r="CX114" s="66">
        <v>44</v>
      </c>
      <c r="CY114" s="66">
        <v>46</v>
      </c>
      <c r="CZ114" s="66">
        <v>77</v>
      </c>
      <c r="DA114" s="66">
        <v>38</v>
      </c>
    </row>
    <row r="115" spans="1:105" ht="15" x14ac:dyDescent="0.35">
      <c r="A115" s="5" t="s">
        <v>356</v>
      </c>
      <c r="B115" s="5" t="s">
        <v>530</v>
      </c>
      <c r="C115" s="66">
        <v>139</v>
      </c>
      <c r="D115" s="66">
        <v>87</v>
      </c>
      <c r="E115" s="66">
        <v>7</v>
      </c>
      <c r="F115" s="66">
        <v>0</v>
      </c>
      <c r="G115" s="66">
        <v>38</v>
      </c>
      <c r="H115" s="66">
        <v>83</v>
      </c>
      <c r="I115" s="66">
        <v>97</v>
      </c>
      <c r="J115" s="66">
        <v>81</v>
      </c>
      <c r="K115" s="66">
        <v>86</v>
      </c>
      <c r="L115" s="66">
        <v>67</v>
      </c>
      <c r="M115" s="66">
        <v>50</v>
      </c>
      <c r="N115" s="66">
        <v>77</v>
      </c>
      <c r="O115" s="66">
        <v>84</v>
      </c>
      <c r="P115" s="66">
        <v>93</v>
      </c>
      <c r="Q115" s="66">
        <v>69</v>
      </c>
      <c r="R115" s="66">
        <v>67</v>
      </c>
      <c r="S115" s="66">
        <v>36</v>
      </c>
      <c r="T115" s="66">
        <v>40</v>
      </c>
      <c r="U115" s="66">
        <v>79</v>
      </c>
      <c r="V115" s="66">
        <v>44</v>
      </c>
      <c r="W115" s="66">
        <v>81</v>
      </c>
      <c r="X115" s="66">
        <v>39</v>
      </c>
      <c r="Y115" s="66">
        <v>53</v>
      </c>
      <c r="Z115" s="66">
        <v>66</v>
      </c>
      <c r="AA115" s="66">
        <v>27</v>
      </c>
      <c r="AB115" s="66">
        <v>52</v>
      </c>
      <c r="AC115" s="66">
        <v>76</v>
      </c>
      <c r="AD115" s="66">
        <v>58</v>
      </c>
      <c r="AE115" s="66">
        <v>46</v>
      </c>
      <c r="AF115" s="66">
        <v>86</v>
      </c>
      <c r="AG115" s="66">
        <v>59</v>
      </c>
      <c r="AH115" s="66">
        <v>16</v>
      </c>
      <c r="AI115" s="66">
        <v>62</v>
      </c>
      <c r="AJ115" s="66">
        <v>73</v>
      </c>
      <c r="AK115" s="66">
        <v>75</v>
      </c>
      <c r="AL115" s="66">
        <v>54</v>
      </c>
      <c r="AM115" s="66">
        <v>66</v>
      </c>
      <c r="AN115" s="66">
        <v>110</v>
      </c>
      <c r="AO115" s="66">
        <v>77</v>
      </c>
      <c r="AP115" s="66">
        <v>72</v>
      </c>
      <c r="AQ115" s="66">
        <v>39</v>
      </c>
      <c r="AR115" s="66">
        <v>102</v>
      </c>
      <c r="AS115" s="66">
        <v>84</v>
      </c>
      <c r="AT115" s="66">
        <v>104</v>
      </c>
      <c r="AU115" s="66">
        <v>79</v>
      </c>
      <c r="AV115" s="66">
        <v>35</v>
      </c>
      <c r="AW115" s="66">
        <v>110</v>
      </c>
      <c r="AX115" s="66">
        <v>83</v>
      </c>
      <c r="AY115" s="66">
        <v>76</v>
      </c>
      <c r="AZ115" s="66">
        <v>72</v>
      </c>
      <c r="BA115" s="66">
        <v>91</v>
      </c>
      <c r="BB115" s="66">
        <v>55</v>
      </c>
      <c r="BC115" s="66">
        <v>59</v>
      </c>
      <c r="BD115" s="66">
        <v>29</v>
      </c>
      <c r="BE115" s="66">
        <v>12</v>
      </c>
      <c r="BF115" s="66">
        <v>0</v>
      </c>
      <c r="BG115" s="66">
        <v>96</v>
      </c>
      <c r="BH115" s="66">
        <v>81</v>
      </c>
      <c r="BI115" s="66">
        <v>65</v>
      </c>
      <c r="BJ115" s="66">
        <v>72</v>
      </c>
      <c r="BK115" s="66">
        <v>95</v>
      </c>
      <c r="BL115" s="66">
        <v>55</v>
      </c>
      <c r="BM115" s="66">
        <v>25</v>
      </c>
      <c r="BN115" s="66">
        <v>28</v>
      </c>
      <c r="BO115" s="66">
        <v>40</v>
      </c>
      <c r="BP115" s="66">
        <v>25</v>
      </c>
      <c r="BQ115" s="66">
        <v>18</v>
      </c>
      <c r="BR115" s="66">
        <v>9</v>
      </c>
      <c r="BS115" s="66">
        <v>52</v>
      </c>
      <c r="BT115" s="66">
        <v>33</v>
      </c>
      <c r="BU115" s="66">
        <v>37</v>
      </c>
      <c r="BV115" s="66">
        <v>11</v>
      </c>
      <c r="BW115" s="66">
        <v>43</v>
      </c>
      <c r="BX115" s="66">
        <v>45</v>
      </c>
      <c r="BY115" s="66">
        <v>62</v>
      </c>
      <c r="BZ115" s="66">
        <v>75</v>
      </c>
      <c r="CA115" s="66">
        <v>16</v>
      </c>
      <c r="CB115" s="66">
        <v>42</v>
      </c>
      <c r="CC115" s="66">
        <v>58</v>
      </c>
      <c r="CD115" s="66">
        <v>21</v>
      </c>
      <c r="CE115" s="66">
        <v>54</v>
      </c>
      <c r="CF115" s="66">
        <v>24</v>
      </c>
      <c r="CG115" s="66">
        <v>6</v>
      </c>
      <c r="CH115" s="66">
        <v>23</v>
      </c>
      <c r="CI115" s="66">
        <v>20</v>
      </c>
      <c r="CJ115" s="66">
        <v>18</v>
      </c>
      <c r="CK115" s="66">
        <v>23</v>
      </c>
      <c r="CL115" s="66">
        <v>14</v>
      </c>
      <c r="CM115" s="66">
        <v>52</v>
      </c>
      <c r="CN115" s="66">
        <v>22</v>
      </c>
      <c r="CO115" s="66">
        <v>54</v>
      </c>
      <c r="CP115" s="66">
        <v>48</v>
      </c>
      <c r="CQ115" s="66">
        <v>23</v>
      </c>
      <c r="CR115" s="66">
        <v>30</v>
      </c>
      <c r="CS115" s="66">
        <v>35</v>
      </c>
      <c r="CT115" s="66">
        <v>36</v>
      </c>
      <c r="CU115" s="66">
        <v>13</v>
      </c>
      <c r="CV115" s="66">
        <v>44</v>
      </c>
      <c r="CW115" s="66">
        <v>5</v>
      </c>
      <c r="CX115" s="66">
        <v>93</v>
      </c>
      <c r="CY115" s="66">
        <v>14</v>
      </c>
      <c r="CZ115" s="66">
        <v>33</v>
      </c>
      <c r="DA115" s="66">
        <v>31</v>
      </c>
    </row>
    <row r="116" spans="1:105" ht="15" x14ac:dyDescent="0.35">
      <c r="A116" s="5" t="s">
        <v>357</v>
      </c>
      <c r="B116" s="5" t="s">
        <v>531</v>
      </c>
      <c r="C116" s="66">
        <v>134</v>
      </c>
      <c r="D116" s="66">
        <v>178</v>
      </c>
      <c r="E116" s="66">
        <v>23</v>
      </c>
      <c r="F116" s="66">
        <v>0</v>
      </c>
      <c r="G116" s="66">
        <v>337</v>
      </c>
      <c r="H116" s="66">
        <v>12</v>
      </c>
      <c r="I116" s="66">
        <v>75</v>
      </c>
      <c r="J116" s="66">
        <v>80</v>
      </c>
      <c r="K116" s="66">
        <v>357</v>
      </c>
      <c r="L116" s="66">
        <v>74</v>
      </c>
      <c r="M116" s="66">
        <v>306</v>
      </c>
      <c r="N116" s="66">
        <v>981</v>
      </c>
      <c r="O116" s="66">
        <v>147</v>
      </c>
      <c r="P116" s="66">
        <v>247</v>
      </c>
      <c r="Q116" s="66">
        <v>72</v>
      </c>
      <c r="R116" s="66">
        <v>68</v>
      </c>
      <c r="S116" s="66">
        <v>206</v>
      </c>
      <c r="T116" s="66">
        <v>43</v>
      </c>
      <c r="U116" s="66">
        <v>116</v>
      </c>
      <c r="V116" s="66">
        <v>269</v>
      </c>
      <c r="W116" s="66">
        <v>115</v>
      </c>
      <c r="X116" s="66">
        <v>69</v>
      </c>
      <c r="Y116" s="66">
        <v>39</v>
      </c>
      <c r="Z116" s="66">
        <v>56</v>
      </c>
      <c r="AA116" s="66">
        <v>39</v>
      </c>
      <c r="AB116" s="66">
        <v>24</v>
      </c>
      <c r="AC116" s="66">
        <v>57</v>
      </c>
      <c r="AD116" s="66">
        <v>186</v>
      </c>
      <c r="AE116" s="66">
        <v>25</v>
      </c>
      <c r="AF116" s="66">
        <v>100</v>
      </c>
      <c r="AG116" s="66">
        <v>82</v>
      </c>
      <c r="AH116" s="66">
        <v>44</v>
      </c>
      <c r="AI116" s="66">
        <v>52</v>
      </c>
      <c r="AJ116" s="66">
        <v>185</v>
      </c>
      <c r="AK116" s="66">
        <v>59</v>
      </c>
      <c r="AL116" s="66">
        <v>257</v>
      </c>
      <c r="AM116" s="66">
        <v>184</v>
      </c>
      <c r="AN116" s="66">
        <v>159</v>
      </c>
      <c r="AO116" s="66">
        <v>48</v>
      </c>
      <c r="AP116" s="66">
        <v>123</v>
      </c>
      <c r="AQ116" s="66">
        <v>136</v>
      </c>
      <c r="AR116" s="66">
        <v>158</v>
      </c>
      <c r="AS116" s="66">
        <v>173</v>
      </c>
      <c r="AT116" s="66">
        <v>711</v>
      </c>
      <c r="AU116" s="66">
        <v>373</v>
      </c>
      <c r="AV116" s="66">
        <v>136</v>
      </c>
      <c r="AW116" s="66">
        <v>87</v>
      </c>
      <c r="AX116" s="66">
        <v>124</v>
      </c>
      <c r="AY116" s="66">
        <v>728</v>
      </c>
      <c r="AZ116" s="66">
        <v>616</v>
      </c>
      <c r="BA116" s="66">
        <v>410</v>
      </c>
      <c r="BB116" s="66">
        <v>545</v>
      </c>
      <c r="BC116" s="66">
        <v>93</v>
      </c>
      <c r="BD116" s="66">
        <v>44</v>
      </c>
      <c r="BE116" s="66">
        <v>12</v>
      </c>
      <c r="BF116" s="66">
        <v>0</v>
      </c>
      <c r="BG116" s="66">
        <v>31</v>
      </c>
      <c r="BH116" s="66">
        <v>94</v>
      </c>
      <c r="BI116" s="66">
        <v>315</v>
      </c>
      <c r="BJ116" s="66">
        <v>83</v>
      </c>
      <c r="BK116" s="66">
        <v>108</v>
      </c>
      <c r="BL116" s="66">
        <v>27</v>
      </c>
      <c r="BM116" s="66">
        <v>21</v>
      </c>
      <c r="BN116" s="66">
        <v>89</v>
      </c>
      <c r="BO116" s="66">
        <v>106</v>
      </c>
      <c r="BP116" s="66">
        <v>71</v>
      </c>
      <c r="BQ116" s="66">
        <v>51</v>
      </c>
      <c r="BR116" s="66">
        <v>50</v>
      </c>
      <c r="BS116" s="66">
        <v>184</v>
      </c>
      <c r="BT116" s="66">
        <v>60</v>
      </c>
      <c r="BU116" s="66">
        <v>84</v>
      </c>
      <c r="BV116" s="66">
        <v>39</v>
      </c>
      <c r="BW116" s="66">
        <v>78</v>
      </c>
      <c r="BX116" s="66">
        <v>55</v>
      </c>
      <c r="BY116" s="66">
        <v>60</v>
      </c>
      <c r="BZ116" s="66">
        <v>93</v>
      </c>
      <c r="CA116" s="66">
        <v>53</v>
      </c>
      <c r="CB116" s="66">
        <v>25</v>
      </c>
      <c r="CC116" s="66">
        <v>93</v>
      </c>
      <c r="CD116" s="66">
        <v>35</v>
      </c>
      <c r="CE116" s="66">
        <v>13</v>
      </c>
      <c r="CF116" s="66">
        <v>33</v>
      </c>
      <c r="CG116" s="66">
        <v>51</v>
      </c>
      <c r="CH116" s="66">
        <v>42</v>
      </c>
      <c r="CI116" s="66">
        <v>49</v>
      </c>
      <c r="CJ116" s="66">
        <v>74</v>
      </c>
      <c r="CK116" s="66">
        <v>95</v>
      </c>
      <c r="CL116" s="66">
        <v>345</v>
      </c>
      <c r="CM116" s="66">
        <v>636</v>
      </c>
      <c r="CN116" s="66">
        <v>61</v>
      </c>
      <c r="CO116" s="66">
        <v>41</v>
      </c>
      <c r="CP116" s="66">
        <v>143</v>
      </c>
      <c r="CQ116" s="66">
        <v>87</v>
      </c>
      <c r="CR116" s="66">
        <v>99</v>
      </c>
      <c r="CS116" s="66">
        <v>279</v>
      </c>
      <c r="CT116" s="66">
        <v>3011</v>
      </c>
      <c r="CU116" s="66">
        <v>219</v>
      </c>
      <c r="CV116" s="66">
        <v>246</v>
      </c>
      <c r="CW116" s="66">
        <v>90</v>
      </c>
      <c r="CX116" s="66">
        <v>103</v>
      </c>
      <c r="CY116" s="66">
        <v>453</v>
      </c>
      <c r="CZ116" s="66">
        <v>666</v>
      </c>
      <c r="DA116" s="66">
        <v>94</v>
      </c>
    </row>
    <row r="117" spans="1:105" ht="15" x14ac:dyDescent="0.35">
      <c r="A117" s="5" t="s">
        <v>358</v>
      </c>
      <c r="B117" s="5" t="s">
        <v>532</v>
      </c>
      <c r="C117" s="66">
        <v>0</v>
      </c>
      <c r="D117" s="66">
        <v>6</v>
      </c>
      <c r="E117" s="66">
        <v>1</v>
      </c>
      <c r="F117" s="66">
        <v>0</v>
      </c>
      <c r="G117" s="66">
        <v>0</v>
      </c>
      <c r="H117" s="66">
        <v>0</v>
      </c>
      <c r="I117" s="66">
        <v>0</v>
      </c>
      <c r="J117" s="66">
        <v>0</v>
      </c>
      <c r="K117" s="66">
        <v>0</v>
      </c>
      <c r="L117" s="66">
        <v>0</v>
      </c>
      <c r="M117" s="66">
        <v>0</v>
      </c>
      <c r="N117" s="66">
        <v>0</v>
      </c>
      <c r="O117" s="66">
        <v>0</v>
      </c>
      <c r="P117" s="66">
        <v>0</v>
      </c>
      <c r="Q117" s="66">
        <v>0</v>
      </c>
      <c r="R117" s="66">
        <v>0</v>
      </c>
      <c r="S117" s="66">
        <v>0</v>
      </c>
      <c r="T117" s="66">
        <v>0</v>
      </c>
      <c r="U117" s="66">
        <v>0</v>
      </c>
      <c r="V117" s="66">
        <v>0</v>
      </c>
      <c r="W117" s="66">
        <v>1</v>
      </c>
      <c r="X117" s="66">
        <v>45</v>
      </c>
      <c r="Y117" s="66">
        <v>16</v>
      </c>
      <c r="Z117" s="66">
        <v>5</v>
      </c>
      <c r="AA117" s="66">
        <v>0</v>
      </c>
      <c r="AB117" s="66">
        <v>0</v>
      </c>
      <c r="AC117" s="66">
        <v>2</v>
      </c>
      <c r="AD117" s="66">
        <v>16</v>
      </c>
      <c r="AE117" s="66">
        <v>1</v>
      </c>
      <c r="AF117" s="66">
        <v>3</v>
      </c>
      <c r="AG117" s="66">
        <v>49</v>
      </c>
      <c r="AH117" s="66">
        <v>20</v>
      </c>
      <c r="AI117" s="66">
        <v>19</v>
      </c>
      <c r="AJ117" s="66">
        <v>75</v>
      </c>
      <c r="AK117" s="66">
        <v>78</v>
      </c>
      <c r="AL117" s="66">
        <v>213</v>
      </c>
      <c r="AM117" s="66">
        <v>105</v>
      </c>
      <c r="AN117" s="66">
        <v>153</v>
      </c>
      <c r="AO117" s="66">
        <v>81</v>
      </c>
      <c r="AP117" s="66">
        <v>56</v>
      </c>
      <c r="AQ117" s="66">
        <v>139</v>
      </c>
      <c r="AR117" s="66">
        <v>541</v>
      </c>
      <c r="AS117" s="66">
        <v>198</v>
      </c>
      <c r="AT117" s="66">
        <v>143</v>
      </c>
      <c r="AU117" s="66">
        <v>470</v>
      </c>
      <c r="AV117" s="66">
        <v>156</v>
      </c>
      <c r="AW117" s="66">
        <v>262</v>
      </c>
      <c r="AX117" s="66">
        <v>479</v>
      </c>
      <c r="AY117" s="66">
        <v>438</v>
      </c>
      <c r="AZ117" s="66">
        <v>902</v>
      </c>
      <c r="BA117" s="66">
        <v>498</v>
      </c>
      <c r="BB117" s="66">
        <v>398</v>
      </c>
      <c r="BC117" s="66">
        <v>323</v>
      </c>
      <c r="BD117" s="66">
        <v>95</v>
      </c>
      <c r="BE117" s="66">
        <v>11</v>
      </c>
      <c r="BF117" s="66">
        <v>0</v>
      </c>
      <c r="BG117" s="66">
        <v>8</v>
      </c>
      <c r="BH117" s="66">
        <v>0</v>
      </c>
      <c r="BI117" s="66">
        <v>1</v>
      </c>
      <c r="BJ117" s="66">
        <v>0</v>
      </c>
      <c r="BK117" s="66">
        <v>1</v>
      </c>
      <c r="BL117" s="66">
        <v>0</v>
      </c>
      <c r="BM117" s="66">
        <v>0</v>
      </c>
      <c r="BN117" s="66">
        <v>3</v>
      </c>
      <c r="BO117" s="66">
        <v>0</v>
      </c>
      <c r="BP117" s="66">
        <v>0</v>
      </c>
      <c r="BQ117" s="66">
        <v>1</v>
      </c>
      <c r="BR117" s="66">
        <v>0</v>
      </c>
      <c r="BS117" s="66">
        <v>8</v>
      </c>
      <c r="BT117" s="66">
        <v>1</v>
      </c>
      <c r="BU117" s="66">
        <v>0</v>
      </c>
      <c r="BV117" s="66">
        <v>1</v>
      </c>
      <c r="BW117" s="66">
        <v>3</v>
      </c>
      <c r="BX117" s="66">
        <v>0</v>
      </c>
      <c r="BY117" s="66">
        <v>8</v>
      </c>
      <c r="BZ117" s="66">
        <v>8</v>
      </c>
      <c r="CA117" s="66">
        <v>0</v>
      </c>
      <c r="CB117" s="66">
        <v>0</v>
      </c>
      <c r="CC117" s="66">
        <v>9</v>
      </c>
      <c r="CD117" s="66">
        <v>8</v>
      </c>
      <c r="CE117" s="66">
        <v>1</v>
      </c>
      <c r="CF117" s="66">
        <v>2</v>
      </c>
      <c r="CG117" s="66">
        <v>5</v>
      </c>
      <c r="CH117" s="66">
        <v>0</v>
      </c>
      <c r="CI117" s="66">
        <v>1</v>
      </c>
      <c r="CJ117" s="66">
        <v>20</v>
      </c>
      <c r="CK117" s="66">
        <v>40</v>
      </c>
      <c r="CL117" s="66">
        <v>331</v>
      </c>
      <c r="CM117" s="66">
        <v>18</v>
      </c>
      <c r="CN117" s="66">
        <v>4</v>
      </c>
      <c r="CO117" s="66">
        <v>35</v>
      </c>
      <c r="CP117" s="66">
        <v>83</v>
      </c>
      <c r="CQ117" s="66">
        <v>80</v>
      </c>
      <c r="CR117" s="66">
        <v>82</v>
      </c>
      <c r="CS117" s="66">
        <v>52</v>
      </c>
      <c r="CT117" s="66">
        <v>138</v>
      </c>
      <c r="CU117" s="66">
        <v>170</v>
      </c>
      <c r="CV117" s="66">
        <v>252</v>
      </c>
      <c r="CW117" s="66">
        <v>103</v>
      </c>
      <c r="CX117" s="66">
        <v>136</v>
      </c>
      <c r="CY117" s="66">
        <v>239</v>
      </c>
      <c r="CZ117" s="66">
        <v>577</v>
      </c>
      <c r="DA117" s="66">
        <v>270</v>
      </c>
    </row>
    <row r="118" spans="1:105" ht="15" x14ac:dyDescent="0.35">
      <c r="A118" s="5" t="s">
        <v>359</v>
      </c>
      <c r="B118" s="5" t="s">
        <v>533</v>
      </c>
      <c r="C118" s="66">
        <v>0</v>
      </c>
      <c r="D118" s="66">
        <v>0</v>
      </c>
      <c r="E118" s="66">
        <v>0</v>
      </c>
      <c r="F118" s="66">
        <v>0</v>
      </c>
      <c r="G118" s="66">
        <v>0</v>
      </c>
      <c r="H118" s="66">
        <v>0</v>
      </c>
      <c r="I118" s="66">
        <v>0</v>
      </c>
      <c r="J118" s="66">
        <v>0</v>
      </c>
      <c r="K118" s="66">
        <v>0</v>
      </c>
      <c r="L118" s="66">
        <v>0</v>
      </c>
      <c r="M118" s="66">
        <v>0</v>
      </c>
      <c r="N118" s="66">
        <v>0</v>
      </c>
      <c r="O118" s="66">
        <v>0</v>
      </c>
      <c r="P118" s="66">
        <v>0</v>
      </c>
      <c r="Q118" s="66">
        <v>0</v>
      </c>
      <c r="R118" s="66">
        <v>0</v>
      </c>
      <c r="S118" s="66">
        <v>0</v>
      </c>
      <c r="T118" s="66">
        <v>7</v>
      </c>
      <c r="U118" s="66">
        <v>107</v>
      </c>
      <c r="V118" s="66">
        <v>68</v>
      </c>
      <c r="W118" s="66">
        <v>121</v>
      </c>
      <c r="X118" s="66">
        <v>62</v>
      </c>
      <c r="Y118" s="66">
        <v>90</v>
      </c>
      <c r="Z118" s="66">
        <v>117</v>
      </c>
      <c r="AA118" s="66">
        <v>97</v>
      </c>
      <c r="AB118" s="66">
        <v>47</v>
      </c>
      <c r="AC118" s="66">
        <v>122</v>
      </c>
      <c r="AD118" s="66">
        <v>95</v>
      </c>
      <c r="AE118" s="66">
        <v>51</v>
      </c>
      <c r="AF118" s="66">
        <v>61</v>
      </c>
      <c r="AG118" s="66">
        <v>30</v>
      </c>
      <c r="AH118" s="66">
        <v>36</v>
      </c>
      <c r="AI118" s="66">
        <v>27</v>
      </c>
      <c r="AJ118" s="66">
        <v>2</v>
      </c>
      <c r="AK118" s="66">
        <v>0</v>
      </c>
      <c r="AL118" s="66">
        <v>0</v>
      </c>
      <c r="AM118" s="66">
        <v>0</v>
      </c>
      <c r="AN118" s="66">
        <v>0</v>
      </c>
      <c r="AO118" s="66">
        <v>0</v>
      </c>
      <c r="AP118" s="66">
        <v>0</v>
      </c>
      <c r="AQ118" s="66">
        <v>0</v>
      </c>
      <c r="AR118" s="66">
        <v>0</v>
      </c>
      <c r="AS118" s="66">
        <v>0</v>
      </c>
      <c r="AT118" s="66">
        <v>0</v>
      </c>
      <c r="AU118" s="66">
        <v>1</v>
      </c>
      <c r="AV118" s="66">
        <v>0</v>
      </c>
      <c r="AW118" s="66">
        <v>0</v>
      </c>
      <c r="AX118" s="66">
        <v>0</v>
      </c>
      <c r="AY118" s="66">
        <v>0</v>
      </c>
      <c r="AZ118" s="66">
        <v>0</v>
      </c>
      <c r="BA118" s="66">
        <v>34</v>
      </c>
      <c r="BB118" s="66">
        <v>28</v>
      </c>
      <c r="BC118" s="66">
        <v>14</v>
      </c>
      <c r="BD118" s="66">
        <v>15</v>
      </c>
      <c r="BE118" s="66">
        <v>3</v>
      </c>
      <c r="BF118" s="66">
        <v>0</v>
      </c>
      <c r="BG118" s="66">
        <v>3</v>
      </c>
      <c r="BH118" s="66">
        <v>2</v>
      </c>
      <c r="BI118" s="66">
        <v>2</v>
      </c>
      <c r="BJ118" s="66">
        <v>26</v>
      </c>
      <c r="BK118" s="66">
        <v>12</v>
      </c>
      <c r="BL118" s="66">
        <v>17</v>
      </c>
      <c r="BM118" s="66">
        <v>33</v>
      </c>
      <c r="BN118" s="66">
        <v>48</v>
      </c>
      <c r="BO118" s="66">
        <v>25</v>
      </c>
      <c r="BP118" s="66">
        <v>15</v>
      </c>
      <c r="BQ118" s="66">
        <v>8</v>
      </c>
      <c r="BR118" s="66">
        <v>21</v>
      </c>
      <c r="BS118" s="66">
        <v>20</v>
      </c>
      <c r="BT118" s="66">
        <v>23</v>
      </c>
      <c r="BU118" s="66">
        <v>116</v>
      </c>
      <c r="BV118" s="66">
        <v>39</v>
      </c>
      <c r="BW118" s="66">
        <v>8</v>
      </c>
      <c r="BX118" s="66">
        <v>52</v>
      </c>
      <c r="BY118" s="66">
        <v>165</v>
      </c>
      <c r="BZ118" s="66">
        <v>25</v>
      </c>
      <c r="CA118" s="66">
        <v>22</v>
      </c>
      <c r="CB118" s="66">
        <v>127</v>
      </c>
      <c r="CC118" s="66">
        <v>23</v>
      </c>
      <c r="CD118" s="66">
        <v>21</v>
      </c>
      <c r="CE118" s="66">
        <v>43</v>
      </c>
      <c r="CF118" s="66">
        <v>35</v>
      </c>
      <c r="CG118" s="66">
        <v>20</v>
      </c>
      <c r="CH118" s="66">
        <v>31</v>
      </c>
      <c r="CI118" s="66">
        <v>33</v>
      </c>
      <c r="CJ118" s="66">
        <v>33</v>
      </c>
      <c r="CK118" s="66">
        <v>6</v>
      </c>
      <c r="CL118" s="66">
        <v>43</v>
      </c>
      <c r="CM118" s="66">
        <v>17</v>
      </c>
      <c r="CN118" s="66">
        <v>17</v>
      </c>
      <c r="CO118" s="66">
        <v>5</v>
      </c>
      <c r="CP118" s="66">
        <v>17</v>
      </c>
      <c r="CQ118" s="66">
        <v>2</v>
      </c>
      <c r="CR118" s="66">
        <v>7</v>
      </c>
      <c r="CS118" s="66">
        <v>1</v>
      </c>
      <c r="CT118" s="66">
        <v>1</v>
      </c>
      <c r="CU118" s="66">
        <v>4</v>
      </c>
      <c r="CV118" s="66">
        <v>0</v>
      </c>
      <c r="CW118" s="66">
        <v>7</v>
      </c>
      <c r="CX118" s="66">
        <v>11</v>
      </c>
      <c r="CY118" s="66">
        <v>13</v>
      </c>
      <c r="CZ118" s="66">
        <v>14</v>
      </c>
      <c r="DA118" s="66">
        <v>13</v>
      </c>
    </row>
    <row r="119" spans="1:105" ht="15" x14ac:dyDescent="0.35">
      <c r="A119" s="5" t="s">
        <v>360</v>
      </c>
      <c r="B119" s="5" t="s">
        <v>534</v>
      </c>
      <c r="C119" s="66">
        <v>37</v>
      </c>
      <c r="D119" s="66">
        <v>25</v>
      </c>
      <c r="E119" s="66">
        <v>1</v>
      </c>
      <c r="F119" s="66">
        <v>0</v>
      </c>
      <c r="G119" s="66">
        <v>136</v>
      </c>
      <c r="H119" s="66">
        <v>28</v>
      </c>
      <c r="I119" s="66">
        <v>35</v>
      </c>
      <c r="J119" s="66">
        <v>14</v>
      </c>
      <c r="K119" s="66">
        <v>232</v>
      </c>
      <c r="L119" s="66">
        <v>12</v>
      </c>
      <c r="M119" s="66">
        <v>223</v>
      </c>
      <c r="N119" s="66">
        <v>57</v>
      </c>
      <c r="O119" s="66">
        <v>32</v>
      </c>
      <c r="P119" s="66">
        <v>16</v>
      </c>
      <c r="Q119" s="66">
        <v>225</v>
      </c>
      <c r="R119" s="66">
        <v>37</v>
      </c>
      <c r="S119" s="66">
        <v>43</v>
      </c>
      <c r="T119" s="66">
        <v>29</v>
      </c>
      <c r="U119" s="66">
        <v>23</v>
      </c>
      <c r="V119" s="66">
        <v>31</v>
      </c>
      <c r="W119" s="66">
        <v>15</v>
      </c>
      <c r="X119" s="66">
        <v>20</v>
      </c>
      <c r="Y119" s="66">
        <v>32</v>
      </c>
      <c r="Z119" s="66">
        <v>29</v>
      </c>
      <c r="AA119" s="66">
        <v>18</v>
      </c>
      <c r="AB119" s="66">
        <v>17</v>
      </c>
      <c r="AC119" s="66">
        <v>14</v>
      </c>
      <c r="AD119" s="66">
        <v>9</v>
      </c>
      <c r="AE119" s="66">
        <v>11</v>
      </c>
      <c r="AF119" s="66">
        <v>16</v>
      </c>
      <c r="AG119" s="66">
        <v>24</v>
      </c>
      <c r="AH119" s="66">
        <v>307</v>
      </c>
      <c r="AI119" s="66">
        <v>320</v>
      </c>
      <c r="AJ119" s="66">
        <v>307</v>
      </c>
      <c r="AK119" s="66">
        <v>10</v>
      </c>
      <c r="AL119" s="66">
        <v>6</v>
      </c>
      <c r="AM119" s="66">
        <v>10</v>
      </c>
      <c r="AN119" s="66">
        <v>13</v>
      </c>
      <c r="AO119" s="66">
        <v>15</v>
      </c>
      <c r="AP119" s="66">
        <v>9</v>
      </c>
      <c r="AQ119" s="66">
        <v>14</v>
      </c>
      <c r="AR119" s="66">
        <v>47</v>
      </c>
      <c r="AS119" s="66">
        <v>11</v>
      </c>
      <c r="AT119" s="66">
        <v>1</v>
      </c>
      <c r="AU119" s="66">
        <v>1</v>
      </c>
      <c r="AV119" s="66">
        <v>1</v>
      </c>
      <c r="AW119" s="66">
        <v>80</v>
      </c>
      <c r="AX119" s="66">
        <v>23</v>
      </c>
      <c r="AY119" s="66">
        <v>26</v>
      </c>
      <c r="AZ119" s="66">
        <v>82</v>
      </c>
      <c r="BA119" s="66">
        <v>33</v>
      </c>
      <c r="BB119" s="66">
        <v>4</v>
      </c>
      <c r="BC119" s="66">
        <v>15</v>
      </c>
      <c r="BD119" s="66">
        <v>6</v>
      </c>
      <c r="BE119" s="66">
        <v>5</v>
      </c>
      <c r="BF119" s="66">
        <v>0</v>
      </c>
      <c r="BG119" s="66">
        <v>10</v>
      </c>
      <c r="BH119" s="66">
        <v>12</v>
      </c>
      <c r="BI119" s="66">
        <v>18</v>
      </c>
      <c r="BJ119" s="66">
        <v>31</v>
      </c>
      <c r="BK119" s="66">
        <v>28</v>
      </c>
      <c r="BL119" s="66">
        <v>4</v>
      </c>
      <c r="BM119" s="66">
        <v>37</v>
      </c>
      <c r="BN119" s="66">
        <v>31</v>
      </c>
      <c r="BO119" s="66">
        <v>11</v>
      </c>
      <c r="BP119" s="66">
        <v>14</v>
      </c>
      <c r="BQ119" s="66">
        <v>6</v>
      </c>
      <c r="BR119" s="66">
        <v>6</v>
      </c>
      <c r="BS119" s="66">
        <v>14</v>
      </c>
      <c r="BT119" s="66">
        <v>8</v>
      </c>
      <c r="BU119" s="66">
        <v>20</v>
      </c>
      <c r="BV119" s="66">
        <v>7</v>
      </c>
      <c r="BW119" s="66">
        <v>5</v>
      </c>
      <c r="BX119" s="66">
        <v>28</v>
      </c>
      <c r="BY119" s="66">
        <v>19</v>
      </c>
      <c r="BZ119" s="66">
        <v>144</v>
      </c>
      <c r="CA119" s="66">
        <v>14</v>
      </c>
      <c r="CB119" s="66">
        <v>14</v>
      </c>
      <c r="CC119" s="66">
        <v>517</v>
      </c>
      <c r="CD119" s="66">
        <v>9</v>
      </c>
      <c r="CE119" s="66">
        <v>24</v>
      </c>
      <c r="CF119" s="66">
        <v>2</v>
      </c>
      <c r="CG119" s="66">
        <v>517</v>
      </c>
      <c r="CH119" s="66">
        <v>6</v>
      </c>
      <c r="CI119" s="66">
        <v>41</v>
      </c>
      <c r="CJ119" s="66">
        <v>19</v>
      </c>
      <c r="CK119" s="66">
        <v>10</v>
      </c>
      <c r="CL119" s="66">
        <v>20</v>
      </c>
      <c r="CM119" s="66">
        <v>26</v>
      </c>
      <c r="CN119" s="66">
        <v>13</v>
      </c>
      <c r="CO119" s="66">
        <v>7</v>
      </c>
      <c r="CP119" s="66">
        <v>8</v>
      </c>
      <c r="CQ119" s="66">
        <v>173</v>
      </c>
      <c r="CR119" s="66">
        <v>0</v>
      </c>
      <c r="CS119" s="66">
        <v>9</v>
      </c>
      <c r="CT119" s="66">
        <v>27</v>
      </c>
      <c r="CU119" s="66">
        <v>10</v>
      </c>
      <c r="CV119" s="66">
        <v>14</v>
      </c>
      <c r="CW119" s="66">
        <v>45</v>
      </c>
      <c r="CX119" s="66">
        <v>27</v>
      </c>
      <c r="CY119" s="66">
        <v>12</v>
      </c>
      <c r="CZ119" s="66">
        <v>10</v>
      </c>
      <c r="DA119" s="66">
        <v>3</v>
      </c>
    </row>
    <row r="120" spans="1:105" ht="15" x14ac:dyDescent="0.35">
      <c r="A120" s="5" t="s">
        <v>361</v>
      </c>
      <c r="B120" s="5" t="s">
        <v>535</v>
      </c>
      <c r="C120" s="66">
        <v>0</v>
      </c>
      <c r="D120" s="66">
        <v>0</v>
      </c>
      <c r="E120" s="66">
        <v>0</v>
      </c>
      <c r="F120" s="66">
        <v>0</v>
      </c>
      <c r="G120" s="66">
        <v>10</v>
      </c>
      <c r="H120" s="66">
        <v>84</v>
      </c>
      <c r="I120" s="66">
        <v>57</v>
      </c>
      <c r="J120" s="66">
        <v>56</v>
      </c>
      <c r="K120" s="66">
        <v>68</v>
      </c>
      <c r="L120" s="66">
        <v>20</v>
      </c>
      <c r="M120" s="66">
        <v>71</v>
      </c>
      <c r="N120" s="66">
        <v>7</v>
      </c>
      <c r="O120" s="66">
        <v>24</v>
      </c>
      <c r="P120" s="66">
        <v>88</v>
      </c>
      <c r="Q120" s="66">
        <v>87</v>
      </c>
      <c r="R120" s="66">
        <v>32</v>
      </c>
      <c r="S120" s="66">
        <v>421</v>
      </c>
      <c r="T120" s="66">
        <v>170</v>
      </c>
      <c r="U120" s="66">
        <v>187</v>
      </c>
      <c r="V120" s="66">
        <v>44</v>
      </c>
      <c r="W120" s="66">
        <v>78</v>
      </c>
      <c r="X120" s="66">
        <v>67</v>
      </c>
      <c r="Y120" s="66">
        <v>160</v>
      </c>
      <c r="Z120" s="66">
        <v>19</v>
      </c>
      <c r="AA120" s="66">
        <v>134</v>
      </c>
      <c r="AB120" s="66">
        <v>174</v>
      </c>
      <c r="AC120" s="66">
        <v>69</v>
      </c>
      <c r="AD120" s="66">
        <v>71</v>
      </c>
      <c r="AE120" s="66">
        <v>88</v>
      </c>
      <c r="AF120" s="66">
        <v>189</v>
      </c>
      <c r="AG120" s="66">
        <v>43</v>
      </c>
      <c r="AH120" s="66">
        <v>88</v>
      </c>
      <c r="AI120" s="66">
        <v>102</v>
      </c>
      <c r="AJ120" s="66">
        <v>27</v>
      </c>
      <c r="AK120" s="66">
        <v>32</v>
      </c>
      <c r="AL120" s="66">
        <v>27</v>
      </c>
      <c r="AM120" s="66">
        <v>28</v>
      </c>
      <c r="AN120" s="66">
        <v>82</v>
      </c>
      <c r="AO120" s="66">
        <v>8</v>
      </c>
      <c r="AP120" s="66">
        <v>36</v>
      </c>
      <c r="AQ120" s="66">
        <v>3</v>
      </c>
      <c r="AR120" s="66">
        <v>25</v>
      </c>
      <c r="AS120" s="66">
        <v>105</v>
      </c>
      <c r="AT120" s="66">
        <v>66</v>
      </c>
      <c r="AU120" s="66">
        <v>46</v>
      </c>
      <c r="AV120" s="66">
        <v>27</v>
      </c>
      <c r="AW120" s="66">
        <v>52</v>
      </c>
      <c r="AX120" s="66">
        <v>41</v>
      </c>
      <c r="AY120" s="66">
        <v>22</v>
      </c>
      <c r="AZ120" s="66">
        <v>15</v>
      </c>
      <c r="BA120" s="66">
        <v>12</v>
      </c>
      <c r="BB120" s="66">
        <v>44</v>
      </c>
      <c r="BC120" s="66">
        <v>11</v>
      </c>
      <c r="BD120" s="66">
        <v>3</v>
      </c>
      <c r="BE120" s="66">
        <v>0</v>
      </c>
      <c r="BF120" s="66">
        <v>0</v>
      </c>
      <c r="BG120" s="66">
        <v>67</v>
      </c>
      <c r="BH120" s="66">
        <v>8</v>
      </c>
      <c r="BI120" s="66">
        <v>14</v>
      </c>
      <c r="BJ120" s="66">
        <v>4</v>
      </c>
      <c r="BK120" s="66">
        <v>57</v>
      </c>
      <c r="BL120" s="66">
        <v>40</v>
      </c>
      <c r="BM120" s="66">
        <v>78</v>
      </c>
      <c r="BN120" s="66">
        <v>16</v>
      </c>
      <c r="BO120" s="66">
        <v>19</v>
      </c>
      <c r="BP120" s="66">
        <v>73</v>
      </c>
      <c r="BQ120" s="66">
        <v>86</v>
      </c>
      <c r="BR120" s="66">
        <v>44</v>
      </c>
      <c r="BS120" s="66">
        <v>6</v>
      </c>
      <c r="BT120" s="66">
        <v>16</v>
      </c>
      <c r="BU120" s="66">
        <v>30</v>
      </c>
      <c r="BV120" s="66">
        <v>49</v>
      </c>
      <c r="BW120" s="66">
        <v>15</v>
      </c>
      <c r="BX120" s="66">
        <v>88</v>
      </c>
      <c r="BY120" s="66">
        <v>33</v>
      </c>
      <c r="BZ120" s="66">
        <v>133</v>
      </c>
      <c r="CA120" s="66">
        <v>217</v>
      </c>
      <c r="CB120" s="66">
        <v>132</v>
      </c>
      <c r="CC120" s="66">
        <v>41</v>
      </c>
      <c r="CD120" s="66">
        <v>18</v>
      </c>
      <c r="CE120" s="66">
        <v>62</v>
      </c>
      <c r="CF120" s="66">
        <v>13</v>
      </c>
      <c r="CG120" s="66">
        <v>26</v>
      </c>
      <c r="CH120" s="66">
        <v>78</v>
      </c>
      <c r="CI120" s="66">
        <v>34</v>
      </c>
      <c r="CJ120" s="66">
        <v>31</v>
      </c>
      <c r="CK120" s="66">
        <v>116</v>
      </c>
      <c r="CL120" s="66">
        <v>1</v>
      </c>
      <c r="CM120" s="66">
        <v>72</v>
      </c>
      <c r="CN120" s="66">
        <v>29</v>
      </c>
      <c r="CO120" s="66">
        <v>104</v>
      </c>
      <c r="CP120" s="66">
        <v>28</v>
      </c>
      <c r="CQ120" s="66">
        <v>28</v>
      </c>
      <c r="CR120" s="66">
        <v>35</v>
      </c>
      <c r="CS120" s="66">
        <v>49</v>
      </c>
      <c r="CT120" s="66">
        <v>38</v>
      </c>
      <c r="CU120" s="66">
        <v>21</v>
      </c>
      <c r="CV120" s="66">
        <v>64</v>
      </c>
      <c r="CW120" s="66">
        <v>17</v>
      </c>
      <c r="CX120" s="66">
        <v>26</v>
      </c>
      <c r="CY120" s="66">
        <v>32</v>
      </c>
      <c r="CZ120" s="66">
        <v>59</v>
      </c>
      <c r="DA120" s="66">
        <v>8</v>
      </c>
    </row>
    <row r="121" spans="1:105" ht="15" x14ac:dyDescent="0.35">
      <c r="A121" s="5" t="s">
        <v>362</v>
      </c>
      <c r="B121" s="5" t="s">
        <v>536</v>
      </c>
      <c r="C121" s="66">
        <v>389</v>
      </c>
      <c r="D121" s="66">
        <v>265</v>
      </c>
      <c r="E121" s="66">
        <v>6</v>
      </c>
      <c r="F121" s="66">
        <v>0</v>
      </c>
      <c r="G121" s="66">
        <v>690</v>
      </c>
      <c r="H121" s="66">
        <v>192</v>
      </c>
      <c r="I121" s="66">
        <v>656</v>
      </c>
      <c r="J121" s="66">
        <v>656</v>
      </c>
      <c r="K121" s="66">
        <v>201</v>
      </c>
      <c r="L121" s="66">
        <v>684</v>
      </c>
      <c r="M121" s="66">
        <v>646</v>
      </c>
      <c r="N121" s="66">
        <v>907</v>
      </c>
      <c r="O121" s="66">
        <v>748</v>
      </c>
      <c r="P121" s="66">
        <v>237</v>
      </c>
      <c r="Q121" s="66">
        <v>622</v>
      </c>
      <c r="R121" s="66">
        <v>630</v>
      </c>
      <c r="S121" s="66">
        <v>136</v>
      </c>
      <c r="T121" s="66">
        <v>491</v>
      </c>
      <c r="U121" s="66">
        <v>601</v>
      </c>
      <c r="V121" s="66">
        <v>697</v>
      </c>
      <c r="W121" s="66">
        <v>1058</v>
      </c>
      <c r="X121" s="66">
        <v>542</v>
      </c>
      <c r="Y121" s="66">
        <v>413</v>
      </c>
      <c r="Z121" s="66">
        <v>511</v>
      </c>
      <c r="AA121" s="66">
        <v>1067</v>
      </c>
      <c r="AB121" s="66">
        <v>270</v>
      </c>
      <c r="AC121" s="66">
        <v>802</v>
      </c>
      <c r="AD121" s="66">
        <v>558</v>
      </c>
      <c r="AE121" s="66">
        <v>410</v>
      </c>
      <c r="AF121" s="66">
        <v>1273</v>
      </c>
      <c r="AG121" s="66">
        <v>757</v>
      </c>
      <c r="AH121" s="66">
        <v>315</v>
      </c>
      <c r="AI121" s="66">
        <v>374</v>
      </c>
      <c r="AJ121" s="66">
        <v>220</v>
      </c>
      <c r="AK121" s="66">
        <v>319</v>
      </c>
      <c r="AL121" s="66">
        <v>388</v>
      </c>
      <c r="AM121" s="66">
        <v>1528</v>
      </c>
      <c r="AN121" s="66">
        <v>1181</v>
      </c>
      <c r="AO121" s="66">
        <v>481</v>
      </c>
      <c r="AP121" s="66">
        <v>710</v>
      </c>
      <c r="AQ121" s="66">
        <v>759</v>
      </c>
      <c r="AR121" s="66">
        <v>545</v>
      </c>
      <c r="AS121" s="66">
        <v>650</v>
      </c>
      <c r="AT121" s="66">
        <v>832</v>
      </c>
      <c r="AU121" s="66">
        <v>769</v>
      </c>
      <c r="AV121" s="66">
        <v>896</v>
      </c>
      <c r="AW121" s="66">
        <v>472</v>
      </c>
      <c r="AX121" s="66">
        <v>586</v>
      </c>
      <c r="AY121" s="66">
        <v>563</v>
      </c>
      <c r="AZ121" s="66">
        <v>777</v>
      </c>
      <c r="BA121" s="66">
        <v>895</v>
      </c>
      <c r="BB121" s="66">
        <v>623</v>
      </c>
      <c r="BC121" s="66">
        <v>232</v>
      </c>
      <c r="BD121" s="66">
        <v>549</v>
      </c>
      <c r="BE121" s="66">
        <v>534</v>
      </c>
      <c r="BF121" s="66">
        <v>0</v>
      </c>
      <c r="BG121" s="66">
        <v>179</v>
      </c>
      <c r="BH121" s="66">
        <v>107</v>
      </c>
      <c r="BI121" s="66">
        <v>154</v>
      </c>
      <c r="BJ121" s="66">
        <v>144</v>
      </c>
      <c r="BK121" s="66">
        <v>810</v>
      </c>
      <c r="BL121" s="66">
        <v>75</v>
      </c>
      <c r="BM121" s="66">
        <v>464</v>
      </c>
      <c r="BN121" s="66">
        <v>239</v>
      </c>
      <c r="BO121" s="66">
        <v>276</v>
      </c>
      <c r="BP121" s="66">
        <v>684</v>
      </c>
      <c r="BQ121" s="66">
        <v>1103</v>
      </c>
      <c r="BR121" s="66">
        <v>408</v>
      </c>
      <c r="BS121" s="66">
        <v>386</v>
      </c>
      <c r="BT121" s="66">
        <v>134</v>
      </c>
      <c r="BU121" s="66">
        <v>751</v>
      </c>
      <c r="BV121" s="66">
        <v>1321</v>
      </c>
      <c r="BW121" s="66">
        <v>255</v>
      </c>
      <c r="BX121" s="66">
        <v>555</v>
      </c>
      <c r="BY121" s="66">
        <v>498</v>
      </c>
      <c r="BZ121" s="66">
        <v>173</v>
      </c>
      <c r="CA121" s="66">
        <v>2825</v>
      </c>
      <c r="CB121" s="66">
        <v>20</v>
      </c>
      <c r="CC121" s="66">
        <v>337</v>
      </c>
      <c r="CD121" s="66">
        <v>471</v>
      </c>
      <c r="CE121" s="66">
        <v>545</v>
      </c>
      <c r="CF121" s="66">
        <v>160</v>
      </c>
      <c r="CG121" s="66">
        <v>117</v>
      </c>
      <c r="CH121" s="66">
        <v>167</v>
      </c>
      <c r="CI121" s="66">
        <v>1331</v>
      </c>
      <c r="CJ121" s="66">
        <v>742</v>
      </c>
      <c r="CK121" s="66">
        <v>247</v>
      </c>
      <c r="CL121" s="66">
        <v>248</v>
      </c>
      <c r="CM121" s="66">
        <v>878</v>
      </c>
      <c r="CN121" s="66">
        <v>876</v>
      </c>
      <c r="CO121" s="66">
        <v>205</v>
      </c>
      <c r="CP121" s="66">
        <v>664</v>
      </c>
      <c r="CQ121" s="66">
        <v>790</v>
      </c>
      <c r="CR121" s="66">
        <v>398</v>
      </c>
      <c r="CS121" s="66">
        <v>213</v>
      </c>
      <c r="CT121" s="66">
        <v>873</v>
      </c>
      <c r="CU121" s="66">
        <v>270</v>
      </c>
      <c r="CV121" s="66">
        <v>118</v>
      </c>
      <c r="CW121" s="66">
        <v>97</v>
      </c>
      <c r="CX121" s="66">
        <v>133</v>
      </c>
      <c r="CY121" s="66">
        <v>302</v>
      </c>
      <c r="CZ121" s="66">
        <v>415</v>
      </c>
      <c r="DA121" s="66">
        <v>392</v>
      </c>
    </row>
    <row r="122" spans="1:105" ht="15" x14ac:dyDescent="0.35">
      <c r="A122" s="5" t="s">
        <v>363</v>
      </c>
      <c r="B122" s="5" t="s">
        <v>537</v>
      </c>
      <c r="C122" s="66">
        <v>0</v>
      </c>
      <c r="D122" s="66">
        <v>0</v>
      </c>
      <c r="E122" s="66">
        <v>0</v>
      </c>
      <c r="F122" s="66">
        <v>0</v>
      </c>
      <c r="G122" s="66">
        <v>0</v>
      </c>
      <c r="H122" s="66">
        <v>0</v>
      </c>
      <c r="I122" s="66">
        <v>0</v>
      </c>
      <c r="J122" s="66">
        <v>0</v>
      </c>
      <c r="K122" s="66">
        <v>0</v>
      </c>
      <c r="L122" s="66">
        <v>0</v>
      </c>
      <c r="M122" s="66">
        <v>0</v>
      </c>
      <c r="N122" s="66">
        <v>0</v>
      </c>
      <c r="O122" s="66">
        <v>0</v>
      </c>
      <c r="P122" s="66">
        <v>45</v>
      </c>
      <c r="Q122" s="66">
        <v>44</v>
      </c>
      <c r="R122" s="66">
        <v>53</v>
      </c>
      <c r="S122" s="66">
        <v>40</v>
      </c>
      <c r="T122" s="66">
        <v>72</v>
      </c>
      <c r="U122" s="66">
        <v>38</v>
      </c>
      <c r="V122" s="66">
        <v>40</v>
      </c>
      <c r="W122" s="66">
        <v>38</v>
      </c>
      <c r="X122" s="66">
        <v>21</v>
      </c>
      <c r="Y122" s="66">
        <v>27</v>
      </c>
      <c r="Z122" s="66">
        <v>21</v>
      </c>
      <c r="AA122" s="66">
        <v>16</v>
      </c>
      <c r="AB122" s="66">
        <v>15</v>
      </c>
      <c r="AC122" s="66">
        <v>16</v>
      </c>
      <c r="AD122" s="66">
        <v>14</v>
      </c>
      <c r="AE122" s="66">
        <v>21</v>
      </c>
      <c r="AF122" s="66">
        <v>12</v>
      </c>
      <c r="AG122" s="66">
        <v>7</v>
      </c>
      <c r="AH122" s="66">
        <v>25</v>
      </c>
      <c r="AI122" s="66">
        <v>15</v>
      </c>
      <c r="AJ122" s="66">
        <v>100</v>
      </c>
      <c r="AK122" s="66">
        <v>91</v>
      </c>
      <c r="AL122" s="66">
        <v>24</v>
      </c>
      <c r="AM122" s="66">
        <v>31</v>
      </c>
      <c r="AN122" s="66">
        <v>13</v>
      </c>
      <c r="AO122" s="66">
        <v>39</v>
      </c>
      <c r="AP122" s="66">
        <v>24</v>
      </c>
      <c r="AQ122" s="66">
        <v>38</v>
      </c>
      <c r="AR122" s="66">
        <v>76</v>
      </c>
      <c r="AS122" s="66">
        <v>50</v>
      </c>
      <c r="AT122" s="66">
        <v>83</v>
      </c>
      <c r="AU122" s="66">
        <v>45</v>
      </c>
      <c r="AV122" s="66">
        <v>180</v>
      </c>
      <c r="AW122" s="66">
        <v>0</v>
      </c>
      <c r="AX122" s="66">
        <v>86</v>
      </c>
      <c r="AY122" s="66">
        <v>75</v>
      </c>
      <c r="AZ122" s="66">
        <v>247</v>
      </c>
      <c r="BA122" s="66">
        <v>215</v>
      </c>
      <c r="BB122" s="66">
        <v>143</v>
      </c>
      <c r="BC122" s="66">
        <v>133</v>
      </c>
      <c r="BD122" s="66">
        <v>40</v>
      </c>
      <c r="BE122" s="66">
        <v>27</v>
      </c>
      <c r="BF122" s="66">
        <v>0</v>
      </c>
      <c r="BG122" s="66">
        <v>52</v>
      </c>
      <c r="BH122" s="66">
        <v>25</v>
      </c>
      <c r="BI122" s="66">
        <v>13</v>
      </c>
      <c r="BJ122" s="66">
        <v>12</v>
      </c>
      <c r="BK122" s="66">
        <v>11</v>
      </c>
      <c r="BL122" s="66">
        <v>4</v>
      </c>
      <c r="BM122" s="66">
        <v>166</v>
      </c>
      <c r="BN122" s="66">
        <v>52</v>
      </c>
      <c r="BO122" s="66">
        <v>40</v>
      </c>
      <c r="BP122" s="66">
        <v>78</v>
      </c>
      <c r="BQ122" s="66">
        <v>18</v>
      </c>
      <c r="BR122" s="66">
        <v>30</v>
      </c>
      <c r="BS122" s="66">
        <v>86</v>
      </c>
      <c r="BT122" s="66">
        <v>24</v>
      </c>
      <c r="BU122" s="66">
        <v>49</v>
      </c>
      <c r="BV122" s="66">
        <v>17</v>
      </c>
      <c r="BW122" s="66">
        <v>14</v>
      </c>
      <c r="BX122" s="66">
        <v>13</v>
      </c>
      <c r="BY122" s="66">
        <v>29</v>
      </c>
      <c r="BZ122" s="66">
        <v>43</v>
      </c>
      <c r="CA122" s="66">
        <v>50</v>
      </c>
      <c r="CB122" s="66">
        <v>8</v>
      </c>
      <c r="CC122" s="66">
        <v>40</v>
      </c>
      <c r="CD122" s="66">
        <v>11</v>
      </c>
      <c r="CE122" s="66">
        <v>5</v>
      </c>
      <c r="CF122" s="66">
        <v>21</v>
      </c>
      <c r="CG122" s="66">
        <v>30</v>
      </c>
      <c r="CH122" s="66">
        <v>8</v>
      </c>
      <c r="CI122" s="66">
        <v>101</v>
      </c>
      <c r="CJ122" s="66">
        <v>46</v>
      </c>
      <c r="CK122" s="66">
        <v>46</v>
      </c>
      <c r="CL122" s="66">
        <v>53</v>
      </c>
      <c r="CM122" s="66">
        <v>252</v>
      </c>
      <c r="CN122" s="66">
        <v>20</v>
      </c>
      <c r="CO122" s="66">
        <v>44</v>
      </c>
      <c r="CP122" s="66">
        <v>36</v>
      </c>
      <c r="CQ122" s="66">
        <v>44</v>
      </c>
      <c r="CR122" s="66">
        <v>107</v>
      </c>
      <c r="CS122" s="66">
        <v>35</v>
      </c>
      <c r="CT122" s="66">
        <v>436</v>
      </c>
      <c r="CU122" s="66">
        <v>120</v>
      </c>
      <c r="CV122" s="66">
        <v>88</v>
      </c>
      <c r="CW122" s="66">
        <v>65</v>
      </c>
      <c r="CX122" s="66">
        <v>107</v>
      </c>
      <c r="CY122" s="66">
        <v>124</v>
      </c>
      <c r="CZ122" s="66">
        <v>131</v>
      </c>
      <c r="DA122" s="66">
        <v>103</v>
      </c>
    </row>
    <row r="123" spans="1:105" ht="15" x14ac:dyDescent="0.35">
      <c r="A123" s="5" t="s">
        <v>364</v>
      </c>
      <c r="B123" s="5" t="s">
        <v>538</v>
      </c>
      <c r="C123" s="66">
        <v>14</v>
      </c>
      <c r="D123" s="66">
        <v>15</v>
      </c>
      <c r="E123" s="66">
        <v>6</v>
      </c>
      <c r="F123" s="66">
        <v>0</v>
      </c>
      <c r="G123" s="66">
        <v>12</v>
      </c>
      <c r="H123" s="66">
        <v>163</v>
      </c>
      <c r="I123" s="66">
        <v>35</v>
      </c>
      <c r="J123" s="66">
        <v>61</v>
      </c>
      <c r="K123" s="66">
        <v>67</v>
      </c>
      <c r="L123" s="66">
        <v>7</v>
      </c>
      <c r="M123" s="66">
        <v>117</v>
      </c>
      <c r="N123" s="66">
        <v>57</v>
      </c>
      <c r="O123" s="66">
        <v>10</v>
      </c>
      <c r="P123" s="66">
        <v>25</v>
      </c>
      <c r="Q123" s="66">
        <v>90</v>
      </c>
      <c r="R123" s="66">
        <v>80</v>
      </c>
      <c r="S123" s="66">
        <v>87</v>
      </c>
      <c r="T123" s="66">
        <v>61</v>
      </c>
      <c r="U123" s="66">
        <v>67</v>
      </c>
      <c r="V123" s="66">
        <v>98</v>
      </c>
      <c r="W123" s="66">
        <v>74</v>
      </c>
      <c r="X123" s="66">
        <v>124</v>
      </c>
      <c r="Y123" s="66">
        <v>128</v>
      </c>
      <c r="Z123" s="66">
        <v>50</v>
      </c>
      <c r="AA123" s="66">
        <v>202</v>
      </c>
      <c r="AB123" s="66">
        <v>77</v>
      </c>
      <c r="AC123" s="66">
        <v>200</v>
      </c>
      <c r="AD123" s="66">
        <v>121</v>
      </c>
      <c r="AE123" s="66">
        <v>147</v>
      </c>
      <c r="AF123" s="66">
        <v>210</v>
      </c>
      <c r="AG123" s="66">
        <v>161</v>
      </c>
      <c r="AH123" s="66">
        <v>160</v>
      </c>
      <c r="AI123" s="66">
        <v>62</v>
      </c>
      <c r="AJ123" s="66">
        <v>110</v>
      </c>
      <c r="AK123" s="66">
        <v>269</v>
      </c>
      <c r="AL123" s="66">
        <v>110</v>
      </c>
      <c r="AM123" s="66">
        <v>171</v>
      </c>
      <c r="AN123" s="66">
        <v>122</v>
      </c>
      <c r="AO123" s="66">
        <v>187</v>
      </c>
      <c r="AP123" s="66">
        <v>19</v>
      </c>
      <c r="AQ123" s="66">
        <v>0</v>
      </c>
      <c r="AR123" s="66">
        <v>1</v>
      </c>
      <c r="AS123" s="66">
        <v>0</v>
      </c>
      <c r="AT123" s="66">
        <v>1</v>
      </c>
      <c r="AU123" s="66">
        <v>0</v>
      </c>
      <c r="AV123" s="66">
        <v>1</v>
      </c>
      <c r="AW123" s="66">
        <v>3</v>
      </c>
      <c r="AX123" s="66">
        <v>75</v>
      </c>
      <c r="AY123" s="66">
        <v>147</v>
      </c>
      <c r="AZ123" s="66">
        <v>73</v>
      </c>
      <c r="BA123" s="66">
        <v>109</v>
      </c>
      <c r="BB123" s="66">
        <v>114</v>
      </c>
      <c r="BC123" s="66">
        <v>22</v>
      </c>
      <c r="BD123" s="66">
        <v>8</v>
      </c>
      <c r="BE123" s="66">
        <v>7</v>
      </c>
      <c r="BF123" s="66">
        <v>0</v>
      </c>
      <c r="BG123" s="66">
        <v>69</v>
      </c>
      <c r="BH123" s="66">
        <v>41</v>
      </c>
      <c r="BI123" s="66">
        <v>95</v>
      </c>
      <c r="BJ123" s="66">
        <v>130</v>
      </c>
      <c r="BK123" s="66">
        <v>70</v>
      </c>
      <c r="BL123" s="66">
        <v>104</v>
      </c>
      <c r="BM123" s="66">
        <v>172</v>
      </c>
      <c r="BN123" s="66">
        <v>173</v>
      </c>
      <c r="BO123" s="66">
        <v>102</v>
      </c>
      <c r="BP123" s="66">
        <v>87</v>
      </c>
      <c r="BQ123" s="66">
        <v>150</v>
      </c>
      <c r="BR123" s="66">
        <v>112</v>
      </c>
      <c r="BS123" s="66">
        <v>223</v>
      </c>
      <c r="BT123" s="66">
        <v>291</v>
      </c>
      <c r="BU123" s="66">
        <v>432</v>
      </c>
      <c r="BV123" s="66">
        <v>250</v>
      </c>
      <c r="BW123" s="66">
        <v>301</v>
      </c>
      <c r="BX123" s="66">
        <v>477</v>
      </c>
      <c r="BY123" s="66">
        <v>46</v>
      </c>
      <c r="BZ123" s="66">
        <v>0</v>
      </c>
      <c r="CA123" s="66">
        <v>0</v>
      </c>
      <c r="CB123" s="66">
        <v>0</v>
      </c>
      <c r="CC123" s="66">
        <v>0</v>
      </c>
      <c r="CD123" s="66">
        <v>0</v>
      </c>
      <c r="CE123" s="66">
        <v>0</v>
      </c>
      <c r="CF123" s="66">
        <v>0</v>
      </c>
      <c r="CG123" s="66">
        <v>0</v>
      </c>
      <c r="CH123" s="66">
        <v>0</v>
      </c>
      <c r="CI123" s="66">
        <v>0</v>
      </c>
      <c r="CJ123" s="66">
        <v>0</v>
      </c>
      <c r="CK123" s="66">
        <v>0</v>
      </c>
      <c r="CL123" s="66">
        <v>0</v>
      </c>
      <c r="CM123" s="66">
        <v>0</v>
      </c>
      <c r="CN123" s="66">
        <v>0</v>
      </c>
      <c r="CO123" s="66">
        <v>0</v>
      </c>
      <c r="CP123" s="66">
        <v>0</v>
      </c>
      <c r="CQ123" s="66">
        <v>0</v>
      </c>
      <c r="CR123" s="66">
        <v>0</v>
      </c>
      <c r="CS123" s="66">
        <v>0</v>
      </c>
      <c r="CT123" s="66">
        <v>0</v>
      </c>
      <c r="CU123" s="66">
        <v>0</v>
      </c>
      <c r="CV123" s="66">
        <v>0</v>
      </c>
      <c r="CW123" s="66">
        <v>0</v>
      </c>
      <c r="CX123" s="66">
        <v>0</v>
      </c>
      <c r="CY123" s="66">
        <v>10</v>
      </c>
      <c r="CZ123" s="66">
        <v>253</v>
      </c>
      <c r="DA123" s="66">
        <v>317</v>
      </c>
    </row>
    <row r="124" spans="1:105" ht="15" x14ac:dyDescent="0.35">
      <c r="A124" s="5" t="s">
        <v>365</v>
      </c>
      <c r="B124" s="5" t="s">
        <v>539</v>
      </c>
      <c r="C124" s="66">
        <v>270</v>
      </c>
      <c r="D124" s="66">
        <v>344</v>
      </c>
      <c r="E124" s="66">
        <v>32</v>
      </c>
      <c r="F124" s="66">
        <v>0</v>
      </c>
      <c r="G124" s="66">
        <v>306</v>
      </c>
      <c r="H124" s="66">
        <v>41</v>
      </c>
      <c r="I124" s="66">
        <v>154</v>
      </c>
      <c r="J124" s="66">
        <v>88</v>
      </c>
      <c r="K124" s="66">
        <v>174</v>
      </c>
      <c r="L124" s="66">
        <v>78</v>
      </c>
      <c r="M124" s="66">
        <v>140</v>
      </c>
      <c r="N124" s="66">
        <v>181</v>
      </c>
      <c r="O124" s="66">
        <v>131</v>
      </c>
      <c r="P124" s="66">
        <v>123</v>
      </c>
      <c r="Q124" s="66">
        <v>51</v>
      </c>
      <c r="R124" s="66">
        <v>345</v>
      </c>
      <c r="S124" s="66">
        <v>108</v>
      </c>
      <c r="T124" s="66">
        <v>161</v>
      </c>
      <c r="U124" s="66">
        <v>136</v>
      </c>
      <c r="V124" s="66">
        <v>210</v>
      </c>
      <c r="W124" s="66">
        <v>150</v>
      </c>
      <c r="X124" s="66">
        <v>59</v>
      </c>
      <c r="Y124" s="66">
        <v>200</v>
      </c>
      <c r="Z124" s="66">
        <v>269</v>
      </c>
      <c r="AA124" s="66">
        <v>113</v>
      </c>
      <c r="AB124" s="66">
        <v>72</v>
      </c>
      <c r="AC124" s="66">
        <v>635</v>
      </c>
      <c r="AD124" s="66">
        <v>157</v>
      </c>
      <c r="AE124" s="66">
        <v>119</v>
      </c>
      <c r="AF124" s="66">
        <v>89</v>
      </c>
      <c r="AG124" s="66">
        <v>99</v>
      </c>
      <c r="AH124" s="66">
        <v>125</v>
      </c>
      <c r="AI124" s="66">
        <v>96</v>
      </c>
      <c r="AJ124" s="66">
        <v>126</v>
      </c>
      <c r="AK124" s="66">
        <v>181</v>
      </c>
      <c r="AL124" s="66">
        <v>201</v>
      </c>
      <c r="AM124" s="66">
        <v>343</v>
      </c>
      <c r="AN124" s="66">
        <v>185</v>
      </c>
      <c r="AO124" s="66">
        <v>132</v>
      </c>
      <c r="AP124" s="66">
        <v>166</v>
      </c>
      <c r="AQ124" s="66">
        <v>355</v>
      </c>
      <c r="AR124" s="66">
        <v>615</v>
      </c>
      <c r="AS124" s="66">
        <v>479</v>
      </c>
      <c r="AT124" s="66">
        <v>445</v>
      </c>
      <c r="AU124" s="66">
        <v>668</v>
      </c>
      <c r="AV124" s="66">
        <v>556</v>
      </c>
      <c r="AW124" s="66">
        <v>243</v>
      </c>
      <c r="AX124" s="66">
        <v>346</v>
      </c>
      <c r="AY124" s="66">
        <v>789</v>
      </c>
      <c r="AZ124" s="66">
        <v>518</v>
      </c>
      <c r="BA124" s="66">
        <v>605</v>
      </c>
      <c r="BB124" s="66">
        <v>441</v>
      </c>
      <c r="BC124" s="66">
        <v>486</v>
      </c>
      <c r="BD124" s="66">
        <v>114</v>
      </c>
      <c r="BE124" s="66">
        <v>32</v>
      </c>
      <c r="BF124" s="66">
        <v>0</v>
      </c>
      <c r="BG124" s="66">
        <v>236</v>
      </c>
      <c r="BH124" s="66">
        <v>24</v>
      </c>
      <c r="BI124" s="66">
        <v>41</v>
      </c>
      <c r="BJ124" s="66">
        <v>110</v>
      </c>
      <c r="BK124" s="66">
        <v>49</v>
      </c>
      <c r="BL124" s="66">
        <v>44</v>
      </c>
      <c r="BM124" s="66">
        <v>73</v>
      </c>
      <c r="BN124" s="66">
        <v>216</v>
      </c>
      <c r="BO124" s="66">
        <v>95</v>
      </c>
      <c r="BP124" s="66">
        <v>143</v>
      </c>
      <c r="BQ124" s="66">
        <v>197</v>
      </c>
      <c r="BR124" s="66">
        <v>108</v>
      </c>
      <c r="BS124" s="66">
        <v>318</v>
      </c>
      <c r="BT124" s="66">
        <v>180</v>
      </c>
      <c r="BU124" s="66">
        <v>341</v>
      </c>
      <c r="BV124" s="66">
        <v>361</v>
      </c>
      <c r="BW124" s="66">
        <v>68</v>
      </c>
      <c r="BX124" s="66">
        <v>161</v>
      </c>
      <c r="BY124" s="66">
        <v>269</v>
      </c>
      <c r="BZ124" s="66">
        <v>133</v>
      </c>
      <c r="CA124" s="66">
        <v>87</v>
      </c>
      <c r="CB124" s="66">
        <v>179</v>
      </c>
      <c r="CC124" s="66">
        <v>114</v>
      </c>
      <c r="CD124" s="66">
        <v>190</v>
      </c>
      <c r="CE124" s="66">
        <v>374</v>
      </c>
      <c r="CF124" s="66">
        <v>149</v>
      </c>
      <c r="CG124" s="66">
        <v>141</v>
      </c>
      <c r="CH124" s="66">
        <v>352</v>
      </c>
      <c r="CI124" s="66">
        <v>190</v>
      </c>
      <c r="CJ124" s="66">
        <v>431</v>
      </c>
      <c r="CK124" s="66">
        <v>103</v>
      </c>
      <c r="CL124" s="66">
        <v>342</v>
      </c>
      <c r="CM124" s="66">
        <v>177</v>
      </c>
      <c r="CN124" s="66">
        <v>139</v>
      </c>
      <c r="CO124" s="66">
        <v>311</v>
      </c>
      <c r="CP124" s="66">
        <v>896</v>
      </c>
      <c r="CQ124" s="66">
        <v>222</v>
      </c>
      <c r="CR124" s="66">
        <v>597</v>
      </c>
      <c r="CS124" s="66">
        <v>343</v>
      </c>
      <c r="CT124" s="66">
        <v>571</v>
      </c>
      <c r="CU124" s="66">
        <v>301</v>
      </c>
      <c r="CV124" s="66">
        <v>300</v>
      </c>
      <c r="CW124" s="66">
        <v>381</v>
      </c>
      <c r="CX124" s="66">
        <v>544</v>
      </c>
      <c r="CY124" s="66">
        <v>791</v>
      </c>
      <c r="CZ124" s="66">
        <v>758</v>
      </c>
      <c r="DA124" s="66">
        <v>432</v>
      </c>
    </row>
    <row r="125" spans="1:105" ht="15" x14ac:dyDescent="0.35">
      <c r="A125" s="5" t="s">
        <v>366</v>
      </c>
      <c r="B125" s="5" t="s">
        <v>540</v>
      </c>
      <c r="C125" s="66">
        <v>154</v>
      </c>
      <c r="D125" s="66">
        <v>134</v>
      </c>
      <c r="E125" s="66">
        <v>7</v>
      </c>
      <c r="F125" s="66">
        <v>0</v>
      </c>
      <c r="G125" s="66">
        <v>58</v>
      </c>
      <c r="H125" s="66">
        <v>41</v>
      </c>
      <c r="I125" s="66">
        <v>48</v>
      </c>
      <c r="J125" s="66">
        <v>79</v>
      </c>
      <c r="K125" s="66">
        <v>96</v>
      </c>
      <c r="L125" s="66">
        <v>55</v>
      </c>
      <c r="M125" s="66">
        <v>134</v>
      </c>
      <c r="N125" s="66">
        <v>102</v>
      </c>
      <c r="O125" s="66">
        <v>116</v>
      </c>
      <c r="P125" s="66">
        <v>255</v>
      </c>
      <c r="Q125" s="66">
        <v>92</v>
      </c>
      <c r="R125" s="66">
        <v>114</v>
      </c>
      <c r="S125" s="66">
        <v>38</v>
      </c>
      <c r="T125" s="66">
        <v>103</v>
      </c>
      <c r="U125" s="66">
        <v>89</v>
      </c>
      <c r="V125" s="66">
        <v>136</v>
      </c>
      <c r="W125" s="66">
        <v>105</v>
      </c>
      <c r="X125" s="66">
        <v>58</v>
      </c>
      <c r="Y125" s="66">
        <v>97</v>
      </c>
      <c r="Z125" s="66">
        <v>58</v>
      </c>
      <c r="AA125" s="66">
        <v>83</v>
      </c>
      <c r="AB125" s="66">
        <v>62</v>
      </c>
      <c r="AC125" s="66">
        <v>78</v>
      </c>
      <c r="AD125" s="66">
        <v>89</v>
      </c>
      <c r="AE125" s="66">
        <v>33</v>
      </c>
      <c r="AF125" s="66">
        <v>27</v>
      </c>
      <c r="AG125" s="66">
        <v>58</v>
      </c>
      <c r="AH125" s="66">
        <v>48</v>
      </c>
      <c r="AI125" s="66">
        <v>148</v>
      </c>
      <c r="AJ125" s="66">
        <v>86</v>
      </c>
      <c r="AK125" s="66">
        <v>168</v>
      </c>
      <c r="AL125" s="66">
        <v>66</v>
      </c>
      <c r="AM125" s="66">
        <v>157</v>
      </c>
      <c r="AN125" s="66">
        <v>89</v>
      </c>
      <c r="AO125" s="66">
        <v>77</v>
      </c>
      <c r="AP125" s="66">
        <v>63</v>
      </c>
      <c r="AQ125" s="66">
        <v>102</v>
      </c>
      <c r="AR125" s="66">
        <v>336</v>
      </c>
      <c r="AS125" s="66">
        <v>121</v>
      </c>
      <c r="AT125" s="66">
        <v>255</v>
      </c>
      <c r="AU125" s="66">
        <v>126</v>
      </c>
      <c r="AV125" s="66">
        <v>166</v>
      </c>
      <c r="AW125" s="66">
        <v>120</v>
      </c>
      <c r="AX125" s="66">
        <v>336</v>
      </c>
      <c r="AY125" s="66">
        <v>294</v>
      </c>
      <c r="AZ125" s="66">
        <v>362</v>
      </c>
      <c r="BA125" s="66">
        <v>266</v>
      </c>
      <c r="BB125" s="66">
        <v>264</v>
      </c>
      <c r="BC125" s="66">
        <v>180</v>
      </c>
      <c r="BD125" s="66">
        <v>73</v>
      </c>
      <c r="BE125" s="66">
        <v>11</v>
      </c>
      <c r="BF125" s="66">
        <v>0</v>
      </c>
      <c r="BG125" s="66">
        <v>23</v>
      </c>
      <c r="BH125" s="66">
        <v>49</v>
      </c>
      <c r="BI125" s="66">
        <v>31</v>
      </c>
      <c r="BJ125" s="66">
        <v>41</v>
      </c>
      <c r="BK125" s="66">
        <v>74</v>
      </c>
      <c r="BL125" s="66">
        <v>39</v>
      </c>
      <c r="BM125" s="66">
        <v>331</v>
      </c>
      <c r="BN125" s="66">
        <v>91</v>
      </c>
      <c r="BO125" s="66">
        <v>52</v>
      </c>
      <c r="BP125" s="66">
        <v>73</v>
      </c>
      <c r="BQ125" s="66">
        <v>108</v>
      </c>
      <c r="BR125" s="66">
        <v>94</v>
      </c>
      <c r="BS125" s="66">
        <v>84</v>
      </c>
      <c r="BT125" s="66">
        <v>43</v>
      </c>
      <c r="BU125" s="66">
        <v>342</v>
      </c>
      <c r="BV125" s="66">
        <v>49</v>
      </c>
      <c r="BW125" s="66">
        <v>21</v>
      </c>
      <c r="BX125" s="66">
        <v>50</v>
      </c>
      <c r="BY125" s="66">
        <v>75</v>
      </c>
      <c r="BZ125" s="66">
        <v>164</v>
      </c>
      <c r="CA125" s="66">
        <v>71</v>
      </c>
      <c r="CB125" s="66">
        <v>68</v>
      </c>
      <c r="CC125" s="66">
        <v>60</v>
      </c>
      <c r="CD125" s="66">
        <v>44</v>
      </c>
      <c r="CE125" s="66">
        <v>31</v>
      </c>
      <c r="CF125" s="66">
        <v>143</v>
      </c>
      <c r="CG125" s="66">
        <v>100</v>
      </c>
      <c r="CH125" s="66">
        <v>63</v>
      </c>
      <c r="CI125" s="66">
        <v>45</v>
      </c>
      <c r="CJ125" s="66">
        <v>139</v>
      </c>
      <c r="CK125" s="66">
        <v>81</v>
      </c>
      <c r="CL125" s="66">
        <v>130</v>
      </c>
      <c r="CM125" s="66">
        <v>438</v>
      </c>
      <c r="CN125" s="66">
        <v>103</v>
      </c>
      <c r="CO125" s="66">
        <v>9</v>
      </c>
      <c r="CP125" s="66">
        <v>39</v>
      </c>
      <c r="CQ125" s="66">
        <v>106</v>
      </c>
      <c r="CR125" s="66">
        <v>308</v>
      </c>
      <c r="CS125" s="66">
        <v>113</v>
      </c>
      <c r="CT125" s="66">
        <v>1081</v>
      </c>
      <c r="CU125" s="66">
        <v>63</v>
      </c>
      <c r="CV125" s="66">
        <v>6</v>
      </c>
      <c r="CW125" s="66">
        <v>0</v>
      </c>
      <c r="CX125" s="66">
        <v>0</v>
      </c>
      <c r="CY125" s="66">
        <v>40</v>
      </c>
      <c r="CZ125" s="66">
        <v>0</v>
      </c>
      <c r="DA125" s="66">
        <v>0</v>
      </c>
    </row>
    <row r="126" spans="1:105" ht="15" x14ac:dyDescent="0.35">
      <c r="A126" s="5" t="s">
        <v>367</v>
      </c>
      <c r="B126" s="5" t="s">
        <v>541</v>
      </c>
      <c r="C126" s="66">
        <v>0</v>
      </c>
      <c r="D126" s="66">
        <v>0</v>
      </c>
      <c r="E126" s="66">
        <v>0</v>
      </c>
      <c r="F126" s="66">
        <v>0</v>
      </c>
      <c r="G126" s="66">
        <v>0</v>
      </c>
      <c r="H126" s="66">
        <v>0</v>
      </c>
      <c r="I126" s="66">
        <v>0</v>
      </c>
      <c r="J126" s="66">
        <v>0</v>
      </c>
      <c r="K126" s="66">
        <v>0</v>
      </c>
      <c r="L126" s="66">
        <v>0</v>
      </c>
      <c r="M126" s="66">
        <v>0</v>
      </c>
      <c r="N126" s="66">
        <v>0</v>
      </c>
      <c r="O126" s="66">
        <v>0</v>
      </c>
      <c r="P126" s="66">
        <v>0</v>
      </c>
      <c r="Q126" s="66">
        <v>0</v>
      </c>
      <c r="R126" s="66">
        <v>0</v>
      </c>
      <c r="S126" s="66">
        <v>0</v>
      </c>
      <c r="T126" s="66">
        <v>0</v>
      </c>
      <c r="U126" s="66">
        <v>0</v>
      </c>
      <c r="V126" s="66">
        <v>0</v>
      </c>
      <c r="W126" s="66">
        <v>0</v>
      </c>
      <c r="X126" s="66">
        <v>0</v>
      </c>
      <c r="Y126" s="66">
        <v>3</v>
      </c>
      <c r="Z126" s="66">
        <v>90</v>
      </c>
      <c r="AA126" s="66">
        <v>31</v>
      </c>
      <c r="AB126" s="66">
        <v>25</v>
      </c>
      <c r="AC126" s="66">
        <v>16</v>
      </c>
      <c r="AD126" s="66">
        <v>20</v>
      </c>
      <c r="AE126" s="66">
        <v>26</v>
      </c>
      <c r="AF126" s="66">
        <v>16</v>
      </c>
      <c r="AG126" s="66">
        <v>130</v>
      </c>
      <c r="AH126" s="66">
        <v>12</v>
      </c>
      <c r="AI126" s="66">
        <v>14</v>
      </c>
      <c r="AJ126" s="66">
        <v>20</v>
      </c>
      <c r="AK126" s="66">
        <v>9</v>
      </c>
      <c r="AL126" s="66">
        <v>17</v>
      </c>
      <c r="AM126" s="66">
        <v>10</v>
      </c>
      <c r="AN126" s="66">
        <v>27</v>
      </c>
      <c r="AO126" s="66">
        <v>6</v>
      </c>
      <c r="AP126" s="66">
        <v>23</v>
      </c>
      <c r="AQ126" s="66">
        <v>16</v>
      </c>
      <c r="AR126" s="66">
        <v>20</v>
      </c>
      <c r="AS126" s="66">
        <v>0</v>
      </c>
      <c r="AT126" s="66">
        <v>16</v>
      </c>
      <c r="AU126" s="66">
        <v>23</v>
      </c>
      <c r="AV126" s="66">
        <v>16</v>
      </c>
      <c r="AW126" s="66">
        <v>3</v>
      </c>
      <c r="AX126" s="66">
        <v>16</v>
      </c>
      <c r="AY126" s="66">
        <v>11</v>
      </c>
      <c r="AZ126" s="66">
        <v>6</v>
      </c>
      <c r="BA126" s="66">
        <v>7</v>
      </c>
      <c r="BB126" s="66">
        <v>30</v>
      </c>
      <c r="BC126" s="66">
        <v>11</v>
      </c>
      <c r="BD126" s="66">
        <v>11</v>
      </c>
      <c r="BE126" s="66">
        <v>5</v>
      </c>
      <c r="BF126" s="66">
        <v>0</v>
      </c>
      <c r="BG126" s="66">
        <v>10</v>
      </c>
      <c r="BH126" s="66">
        <v>7</v>
      </c>
      <c r="BI126" s="66">
        <v>10</v>
      </c>
      <c r="BJ126" s="66">
        <v>23</v>
      </c>
      <c r="BK126" s="66">
        <v>11</v>
      </c>
      <c r="BL126" s="66">
        <v>17</v>
      </c>
      <c r="BM126" s="66">
        <v>14</v>
      </c>
      <c r="BN126" s="66">
        <v>24</v>
      </c>
      <c r="BO126" s="66">
        <v>9</v>
      </c>
      <c r="BP126" s="66">
        <v>15</v>
      </c>
      <c r="BQ126" s="66">
        <v>9</v>
      </c>
      <c r="BR126" s="66">
        <v>23</v>
      </c>
      <c r="BS126" s="66">
        <v>13</v>
      </c>
      <c r="BT126" s="66">
        <v>18</v>
      </c>
      <c r="BU126" s="66">
        <v>25</v>
      </c>
      <c r="BV126" s="66">
        <v>11</v>
      </c>
      <c r="BW126" s="66">
        <v>10</v>
      </c>
      <c r="BX126" s="66">
        <v>13</v>
      </c>
      <c r="BY126" s="66">
        <v>32</v>
      </c>
      <c r="BZ126" s="66">
        <v>36</v>
      </c>
      <c r="CA126" s="66">
        <v>23</v>
      </c>
      <c r="CB126" s="66">
        <v>16</v>
      </c>
      <c r="CC126" s="66">
        <v>29</v>
      </c>
      <c r="CD126" s="66">
        <v>9</v>
      </c>
      <c r="CE126" s="66">
        <v>4</v>
      </c>
      <c r="CF126" s="66">
        <v>8</v>
      </c>
      <c r="CG126" s="66">
        <v>18</v>
      </c>
      <c r="CH126" s="66">
        <v>4</v>
      </c>
      <c r="CI126" s="66">
        <v>24</v>
      </c>
      <c r="CJ126" s="66">
        <v>21</v>
      </c>
      <c r="CK126" s="66">
        <v>16</v>
      </c>
      <c r="CL126" s="66">
        <v>6</v>
      </c>
      <c r="CM126" s="66">
        <v>14</v>
      </c>
      <c r="CN126" s="66">
        <v>10</v>
      </c>
      <c r="CO126" s="66">
        <v>11</v>
      </c>
      <c r="CP126" s="66">
        <v>20</v>
      </c>
      <c r="CQ126" s="66">
        <v>12</v>
      </c>
      <c r="CR126" s="66">
        <v>51</v>
      </c>
      <c r="CS126" s="66">
        <v>6</v>
      </c>
      <c r="CT126" s="66">
        <v>13</v>
      </c>
      <c r="CU126" s="66">
        <v>21</v>
      </c>
      <c r="CV126" s="66">
        <v>30</v>
      </c>
      <c r="CW126" s="66">
        <v>9</v>
      </c>
      <c r="CX126" s="66">
        <v>12</v>
      </c>
      <c r="CY126" s="66">
        <v>19</v>
      </c>
      <c r="CZ126" s="66">
        <v>21</v>
      </c>
      <c r="DA126" s="66">
        <v>11</v>
      </c>
    </row>
    <row r="127" spans="1:105" ht="15" x14ac:dyDescent="0.35">
      <c r="A127" s="5" t="s">
        <v>368</v>
      </c>
      <c r="B127" s="5" t="s">
        <v>542</v>
      </c>
      <c r="C127" s="66">
        <v>0</v>
      </c>
      <c r="D127" s="66">
        <v>31</v>
      </c>
      <c r="E127" s="66">
        <v>1</v>
      </c>
      <c r="F127" s="66">
        <v>0</v>
      </c>
      <c r="G127" s="66">
        <v>0</v>
      </c>
      <c r="H127" s="66">
        <v>0</v>
      </c>
      <c r="I127" s="66">
        <v>0</v>
      </c>
      <c r="J127" s="66">
        <v>0</v>
      </c>
      <c r="K127" s="66">
        <v>31</v>
      </c>
      <c r="L127" s="66">
        <v>30</v>
      </c>
      <c r="M127" s="66">
        <v>17</v>
      </c>
      <c r="N127" s="66">
        <v>31</v>
      </c>
      <c r="O127" s="66">
        <v>271</v>
      </c>
      <c r="P127" s="66">
        <v>10</v>
      </c>
      <c r="Q127" s="66">
        <v>77</v>
      </c>
      <c r="R127" s="66">
        <v>20</v>
      </c>
      <c r="S127" s="66">
        <v>245</v>
      </c>
      <c r="T127" s="66">
        <v>18</v>
      </c>
      <c r="U127" s="66">
        <v>46</v>
      </c>
      <c r="V127" s="66">
        <v>50</v>
      </c>
      <c r="W127" s="66">
        <v>619</v>
      </c>
      <c r="X127" s="66">
        <v>23</v>
      </c>
      <c r="Y127" s="66">
        <v>44</v>
      </c>
      <c r="Z127" s="66">
        <v>19</v>
      </c>
      <c r="AA127" s="66">
        <v>37</v>
      </c>
      <c r="AB127" s="66">
        <v>14</v>
      </c>
      <c r="AC127" s="66">
        <v>40</v>
      </c>
      <c r="AD127" s="66">
        <v>6</v>
      </c>
      <c r="AE127" s="66">
        <v>376</v>
      </c>
      <c r="AF127" s="66">
        <v>53</v>
      </c>
      <c r="AG127" s="66">
        <v>11</v>
      </c>
      <c r="AH127" s="66">
        <v>687</v>
      </c>
      <c r="AI127" s="66">
        <v>38</v>
      </c>
      <c r="AJ127" s="66">
        <v>17</v>
      </c>
      <c r="AK127" s="66">
        <v>53</v>
      </c>
      <c r="AL127" s="66">
        <v>242</v>
      </c>
      <c r="AM127" s="66">
        <v>35</v>
      </c>
      <c r="AN127" s="66">
        <v>51</v>
      </c>
      <c r="AO127" s="66">
        <v>439</v>
      </c>
      <c r="AP127" s="66">
        <v>59</v>
      </c>
      <c r="AQ127" s="66">
        <v>39</v>
      </c>
      <c r="AR127" s="66">
        <v>27</v>
      </c>
      <c r="AS127" s="66">
        <v>68</v>
      </c>
      <c r="AT127" s="66">
        <v>29</v>
      </c>
      <c r="AU127" s="66">
        <v>749</v>
      </c>
      <c r="AV127" s="66">
        <v>23</v>
      </c>
      <c r="AW127" s="66">
        <v>11</v>
      </c>
      <c r="AX127" s="66">
        <v>18</v>
      </c>
      <c r="AY127" s="66">
        <v>678</v>
      </c>
      <c r="AZ127" s="66">
        <v>28</v>
      </c>
      <c r="BA127" s="66">
        <v>64</v>
      </c>
      <c r="BB127" s="66">
        <v>75</v>
      </c>
      <c r="BC127" s="66">
        <v>2059</v>
      </c>
      <c r="BD127" s="66">
        <v>18</v>
      </c>
      <c r="BE127" s="66">
        <v>10</v>
      </c>
      <c r="BF127" s="66">
        <v>0</v>
      </c>
      <c r="BG127" s="66">
        <v>5</v>
      </c>
      <c r="BH127" s="66">
        <v>18</v>
      </c>
      <c r="BI127" s="66">
        <v>13</v>
      </c>
      <c r="BJ127" s="66">
        <v>11</v>
      </c>
      <c r="BK127" s="66">
        <v>45</v>
      </c>
      <c r="BL127" s="66">
        <v>25</v>
      </c>
      <c r="BM127" s="66">
        <v>22</v>
      </c>
      <c r="BN127" s="66">
        <v>115</v>
      </c>
      <c r="BO127" s="66">
        <v>2</v>
      </c>
      <c r="BP127" s="66">
        <v>41</v>
      </c>
      <c r="BQ127" s="66">
        <v>19</v>
      </c>
      <c r="BR127" s="66">
        <v>11</v>
      </c>
      <c r="BS127" s="66">
        <v>9</v>
      </c>
      <c r="BT127" s="66">
        <v>8</v>
      </c>
      <c r="BU127" s="66">
        <v>42</v>
      </c>
      <c r="BV127" s="66">
        <v>3</v>
      </c>
      <c r="BW127" s="66">
        <v>2</v>
      </c>
      <c r="BX127" s="66">
        <v>1</v>
      </c>
      <c r="BY127" s="66">
        <v>1</v>
      </c>
      <c r="BZ127" s="66">
        <v>224</v>
      </c>
      <c r="CA127" s="66">
        <v>6</v>
      </c>
      <c r="CB127" s="66">
        <v>3</v>
      </c>
      <c r="CC127" s="66">
        <v>12</v>
      </c>
      <c r="CD127" s="66">
        <v>438</v>
      </c>
      <c r="CE127" s="66">
        <v>10</v>
      </c>
      <c r="CF127" s="66">
        <v>4</v>
      </c>
      <c r="CG127" s="66">
        <v>1</v>
      </c>
      <c r="CH127" s="66">
        <v>1</v>
      </c>
      <c r="CI127" s="66">
        <v>108</v>
      </c>
      <c r="CJ127" s="66">
        <v>328</v>
      </c>
      <c r="CK127" s="66">
        <v>50</v>
      </c>
      <c r="CL127" s="66">
        <v>4</v>
      </c>
      <c r="CM127" s="66">
        <v>12</v>
      </c>
      <c r="CN127" s="66">
        <v>12</v>
      </c>
      <c r="CO127" s="66">
        <v>336</v>
      </c>
      <c r="CP127" s="66">
        <v>0</v>
      </c>
      <c r="CQ127" s="66">
        <v>20</v>
      </c>
      <c r="CR127" s="66">
        <v>7</v>
      </c>
      <c r="CS127" s="66">
        <v>5</v>
      </c>
      <c r="CT127" s="66">
        <v>20</v>
      </c>
      <c r="CU127" s="66">
        <v>2</v>
      </c>
      <c r="CV127" s="66">
        <v>121</v>
      </c>
      <c r="CW127" s="66">
        <v>7</v>
      </c>
      <c r="CX127" s="66">
        <v>197</v>
      </c>
      <c r="CY127" s="66">
        <v>31</v>
      </c>
      <c r="CZ127" s="66">
        <v>6</v>
      </c>
      <c r="DA127" s="66">
        <v>1</v>
      </c>
    </row>
    <row r="128" spans="1:105" ht="15" x14ac:dyDescent="0.35">
      <c r="A128" s="5" t="s">
        <v>369</v>
      </c>
      <c r="B128" s="5" t="s">
        <v>543</v>
      </c>
      <c r="C128" s="66">
        <v>250</v>
      </c>
      <c r="D128" s="66">
        <v>89</v>
      </c>
      <c r="E128" s="66">
        <v>25</v>
      </c>
      <c r="F128" s="66">
        <v>0</v>
      </c>
      <c r="G128" s="66">
        <v>41</v>
      </c>
      <c r="H128" s="66">
        <v>157</v>
      </c>
      <c r="I128" s="66">
        <v>42</v>
      </c>
      <c r="J128" s="66">
        <v>201</v>
      </c>
      <c r="K128" s="66">
        <v>46</v>
      </c>
      <c r="L128" s="66">
        <v>51</v>
      </c>
      <c r="M128" s="66">
        <v>136</v>
      </c>
      <c r="N128" s="66">
        <v>111</v>
      </c>
      <c r="O128" s="66">
        <v>77</v>
      </c>
      <c r="P128" s="66">
        <v>89</v>
      </c>
      <c r="Q128" s="66">
        <v>218</v>
      </c>
      <c r="R128" s="66">
        <v>168</v>
      </c>
      <c r="S128" s="66">
        <v>220</v>
      </c>
      <c r="T128" s="66">
        <v>194</v>
      </c>
      <c r="U128" s="66">
        <v>102</v>
      </c>
      <c r="V128" s="66">
        <v>103</v>
      </c>
      <c r="W128" s="66">
        <v>260</v>
      </c>
      <c r="X128" s="66">
        <v>516</v>
      </c>
      <c r="Y128" s="66">
        <v>95</v>
      </c>
      <c r="Z128" s="66">
        <v>340</v>
      </c>
      <c r="AA128" s="66">
        <v>187</v>
      </c>
      <c r="AB128" s="66">
        <v>81</v>
      </c>
      <c r="AC128" s="66">
        <v>174</v>
      </c>
      <c r="AD128" s="66">
        <v>149</v>
      </c>
      <c r="AE128" s="66">
        <v>68</v>
      </c>
      <c r="AF128" s="66">
        <v>213</v>
      </c>
      <c r="AG128" s="66">
        <v>104</v>
      </c>
      <c r="AH128" s="66">
        <v>262</v>
      </c>
      <c r="AI128" s="66">
        <v>201</v>
      </c>
      <c r="AJ128" s="66">
        <v>282</v>
      </c>
      <c r="AK128" s="66">
        <v>235</v>
      </c>
      <c r="AL128" s="66">
        <v>279</v>
      </c>
      <c r="AM128" s="66">
        <v>64</v>
      </c>
      <c r="AN128" s="66">
        <v>55</v>
      </c>
      <c r="AO128" s="66">
        <v>142</v>
      </c>
      <c r="AP128" s="66">
        <v>73</v>
      </c>
      <c r="AQ128" s="66">
        <v>88</v>
      </c>
      <c r="AR128" s="66">
        <v>199</v>
      </c>
      <c r="AS128" s="66">
        <v>152</v>
      </c>
      <c r="AT128" s="66">
        <v>94</v>
      </c>
      <c r="AU128" s="66">
        <v>402</v>
      </c>
      <c r="AV128" s="66">
        <v>62</v>
      </c>
      <c r="AW128" s="66">
        <v>119</v>
      </c>
      <c r="AX128" s="66">
        <v>146</v>
      </c>
      <c r="AY128" s="66">
        <v>277</v>
      </c>
      <c r="AZ128" s="66">
        <v>242</v>
      </c>
      <c r="BA128" s="66">
        <v>242</v>
      </c>
      <c r="BB128" s="66">
        <v>186</v>
      </c>
      <c r="BC128" s="66">
        <v>172</v>
      </c>
      <c r="BD128" s="66">
        <v>129</v>
      </c>
      <c r="BE128" s="66">
        <v>105</v>
      </c>
      <c r="BF128" s="66">
        <v>0</v>
      </c>
      <c r="BG128" s="66">
        <v>155</v>
      </c>
      <c r="BH128" s="66">
        <v>108</v>
      </c>
      <c r="BI128" s="66">
        <v>45</v>
      </c>
      <c r="BJ128" s="66">
        <v>127</v>
      </c>
      <c r="BK128" s="66">
        <v>24</v>
      </c>
      <c r="BL128" s="66">
        <v>117</v>
      </c>
      <c r="BM128" s="66">
        <v>71</v>
      </c>
      <c r="BN128" s="66">
        <v>272</v>
      </c>
      <c r="BO128" s="66">
        <v>123</v>
      </c>
      <c r="BP128" s="66">
        <v>265</v>
      </c>
      <c r="BQ128" s="66">
        <v>139</v>
      </c>
      <c r="BR128" s="66">
        <v>138</v>
      </c>
      <c r="BS128" s="66">
        <v>353</v>
      </c>
      <c r="BT128" s="66">
        <v>173</v>
      </c>
      <c r="BU128" s="66">
        <v>229</v>
      </c>
      <c r="BV128" s="66">
        <v>128</v>
      </c>
      <c r="BW128" s="66">
        <v>125</v>
      </c>
      <c r="BX128" s="66">
        <v>121</v>
      </c>
      <c r="BY128" s="66">
        <v>379</v>
      </c>
      <c r="BZ128" s="66">
        <v>120</v>
      </c>
      <c r="CA128" s="66">
        <v>147</v>
      </c>
      <c r="CB128" s="66">
        <v>78</v>
      </c>
      <c r="CC128" s="66">
        <v>277</v>
      </c>
      <c r="CD128" s="66">
        <v>107</v>
      </c>
      <c r="CE128" s="66">
        <v>246</v>
      </c>
      <c r="CF128" s="66">
        <v>344</v>
      </c>
      <c r="CG128" s="66">
        <v>194</v>
      </c>
      <c r="CH128" s="66">
        <v>102</v>
      </c>
      <c r="CI128" s="66">
        <v>272</v>
      </c>
      <c r="CJ128" s="66">
        <v>118</v>
      </c>
      <c r="CK128" s="66">
        <v>307</v>
      </c>
      <c r="CL128" s="66">
        <v>472</v>
      </c>
      <c r="CM128" s="66">
        <v>142</v>
      </c>
      <c r="CN128" s="66">
        <v>192</v>
      </c>
      <c r="CO128" s="66">
        <v>172</v>
      </c>
      <c r="CP128" s="66">
        <v>334</v>
      </c>
      <c r="CQ128" s="66">
        <v>335</v>
      </c>
      <c r="CR128" s="66">
        <v>216</v>
      </c>
      <c r="CS128" s="66">
        <v>87</v>
      </c>
      <c r="CT128" s="66">
        <v>141</v>
      </c>
      <c r="CU128" s="66">
        <v>167</v>
      </c>
      <c r="CV128" s="66">
        <v>137</v>
      </c>
      <c r="CW128" s="66">
        <v>155</v>
      </c>
      <c r="CX128" s="66">
        <v>179</v>
      </c>
      <c r="CY128" s="66">
        <v>143</v>
      </c>
      <c r="CZ128" s="66">
        <v>169</v>
      </c>
      <c r="DA128" s="66">
        <v>343</v>
      </c>
    </row>
    <row r="129" spans="1:105" ht="15" x14ac:dyDescent="0.35">
      <c r="A129" s="5" t="s">
        <v>370</v>
      </c>
      <c r="B129" s="5" t="s">
        <v>544</v>
      </c>
      <c r="C129" s="66">
        <v>58</v>
      </c>
      <c r="D129" s="66">
        <v>75</v>
      </c>
      <c r="E129" s="66">
        <v>27</v>
      </c>
      <c r="F129" s="66">
        <v>0</v>
      </c>
      <c r="G129" s="66">
        <v>38</v>
      </c>
      <c r="H129" s="66">
        <v>28</v>
      </c>
      <c r="I129" s="66">
        <v>45</v>
      </c>
      <c r="J129" s="66">
        <v>21</v>
      </c>
      <c r="K129" s="66">
        <v>21</v>
      </c>
      <c r="L129" s="66">
        <v>19</v>
      </c>
      <c r="M129" s="66">
        <v>43</v>
      </c>
      <c r="N129" s="66">
        <v>57</v>
      </c>
      <c r="O129" s="66">
        <v>14</v>
      </c>
      <c r="P129" s="66">
        <v>30</v>
      </c>
      <c r="Q129" s="66">
        <v>63</v>
      </c>
      <c r="R129" s="66">
        <v>49</v>
      </c>
      <c r="S129" s="66">
        <v>32</v>
      </c>
      <c r="T129" s="66">
        <v>9</v>
      </c>
      <c r="U129" s="66">
        <v>28</v>
      </c>
      <c r="V129" s="66">
        <v>34</v>
      </c>
      <c r="W129" s="66">
        <v>34</v>
      </c>
      <c r="X129" s="66">
        <v>24</v>
      </c>
      <c r="Y129" s="66">
        <v>26</v>
      </c>
      <c r="Z129" s="66">
        <v>17</v>
      </c>
      <c r="AA129" s="66">
        <v>35</v>
      </c>
      <c r="AB129" s="66">
        <v>21</v>
      </c>
      <c r="AC129" s="66">
        <v>50</v>
      </c>
      <c r="AD129" s="66">
        <v>24</v>
      </c>
      <c r="AE129" s="66">
        <v>18</v>
      </c>
      <c r="AF129" s="66">
        <v>52</v>
      </c>
      <c r="AG129" s="66">
        <v>14</v>
      </c>
      <c r="AH129" s="66">
        <v>21</v>
      </c>
      <c r="AI129" s="66">
        <v>38</v>
      </c>
      <c r="AJ129" s="66">
        <v>47</v>
      </c>
      <c r="AK129" s="66">
        <v>14</v>
      </c>
      <c r="AL129" s="66">
        <v>4</v>
      </c>
      <c r="AM129" s="66">
        <v>20</v>
      </c>
      <c r="AN129" s="66">
        <v>30</v>
      </c>
      <c r="AO129" s="66">
        <v>12</v>
      </c>
      <c r="AP129" s="66">
        <v>26</v>
      </c>
      <c r="AQ129" s="66">
        <v>51</v>
      </c>
      <c r="AR129" s="66">
        <v>10</v>
      </c>
      <c r="AS129" s="66">
        <v>51</v>
      </c>
      <c r="AT129" s="66">
        <v>27</v>
      </c>
      <c r="AU129" s="66">
        <v>33</v>
      </c>
      <c r="AV129" s="66">
        <v>23</v>
      </c>
      <c r="AW129" s="66">
        <v>12</v>
      </c>
      <c r="AX129" s="66">
        <v>22</v>
      </c>
      <c r="AY129" s="66">
        <v>27</v>
      </c>
      <c r="AZ129" s="66">
        <v>37</v>
      </c>
      <c r="BA129" s="66">
        <v>66</v>
      </c>
      <c r="BB129" s="66">
        <v>101</v>
      </c>
      <c r="BC129" s="66">
        <v>28</v>
      </c>
      <c r="BD129" s="66">
        <v>7</v>
      </c>
      <c r="BE129" s="66">
        <v>0</v>
      </c>
      <c r="BF129" s="66">
        <v>0</v>
      </c>
      <c r="BG129" s="66">
        <v>23</v>
      </c>
      <c r="BH129" s="66">
        <v>29</v>
      </c>
      <c r="BI129" s="66">
        <v>32</v>
      </c>
      <c r="BJ129" s="66">
        <v>29</v>
      </c>
      <c r="BK129" s="66">
        <v>11</v>
      </c>
      <c r="BL129" s="66">
        <v>42</v>
      </c>
      <c r="BM129" s="66">
        <v>56</v>
      </c>
      <c r="BN129" s="66">
        <v>16</v>
      </c>
      <c r="BO129" s="66">
        <v>149</v>
      </c>
      <c r="BP129" s="66">
        <v>32</v>
      </c>
      <c r="BQ129" s="66">
        <v>23</v>
      </c>
      <c r="BR129" s="66">
        <v>8</v>
      </c>
      <c r="BS129" s="66">
        <v>23</v>
      </c>
      <c r="BT129" s="66">
        <v>51</v>
      </c>
      <c r="BU129" s="66">
        <v>13</v>
      </c>
      <c r="BV129" s="66">
        <v>13</v>
      </c>
      <c r="BW129" s="66">
        <v>4</v>
      </c>
      <c r="BX129" s="66">
        <v>17</v>
      </c>
      <c r="BY129" s="66">
        <v>10</v>
      </c>
      <c r="BZ129" s="66">
        <v>7</v>
      </c>
      <c r="CA129" s="66">
        <v>6</v>
      </c>
      <c r="CB129" s="66">
        <v>8</v>
      </c>
      <c r="CC129" s="66">
        <v>5</v>
      </c>
      <c r="CD129" s="66">
        <v>14</v>
      </c>
      <c r="CE129" s="66">
        <v>10</v>
      </c>
      <c r="CF129" s="66">
        <v>4</v>
      </c>
      <c r="CG129" s="66">
        <v>18</v>
      </c>
      <c r="CH129" s="66">
        <v>12</v>
      </c>
      <c r="CI129" s="66">
        <v>18</v>
      </c>
      <c r="CJ129" s="66">
        <v>4</v>
      </c>
      <c r="CK129" s="66">
        <v>10</v>
      </c>
      <c r="CL129" s="66">
        <v>20</v>
      </c>
      <c r="CM129" s="66">
        <v>30</v>
      </c>
      <c r="CN129" s="66">
        <v>10</v>
      </c>
      <c r="CO129" s="66">
        <v>10</v>
      </c>
      <c r="CP129" s="66">
        <v>29</v>
      </c>
      <c r="CQ129" s="66">
        <v>7</v>
      </c>
      <c r="CR129" s="66">
        <v>6</v>
      </c>
      <c r="CS129" s="66">
        <v>11</v>
      </c>
      <c r="CT129" s="66">
        <v>4</v>
      </c>
      <c r="CU129" s="66">
        <v>6</v>
      </c>
      <c r="CV129" s="66">
        <v>10</v>
      </c>
      <c r="CW129" s="66">
        <v>16</v>
      </c>
      <c r="CX129" s="66">
        <v>17</v>
      </c>
      <c r="CY129" s="66">
        <v>50</v>
      </c>
      <c r="CZ129" s="66">
        <v>27</v>
      </c>
      <c r="DA129" s="66">
        <v>19</v>
      </c>
    </row>
    <row r="130" spans="1:105" ht="15" x14ac:dyDescent="0.35">
      <c r="A130" s="5" t="s">
        <v>371</v>
      </c>
      <c r="B130" s="5" t="s">
        <v>545</v>
      </c>
      <c r="C130" s="66">
        <v>21</v>
      </c>
      <c r="D130" s="66">
        <v>45</v>
      </c>
      <c r="E130" s="66">
        <v>40</v>
      </c>
      <c r="F130" s="66">
        <v>0</v>
      </c>
      <c r="G130" s="66">
        <v>50</v>
      </c>
      <c r="H130" s="66">
        <v>1</v>
      </c>
      <c r="I130" s="66">
        <v>0</v>
      </c>
      <c r="J130" s="66">
        <v>2</v>
      </c>
      <c r="K130" s="66">
        <v>0</v>
      </c>
      <c r="L130" s="66">
        <v>0</v>
      </c>
      <c r="M130" s="66">
        <v>0</v>
      </c>
      <c r="N130" s="66">
        <v>0</v>
      </c>
      <c r="O130" s="66">
        <v>0</v>
      </c>
      <c r="P130" s="66">
        <v>0</v>
      </c>
      <c r="Q130" s="66">
        <v>0</v>
      </c>
      <c r="R130" s="66">
        <v>0</v>
      </c>
      <c r="S130" s="66">
        <v>0</v>
      </c>
      <c r="T130" s="66">
        <v>0</v>
      </c>
      <c r="U130" s="66">
        <v>0</v>
      </c>
      <c r="V130" s="66">
        <v>0</v>
      </c>
      <c r="W130" s="66">
        <v>0</v>
      </c>
      <c r="X130" s="66">
        <v>0</v>
      </c>
      <c r="Y130" s="66">
        <v>0</v>
      </c>
      <c r="Z130" s="66">
        <v>0</v>
      </c>
      <c r="AA130" s="66">
        <v>0</v>
      </c>
      <c r="AB130" s="66">
        <v>0</v>
      </c>
      <c r="AC130" s="66">
        <v>0</v>
      </c>
      <c r="AD130" s="66">
        <v>0</v>
      </c>
      <c r="AE130" s="66">
        <v>0</v>
      </c>
      <c r="AF130" s="66">
        <v>0</v>
      </c>
      <c r="AG130" s="66">
        <v>0</v>
      </c>
      <c r="AH130" s="66">
        <v>40</v>
      </c>
      <c r="AI130" s="66">
        <v>28</v>
      </c>
      <c r="AJ130" s="66">
        <v>24</v>
      </c>
      <c r="AK130" s="66">
        <v>75</v>
      </c>
      <c r="AL130" s="66">
        <v>22</v>
      </c>
      <c r="AM130" s="66">
        <v>67</v>
      </c>
      <c r="AN130" s="66">
        <v>87</v>
      </c>
      <c r="AO130" s="66">
        <v>54</v>
      </c>
      <c r="AP130" s="66">
        <v>72</v>
      </c>
      <c r="AQ130" s="66">
        <v>52</v>
      </c>
      <c r="AR130" s="66">
        <v>39</v>
      </c>
      <c r="AS130" s="66">
        <v>101</v>
      </c>
      <c r="AT130" s="66">
        <v>109</v>
      </c>
      <c r="AU130" s="66">
        <v>110</v>
      </c>
      <c r="AV130" s="66">
        <v>60</v>
      </c>
      <c r="AW130" s="66">
        <v>53</v>
      </c>
      <c r="AX130" s="66">
        <v>85</v>
      </c>
      <c r="AY130" s="66">
        <v>37</v>
      </c>
      <c r="AZ130" s="66">
        <v>106</v>
      </c>
      <c r="BA130" s="66">
        <v>85</v>
      </c>
      <c r="BB130" s="66">
        <v>96</v>
      </c>
      <c r="BC130" s="66">
        <v>45</v>
      </c>
      <c r="BD130" s="66">
        <v>15</v>
      </c>
      <c r="BE130" s="66">
        <v>15</v>
      </c>
      <c r="BF130" s="66">
        <v>0</v>
      </c>
      <c r="BG130" s="66">
        <v>69</v>
      </c>
      <c r="BH130" s="66">
        <v>120</v>
      </c>
      <c r="BI130" s="66">
        <v>38</v>
      </c>
      <c r="BJ130" s="66">
        <v>60</v>
      </c>
      <c r="BK130" s="66">
        <v>107</v>
      </c>
      <c r="BL130" s="66">
        <v>2</v>
      </c>
      <c r="BM130" s="66">
        <v>59</v>
      </c>
      <c r="BN130" s="66">
        <v>41</v>
      </c>
      <c r="BO130" s="66">
        <v>112</v>
      </c>
      <c r="BP130" s="66">
        <v>8</v>
      </c>
      <c r="BQ130" s="66">
        <v>55</v>
      </c>
      <c r="BR130" s="66">
        <v>59</v>
      </c>
      <c r="BS130" s="66">
        <v>78</v>
      </c>
      <c r="BT130" s="66">
        <v>6</v>
      </c>
      <c r="BU130" s="66">
        <v>66</v>
      </c>
      <c r="BV130" s="66">
        <v>57</v>
      </c>
      <c r="BW130" s="66">
        <v>45</v>
      </c>
      <c r="BX130" s="66">
        <v>12</v>
      </c>
      <c r="BY130" s="66">
        <v>33</v>
      </c>
      <c r="BZ130" s="66">
        <v>131</v>
      </c>
      <c r="CA130" s="66">
        <v>12</v>
      </c>
      <c r="CB130" s="66">
        <v>23</v>
      </c>
      <c r="CC130" s="66">
        <v>25</v>
      </c>
      <c r="CD130" s="66">
        <v>68</v>
      </c>
      <c r="CE130" s="66">
        <v>28</v>
      </c>
      <c r="CF130" s="66">
        <v>149</v>
      </c>
      <c r="CG130" s="66">
        <v>7</v>
      </c>
      <c r="CH130" s="66">
        <v>42</v>
      </c>
      <c r="CI130" s="66">
        <v>42</v>
      </c>
      <c r="CJ130" s="66">
        <v>7</v>
      </c>
      <c r="CK130" s="66">
        <v>398</v>
      </c>
      <c r="CL130" s="66">
        <v>146</v>
      </c>
      <c r="CM130" s="66">
        <v>53</v>
      </c>
      <c r="CN130" s="66">
        <v>27</v>
      </c>
      <c r="CO130" s="66">
        <v>53</v>
      </c>
      <c r="CP130" s="66">
        <v>72</v>
      </c>
      <c r="CQ130" s="66">
        <v>70</v>
      </c>
      <c r="CR130" s="66">
        <v>39</v>
      </c>
      <c r="CS130" s="66">
        <v>19</v>
      </c>
      <c r="CT130" s="66">
        <v>70</v>
      </c>
      <c r="CU130" s="66">
        <v>27</v>
      </c>
      <c r="CV130" s="66">
        <v>13</v>
      </c>
      <c r="CW130" s="66">
        <v>64</v>
      </c>
      <c r="CX130" s="66">
        <v>17</v>
      </c>
      <c r="CY130" s="66">
        <v>32</v>
      </c>
      <c r="CZ130" s="66">
        <v>62</v>
      </c>
      <c r="DA130" s="66">
        <v>59</v>
      </c>
    </row>
    <row r="131" spans="1:105" ht="15" x14ac:dyDescent="0.35">
      <c r="A131" s="5" t="s">
        <v>372</v>
      </c>
      <c r="B131" s="5" t="s">
        <v>546</v>
      </c>
      <c r="C131" s="66">
        <v>33</v>
      </c>
      <c r="D131" s="66">
        <v>58</v>
      </c>
      <c r="E131" s="66">
        <v>1</v>
      </c>
      <c r="F131" s="66">
        <v>0</v>
      </c>
      <c r="G131" s="66">
        <v>14</v>
      </c>
      <c r="H131" s="66">
        <v>8</v>
      </c>
      <c r="I131" s="66">
        <v>22</v>
      </c>
      <c r="J131" s="66">
        <v>5</v>
      </c>
      <c r="K131" s="66">
        <v>18</v>
      </c>
      <c r="L131" s="66">
        <v>28</v>
      </c>
      <c r="M131" s="66">
        <v>19</v>
      </c>
      <c r="N131" s="66">
        <v>21</v>
      </c>
      <c r="O131" s="66">
        <v>17</v>
      </c>
      <c r="P131" s="66">
        <v>22</v>
      </c>
      <c r="Q131" s="66">
        <v>62</v>
      </c>
      <c r="R131" s="66">
        <v>33</v>
      </c>
      <c r="S131" s="66">
        <v>6</v>
      </c>
      <c r="T131" s="66">
        <v>23</v>
      </c>
      <c r="U131" s="66">
        <v>7</v>
      </c>
      <c r="V131" s="66">
        <v>51</v>
      </c>
      <c r="W131" s="66">
        <v>11</v>
      </c>
      <c r="X131" s="66">
        <v>12</v>
      </c>
      <c r="Y131" s="66">
        <v>22</v>
      </c>
      <c r="Z131" s="66">
        <v>12</v>
      </c>
      <c r="AA131" s="66">
        <v>14</v>
      </c>
      <c r="AB131" s="66">
        <v>14</v>
      </c>
      <c r="AC131" s="66">
        <v>29</v>
      </c>
      <c r="AD131" s="66">
        <v>30</v>
      </c>
      <c r="AE131" s="66">
        <v>31</v>
      </c>
      <c r="AF131" s="66">
        <v>17</v>
      </c>
      <c r="AG131" s="66">
        <v>21</v>
      </c>
      <c r="AH131" s="66">
        <v>33</v>
      </c>
      <c r="AI131" s="66">
        <v>54</v>
      </c>
      <c r="AJ131" s="66">
        <v>7</v>
      </c>
      <c r="AK131" s="66">
        <v>2</v>
      </c>
      <c r="AL131" s="66">
        <v>31</v>
      </c>
      <c r="AM131" s="66">
        <v>50</v>
      </c>
      <c r="AN131" s="66">
        <v>8</v>
      </c>
      <c r="AO131" s="66">
        <v>7</v>
      </c>
      <c r="AP131" s="66">
        <v>29</v>
      </c>
      <c r="AQ131" s="66">
        <v>34</v>
      </c>
      <c r="AR131" s="66">
        <v>10</v>
      </c>
      <c r="AS131" s="66">
        <v>40</v>
      </c>
      <c r="AT131" s="66">
        <v>30</v>
      </c>
      <c r="AU131" s="66">
        <v>47</v>
      </c>
      <c r="AV131" s="66">
        <v>35</v>
      </c>
      <c r="AW131" s="66">
        <v>20</v>
      </c>
      <c r="AX131" s="66">
        <v>34</v>
      </c>
      <c r="AY131" s="66">
        <v>47</v>
      </c>
      <c r="AZ131" s="66">
        <v>60</v>
      </c>
      <c r="BA131" s="66">
        <v>26</v>
      </c>
      <c r="BB131" s="66">
        <v>59</v>
      </c>
      <c r="BC131" s="66">
        <v>36</v>
      </c>
      <c r="BD131" s="66">
        <v>54</v>
      </c>
      <c r="BE131" s="66">
        <v>0</v>
      </c>
      <c r="BF131" s="66">
        <v>0</v>
      </c>
      <c r="BG131" s="66">
        <v>6</v>
      </c>
      <c r="BH131" s="66">
        <v>20</v>
      </c>
      <c r="BI131" s="66">
        <v>12</v>
      </c>
      <c r="BJ131" s="66">
        <v>28</v>
      </c>
      <c r="BK131" s="66">
        <v>25</v>
      </c>
      <c r="BL131" s="66">
        <v>3</v>
      </c>
      <c r="BM131" s="66">
        <v>9</v>
      </c>
      <c r="BN131" s="66">
        <v>241</v>
      </c>
      <c r="BO131" s="66">
        <v>11</v>
      </c>
      <c r="BP131" s="66">
        <v>22</v>
      </c>
      <c r="BQ131" s="66">
        <v>26</v>
      </c>
      <c r="BR131" s="66">
        <v>44</v>
      </c>
      <c r="BS131" s="66">
        <v>26</v>
      </c>
      <c r="BT131" s="66">
        <v>21</v>
      </c>
      <c r="BU131" s="66">
        <v>13</v>
      </c>
      <c r="BV131" s="66">
        <v>31</v>
      </c>
      <c r="BW131" s="66">
        <v>14</v>
      </c>
      <c r="BX131" s="66">
        <v>5</v>
      </c>
      <c r="BY131" s="66">
        <v>24</v>
      </c>
      <c r="BZ131" s="66">
        <v>16</v>
      </c>
      <c r="CA131" s="66">
        <v>62</v>
      </c>
      <c r="CB131" s="66">
        <v>12</v>
      </c>
      <c r="CC131" s="66">
        <v>6</v>
      </c>
      <c r="CD131" s="66">
        <v>12</v>
      </c>
      <c r="CE131" s="66">
        <v>16</v>
      </c>
      <c r="CF131" s="66">
        <v>0</v>
      </c>
      <c r="CG131" s="66">
        <v>17</v>
      </c>
      <c r="CH131" s="66">
        <v>18</v>
      </c>
      <c r="CI131" s="66">
        <v>40</v>
      </c>
      <c r="CJ131" s="66">
        <v>2</v>
      </c>
      <c r="CK131" s="66">
        <v>17</v>
      </c>
      <c r="CL131" s="66">
        <v>26</v>
      </c>
      <c r="CM131" s="66">
        <v>44</v>
      </c>
      <c r="CN131" s="66">
        <v>36</v>
      </c>
      <c r="CO131" s="66">
        <v>12</v>
      </c>
      <c r="CP131" s="66">
        <v>16</v>
      </c>
      <c r="CQ131" s="66">
        <v>9</v>
      </c>
      <c r="CR131" s="66">
        <v>70</v>
      </c>
      <c r="CS131" s="66">
        <v>48</v>
      </c>
      <c r="CT131" s="66">
        <v>66</v>
      </c>
      <c r="CU131" s="66">
        <v>28</v>
      </c>
      <c r="CV131" s="66">
        <v>20</v>
      </c>
      <c r="CW131" s="66">
        <v>12</v>
      </c>
      <c r="CX131" s="66">
        <v>100</v>
      </c>
      <c r="CY131" s="66">
        <v>43</v>
      </c>
      <c r="CZ131" s="66">
        <v>24</v>
      </c>
      <c r="DA131" s="66">
        <v>86</v>
      </c>
    </row>
    <row r="132" spans="1:105" ht="15" x14ac:dyDescent="0.35">
      <c r="A132" s="5" t="s">
        <v>373</v>
      </c>
      <c r="B132" s="5" t="s">
        <v>547</v>
      </c>
      <c r="C132" s="66">
        <v>13</v>
      </c>
      <c r="D132" s="66">
        <v>14</v>
      </c>
      <c r="E132" s="66">
        <v>4</v>
      </c>
      <c r="F132" s="66">
        <v>0</v>
      </c>
      <c r="G132" s="66">
        <v>300</v>
      </c>
      <c r="H132" s="66">
        <v>20</v>
      </c>
      <c r="I132" s="66">
        <v>15</v>
      </c>
      <c r="J132" s="66">
        <v>223</v>
      </c>
      <c r="K132" s="66">
        <v>14</v>
      </c>
      <c r="L132" s="66">
        <v>16</v>
      </c>
      <c r="M132" s="66">
        <v>77</v>
      </c>
      <c r="N132" s="66">
        <v>16</v>
      </c>
      <c r="O132" s="66">
        <v>23</v>
      </c>
      <c r="P132" s="66">
        <v>86</v>
      </c>
      <c r="Q132" s="66">
        <v>31</v>
      </c>
      <c r="R132" s="66">
        <v>83</v>
      </c>
      <c r="S132" s="66">
        <v>90</v>
      </c>
      <c r="T132" s="66">
        <v>70</v>
      </c>
      <c r="U132" s="66">
        <v>111</v>
      </c>
      <c r="V132" s="66">
        <v>214</v>
      </c>
      <c r="W132" s="66">
        <v>134</v>
      </c>
      <c r="X132" s="66">
        <v>99</v>
      </c>
      <c r="Y132" s="66">
        <v>164</v>
      </c>
      <c r="Z132" s="66">
        <v>11</v>
      </c>
      <c r="AA132" s="66">
        <v>118</v>
      </c>
      <c r="AB132" s="66">
        <v>67</v>
      </c>
      <c r="AC132" s="66">
        <v>243</v>
      </c>
      <c r="AD132" s="66">
        <v>78</v>
      </c>
      <c r="AE132" s="66">
        <v>196</v>
      </c>
      <c r="AF132" s="66">
        <v>180</v>
      </c>
      <c r="AG132" s="66">
        <v>62</v>
      </c>
      <c r="AH132" s="66">
        <v>113</v>
      </c>
      <c r="AI132" s="66">
        <v>164</v>
      </c>
      <c r="AJ132" s="66">
        <v>91</v>
      </c>
      <c r="AK132" s="66">
        <v>109</v>
      </c>
      <c r="AL132" s="66">
        <v>35</v>
      </c>
      <c r="AM132" s="66">
        <v>39</v>
      </c>
      <c r="AN132" s="66">
        <v>96</v>
      </c>
      <c r="AO132" s="66">
        <v>22</v>
      </c>
      <c r="AP132" s="66">
        <v>88</v>
      </c>
      <c r="AQ132" s="66">
        <v>11</v>
      </c>
      <c r="AR132" s="66">
        <v>2</v>
      </c>
      <c r="AS132" s="66">
        <v>16</v>
      </c>
      <c r="AT132" s="66">
        <v>65</v>
      </c>
      <c r="AU132" s="66">
        <v>2</v>
      </c>
      <c r="AV132" s="66">
        <v>6</v>
      </c>
      <c r="AW132" s="66">
        <v>6</v>
      </c>
      <c r="AX132" s="66">
        <v>55</v>
      </c>
      <c r="AY132" s="66">
        <v>54</v>
      </c>
      <c r="AZ132" s="66">
        <v>14</v>
      </c>
      <c r="BA132" s="66">
        <v>0</v>
      </c>
      <c r="BB132" s="66">
        <v>3</v>
      </c>
      <c r="BC132" s="66">
        <v>13</v>
      </c>
      <c r="BD132" s="66">
        <v>4</v>
      </c>
      <c r="BE132" s="66">
        <v>1</v>
      </c>
      <c r="BF132" s="66">
        <v>0</v>
      </c>
      <c r="BG132" s="66">
        <v>25</v>
      </c>
      <c r="BH132" s="66">
        <v>18</v>
      </c>
      <c r="BI132" s="66">
        <v>60</v>
      </c>
      <c r="BJ132" s="66">
        <v>37</v>
      </c>
      <c r="BK132" s="66">
        <v>32</v>
      </c>
      <c r="BL132" s="66">
        <v>57</v>
      </c>
      <c r="BM132" s="66">
        <v>8</v>
      </c>
      <c r="BN132" s="66">
        <v>81</v>
      </c>
      <c r="BO132" s="66">
        <v>50</v>
      </c>
      <c r="BP132" s="66">
        <v>96</v>
      </c>
      <c r="BQ132" s="66">
        <v>8</v>
      </c>
      <c r="BR132" s="66">
        <v>172</v>
      </c>
      <c r="BS132" s="66">
        <v>72</v>
      </c>
      <c r="BT132" s="66">
        <v>158</v>
      </c>
      <c r="BU132" s="66">
        <v>91</v>
      </c>
      <c r="BV132" s="66">
        <v>144</v>
      </c>
      <c r="BW132" s="66">
        <v>110</v>
      </c>
      <c r="BX132" s="66">
        <v>300</v>
      </c>
      <c r="BY132" s="66">
        <v>250</v>
      </c>
      <c r="BZ132" s="66">
        <v>181</v>
      </c>
      <c r="CA132" s="66">
        <v>472</v>
      </c>
      <c r="CB132" s="66">
        <v>24</v>
      </c>
      <c r="CC132" s="66">
        <v>131</v>
      </c>
      <c r="CD132" s="66">
        <v>205</v>
      </c>
      <c r="CE132" s="66">
        <v>66</v>
      </c>
      <c r="CF132" s="66">
        <v>40</v>
      </c>
      <c r="CG132" s="66">
        <v>211</v>
      </c>
      <c r="CH132" s="66">
        <v>32</v>
      </c>
      <c r="CI132" s="66">
        <v>124</v>
      </c>
      <c r="CJ132" s="66">
        <v>45</v>
      </c>
      <c r="CK132" s="66">
        <v>149</v>
      </c>
      <c r="CL132" s="66">
        <v>69</v>
      </c>
      <c r="CM132" s="66">
        <v>66</v>
      </c>
      <c r="CN132" s="66">
        <v>40</v>
      </c>
      <c r="CO132" s="66">
        <v>12</v>
      </c>
      <c r="CP132" s="66">
        <v>94</v>
      </c>
      <c r="CQ132" s="66">
        <v>24</v>
      </c>
      <c r="CR132" s="66">
        <v>0</v>
      </c>
      <c r="CS132" s="66">
        <v>0</v>
      </c>
      <c r="CT132" s="66">
        <v>0</v>
      </c>
      <c r="CU132" s="66">
        <v>16</v>
      </c>
      <c r="CV132" s="66">
        <v>12</v>
      </c>
      <c r="CW132" s="66">
        <v>54</v>
      </c>
      <c r="CX132" s="66">
        <v>6</v>
      </c>
      <c r="CY132" s="66">
        <v>17</v>
      </c>
      <c r="CZ132" s="66">
        <v>9</v>
      </c>
      <c r="DA132" s="66">
        <v>10</v>
      </c>
    </row>
    <row r="133" spans="1:105" ht="15" x14ac:dyDescent="0.35">
      <c r="A133" s="5" t="s">
        <v>374</v>
      </c>
      <c r="B133" s="5" t="s">
        <v>548</v>
      </c>
      <c r="C133" s="66">
        <v>219</v>
      </c>
      <c r="D133" s="66">
        <v>243</v>
      </c>
      <c r="E133" s="66">
        <v>6</v>
      </c>
      <c r="F133" s="66">
        <v>0</v>
      </c>
      <c r="G133" s="66">
        <v>420</v>
      </c>
      <c r="H133" s="66">
        <v>628</v>
      </c>
      <c r="I133" s="66">
        <v>131</v>
      </c>
      <c r="J133" s="66">
        <v>153</v>
      </c>
      <c r="K133" s="66">
        <v>70</v>
      </c>
      <c r="L133" s="66">
        <v>171</v>
      </c>
      <c r="M133" s="66">
        <v>259</v>
      </c>
      <c r="N133" s="66">
        <v>208</v>
      </c>
      <c r="O133" s="66">
        <v>415</v>
      </c>
      <c r="P133" s="66">
        <v>829</v>
      </c>
      <c r="Q133" s="66">
        <v>567</v>
      </c>
      <c r="R133" s="66">
        <v>425</v>
      </c>
      <c r="S133" s="66">
        <v>114</v>
      </c>
      <c r="T133" s="66">
        <v>131</v>
      </c>
      <c r="U133" s="66">
        <v>153</v>
      </c>
      <c r="V133" s="66">
        <v>292</v>
      </c>
      <c r="W133" s="66">
        <v>1361</v>
      </c>
      <c r="X133" s="66">
        <v>666</v>
      </c>
      <c r="Y133" s="66">
        <v>243</v>
      </c>
      <c r="Z133" s="66">
        <v>291</v>
      </c>
      <c r="AA133" s="66">
        <v>785</v>
      </c>
      <c r="AB133" s="66">
        <v>313</v>
      </c>
      <c r="AC133" s="66">
        <v>470</v>
      </c>
      <c r="AD133" s="66">
        <v>555</v>
      </c>
      <c r="AE133" s="66">
        <v>210</v>
      </c>
      <c r="AF133" s="66">
        <v>591</v>
      </c>
      <c r="AG133" s="66">
        <v>356</v>
      </c>
      <c r="AH133" s="66">
        <v>511</v>
      </c>
      <c r="AI133" s="66">
        <v>352</v>
      </c>
      <c r="AJ133" s="66">
        <v>127</v>
      </c>
      <c r="AK133" s="66">
        <v>102</v>
      </c>
      <c r="AL133" s="66">
        <v>338</v>
      </c>
      <c r="AM133" s="66">
        <v>281</v>
      </c>
      <c r="AN133" s="66">
        <v>282</v>
      </c>
      <c r="AO133" s="66">
        <v>269</v>
      </c>
      <c r="AP133" s="66">
        <v>188</v>
      </c>
      <c r="AQ133" s="66">
        <v>225</v>
      </c>
      <c r="AR133" s="66">
        <v>300</v>
      </c>
      <c r="AS133" s="66">
        <v>401</v>
      </c>
      <c r="AT133" s="66">
        <v>207</v>
      </c>
      <c r="AU133" s="66">
        <v>383</v>
      </c>
      <c r="AV133" s="66">
        <v>166</v>
      </c>
      <c r="AW133" s="66">
        <v>145</v>
      </c>
      <c r="AX133" s="66">
        <v>479</v>
      </c>
      <c r="AY133" s="66">
        <v>108</v>
      </c>
      <c r="AZ133" s="66">
        <v>399</v>
      </c>
      <c r="BA133" s="66">
        <v>226</v>
      </c>
      <c r="BB133" s="66">
        <v>575</v>
      </c>
      <c r="BC133" s="66">
        <v>334</v>
      </c>
      <c r="BD133" s="66">
        <v>52</v>
      </c>
      <c r="BE133" s="66">
        <v>55</v>
      </c>
      <c r="BF133" s="66">
        <v>0</v>
      </c>
      <c r="BG133" s="66">
        <v>276</v>
      </c>
      <c r="BH133" s="66">
        <v>218</v>
      </c>
      <c r="BI133" s="66">
        <v>259</v>
      </c>
      <c r="BJ133" s="66">
        <v>151</v>
      </c>
      <c r="BK133" s="66">
        <v>317</v>
      </c>
      <c r="BL133" s="66">
        <v>319</v>
      </c>
      <c r="BM133" s="66">
        <v>386</v>
      </c>
      <c r="BN133" s="66">
        <v>266</v>
      </c>
      <c r="BO133" s="66">
        <v>408</v>
      </c>
      <c r="BP133" s="66">
        <v>136</v>
      </c>
      <c r="BQ133" s="66">
        <v>644</v>
      </c>
      <c r="BR133" s="66">
        <v>233</v>
      </c>
      <c r="BS133" s="66">
        <v>586</v>
      </c>
      <c r="BT133" s="66">
        <v>185</v>
      </c>
      <c r="BU133" s="66">
        <v>460</v>
      </c>
      <c r="BV133" s="66">
        <v>177</v>
      </c>
      <c r="BW133" s="66">
        <v>161</v>
      </c>
      <c r="BX133" s="66">
        <v>212</v>
      </c>
      <c r="BY133" s="66">
        <v>337</v>
      </c>
      <c r="BZ133" s="66">
        <v>303</v>
      </c>
      <c r="CA133" s="66">
        <v>390</v>
      </c>
      <c r="CB133" s="66">
        <v>105</v>
      </c>
      <c r="CC133" s="66">
        <v>323</v>
      </c>
      <c r="CD133" s="66">
        <v>468</v>
      </c>
      <c r="CE133" s="66">
        <v>338</v>
      </c>
      <c r="CF133" s="66">
        <v>99</v>
      </c>
      <c r="CG133" s="66">
        <v>270</v>
      </c>
      <c r="CH133" s="66">
        <v>92</v>
      </c>
      <c r="CI133" s="66">
        <v>98</v>
      </c>
      <c r="CJ133" s="66">
        <v>169</v>
      </c>
      <c r="CK133" s="66">
        <v>360</v>
      </c>
      <c r="CL133" s="66">
        <v>113</v>
      </c>
      <c r="CM133" s="66">
        <v>162</v>
      </c>
      <c r="CN133" s="66">
        <v>294</v>
      </c>
      <c r="CO133" s="66">
        <v>194</v>
      </c>
      <c r="CP133" s="66">
        <v>246</v>
      </c>
      <c r="CQ133" s="66">
        <v>204</v>
      </c>
      <c r="CR133" s="66">
        <v>294</v>
      </c>
      <c r="CS133" s="66">
        <v>175</v>
      </c>
      <c r="CT133" s="66">
        <v>140</v>
      </c>
      <c r="CU133" s="66">
        <v>79</v>
      </c>
      <c r="CV133" s="66">
        <v>288</v>
      </c>
      <c r="CW133" s="66">
        <v>232</v>
      </c>
      <c r="CX133" s="66">
        <v>134</v>
      </c>
      <c r="CY133" s="66">
        <v>255</v>
      </c>
      <c r="CZ133" s="66">
        <v>204</v>
      </c>
      <c r="DA133" s="66">
        <v>294</v>
      </c>
    </row>
    <row r="134" spans="1:105" ht="15" x14ac:dyDescent="0.35">
      <c r="A134" s="5" t="s">
        <v>375</v>
      </c>
      <c r="B134" s="5" t="s">
        <v>549</v>
      </c>
      <c r="C134" s="66">
        <v>0</v>
      </c>
      <c r="D134" s="66">
        <v>0</v>
      </c>
      <c r="E134" s="66">
        <v>0</v>
      </c>
      <c r="F134" s="66">
        <v>0</v>
      </c>
      <c r="G134" s="66">
        <v>0</v>
      </c>
      <c r="H134" s="66">
        <v>0</v>
      </c>
      <c r="I134" s="66">
        <v>0</v>
      </c>
      <c r="J134" s="66">
        <v>0</v>
      </c>
      <c r="K134" s="66">
        <v>0</v>
      </c>
      <c r="L134" s="66">
        <v>0</v>
      </c>
      <c r="M134" s="66">
        <v>0</v>
      </c>
      <c r="N134" s="66">
        <v>0</v>
      </c>
      <c r="O134" s="66">
        <v>0</v>
      </c>
      <c r="P134" s="66">
        <v>0</v>
      </c>
      <c r="Q134" s="66">
        <v>0</v>
      </c>
      <c r="R134" s="66">
        <v>0</v>
      </c>
      <c r="S134" s="66">
        <v>0</v>
      </c>
      <c r="T134" s="66">
        <v>0</v>
      </c>
      <c r="U134" s="66">
        <v>0</v>
      </c>
      <c r="V134" s="66">
        <v>0</v>
      </c>
      <c r="W134" s="66">
        <v>0</v>
      </c>
      <c r="X134" s="66">
        <v>0</v>
      </c>
      <c r="Y134" s="66">
        <v>0</v>
      </c>
      <c r="Z134" s="66">
        <v>0</v>
      </c>
      <c r="AA134" s="66">
        <v>0</v>
      </c>
      <c r="AB134" s="66">
        <v>0</v>
      </c>
      <c r="AC134" s="66">
        <v>0</v>
      </c>
      <c r="AD134" s="66">
        <v>0</v>
      </c>
      <c r="AE134" s="66">
        <v>0</v>
      </c>
      <c r="AF134" s="66">
        <v>4</v>
      </c>
      <c r="AG134" s="66">
        <v>19</v>
      </c>
      <c r="AH134" s="66">
        <v>22</v>
      </c>
      <c r="AI134" s="66">
        <v>34</v>
      </c>
      <c r="AJ134" s="66">
        <v>38</v>
      </c>
      <c r="AK134" s="66">
        <v>50</v>
      </c>
      <c r="AL134" s="66">
        <v>9</v>
      </c>
      <c r="AM134" s="66">
        <v>12</v>
      </c>
      <c r="AN134" s="66">
        <v>34</v>
      </c>
      <c r="AO134" s="66">
        <v>27</v>
      </c>
      <c r="AP134" s="66">
        <v>3</v>
      </c>
      <c r="AQ134" s="66">
        <v>12</v>
      </c>
      <c r="AR134" s="66">
        <v>0</v>
      </c>
      <c r="AS134" s="66">
        <v>3</v>
      </c>
      <c r="AT134" s="66">
        <v>0</v>
      </c>
      <c r="AU134" s="66">
        <v>3</v>
      </c>
      <c r="AV134" s="66">
        <v>0</v>
      </c>
      <c r="AW134" s="66">
        <v>48</v>
      </c>
      <c r="AX134" s="66">
        <v>64</v>
      </c>
      <c r="AY134" s="66">
        <v>22</v>
      </c>
      <c r="AZ134" s="66">
        <v>17</v>
      </c>
      <c r="BA134" s="66">
        <v>39</v>
      </c>
      <c r="BB134" s="66">
        <v>15</v>
      </c>
      <c r="BC134" s="66">
        <v>8</v>
      </c>
      <c r="BD134" s="66">
        <v>32</v>
      </c>
      <c r="BE134" s="66">
        <v>8</v>
      </c>
      <c r="BF134" s="66">
        <v>0</v>
      </c>
      <c r="BG134" s="66">
        <v>33</v>
      </c>
      <c r="BH134" s="66">
        <v>34</v>
      </c>
      <c r="BI134" s="66">
        <v>26</v>
      </c>
      <c r="BJ134" s="66">
        <v>50</v>
      </c>
      <c r="BK134" s="66">
        <v>40</v>
      </c>
      <c r="BL134" s="66">
        <v>19</v>
      </c>
      <c r="BM134" s="66">
        <v>36</v>
      </c>
      <c r="BN134" s="66">
        <v>32</v>
      </c>
      <c r="BO134" s="66">
        <v>22</v>
      </c>
      <c r="BP134" s="66">
        <v>35</v>
      </c>
      <c r="BQ134" s="66">
        <v>51</v>
      </c>
      <c r="BR134" s="66">
        <v>8</v>
      </c>
      <c r="BS134" s="66">
        <v>13</v>
      </c>
      <c r="BT134" s="66">
        <v>22</v>
      </c>
      <c r="BU134" s="66">
        <v>31</v>
      </c>
      <c r="BV134" s="66">
        <v>15</v>
      </c>
      <c r="BW134" s="66">
        <v>8</v>
      </c>
      <c r="BX134" s="66">
        <v>27</v>
      </c>
      <c r="BY134" s="66">
        <v>63</v>
      </c>
      <c r="BZ134" s="66">
        <v>29</v>
      </c>
      <c r="CA134" s="66">
        <v>7</v>
      </c>
      <c r="CB134" s="66">
        <v>5</v>
      </c>
      <c r="CC134" s="66">
        <v>23</v>
      </c>
      <c r="CD134" s="66">
        <v>11</v>
      </c>
      <c r="CE134" s="66">
        <v>18</v>
      </c>
      <c r="CF134" s="66">
        <v>12</v>
      </c>
      <c r="CG134" s="66">
        <v>33</v>
      </c>
      <c r="CH134" s="66">
        <v>35</v>
      </c>
      <c r="CI134" s="66">
        <v>21</v>
      </c>
      <c r="CJ134" s="66">
        <v>11</v>
      </c>
      <c r="CK134" s="66">
        <v>15</v>
      </c>
      <c r="CL134" s="66">
        <v>19</v>
      </c>
      <c r="CM134" s="66">
        <v>45</v>
      </c>
      <c r="CN134" s="66">
        <v>33</v>
      </c>
      <c r="CO134" s="66">
        <v>9</v>
      </c>
      <c r="CP134" s="66">
        <v>9</v>
      </c>
      <c r="CQ134" s="66">
        <v>322</v>
      </c>
      <c r="CR134" s="66">
        <v>45</v>
      </c>
      <c r="CS134" s="66">
        <v>9</v>
      </c>
      <c r="CT134" s="66">
        <v>24</v>
      </c>
      <c r="CU134" s="66">
        <v>29</v>
      </c>
      <c r="CV134" s="66">
        <v>14</v>
      </c>
      <c r="CW134" s="66">
        <v>22</v>
      </c>
      <c r="CX134" s="66">
        <v>26</v>
      </c>
      <c r="CY134" s="66">
        <v>9</v>
      </c>
      <c r="CZ134" s="66">
        <v>8</v>
      </c>
      <c r="DA134" s="66">
        <v>12</v>
      </c>
    </row>
    <row r="135" spans="1:105" ht="15" x14ac:dyDescent="0.35">
      <c r="A135" s="5" t="s">
        <v>376</v>
      </c>
      <c r="B135" s="5" t="s">
        <v>550</v>
      </c>
      <c r="C135" s="66">
        <v>115</v>
      </c>
      <c r="D135" s="66">
        <v>152</v>
      </c>
      <c r="E135" s="66">
        <v>15</v>
      </c>
      <c r="F135" s="66">
        <v>0</v>
      </c>
      <c r="G135" s="66">
        <v>55</v>
      </c>
      <c r="H135" s="66">
        <v>21</v>
      </c>
      <c r="I135" s="66">
        <v>6</v>
      </c>
      <c r="J135" s="66">
        <v>99</v>
      </c>
      <c r="K135" s="66">
        <v>31</v>
      </c>
      <c r="L135" s="66">
        <v>55</v>
      </c>
      <c r="M135" s="66">
        <v>2</v>
      </c>
      <c r="N135" s="66">
        <v>4</v>
      </c>
      <c r="O135" s="66">
        <v>69</v>
      </c>
      <c r="P135" s="66">
        <v>35</v>
      </c>
      <c r="Q135" s="66">
        <v>29</v>
      </c>
      <c r="R135" s="66">
        <v>48</v>
      </c>
      <c r="S135" s="66">
        <v>18</v>
      </c>
      <c r="T135" s="66">
        <v>31</v>
      </c>
      <c r="U135" s="66">
        <v>63</v>
      </c>
      <c r="V135" s="66">
        <v>40</v>
      </c>
      <c r="W135" s="66">
        <v>18</v>
      </c>
      <c r="X135" s="66">
        <v>23</v>
      </c>
      <c r="Y135" s="66">
        <v>6</v>
      </c>
      <c r="Z135" s="66">
        <v>55</v>
      </c>
      <c r="AA135" s="66">
        <v>58</v>
      </c>
      <c r="AB135" s="66">
        <v>15</v>
      </c>
      <c r="AC135" s="66">
        <v>44</v>
      </c>
      <c r="AD135" s="66">
        <v>12</v>
      </c>
      <c r="AE135" s="66">
        <v>47</v>
      </c>
      <c r="AF135" s="66">
        <v>20</v>
      </c>
      <c r="AG135" s="66">
        <v>27</v>
      </c>
      <c r="AH135" s="66">
        <v>119</v>
      </c>
      <c r="AI135" s="66">
        <v>10</v>
      </c>
      <c r="AJ135" s="66">
        <v>36</v>
      </c>
      <c r="AK135" s="66">
        <v>38</v>
      </c>
      <c r="AL135" s="66">
        <v>77</v>
      </c>
      <c r="AM135" s="66">
        <v>34</v>
      </c>
      <c r="AN135" s="66">
        <v>65</v>
      </c>
      <c r="AO135" s="66">
        <v>21</v>
      </c>
      <c r="AP135" s="66">
        <v>28</v>
      </c>
      <c r="AQ135" s="66">
        <v>231</v>
      </c>
      <c r="AR135" s="66">
        <v>47</v>
      </c>
      <c r="AS135" s="66">
        <v>66</v>
      </c>
      <c r="AT135" s="66">
        <v>31</v>
      </c>
      <c r="AU135" s="66">
        <v>124</v>
      </c>
      <c r="AV135" s="66">
        <v>37</v>
      </c>
      <c r="AW135" s="66">
        <v>60</v>
      </c>
      <c r="AX135" s="66">
        <v>114</v>
      </c>
      <c r="AY135" s="66">
        <v>85</v>
      </c>
      <c r="AZ135" s="66">
        <v>64</v>
      </c>
      <c r="BA135" s="66">
        <v>72</v>
      </c>
      <c r="BB135" s="66">
        <v>60</v>
      </c>
      <c r="BC135" s="66">
        <v>79</v>
      </c>
      <c r="BD135" s="66">
        <v>52</v>
      </c>
      <c r="BE135" s="66">
        <v>11</v>
      </c>
      <c r="BF135" s="66">
        <v>0</v>
      </c>
      <c r="BG135" s="66">
        <v>29</v>
      </c>
      <c r="BH135" s="66">
        <v>3141</v>
      </c>
      <c r="BI135" s="66">
        <v>9</v>
      </c>
      <c r="BJ135" s="66">
        <v>22</v>
      </c>
      <c r="BK135" s="66">
        <v>46</v>
      </c>
      <c r="BL135" s="66">
        <v>32</v>
      </c>
      <c r="BM135" s="66">
        <v>2</v>
      </c>
      <c r="BN135" s="66">
        <v>10</v>
      </c>
      <c r="BO135" s="66">
        <v>46</v>
      </c>
      <c r="BP135" s="66">
        <v>20</v>
      </c>
      <c r="BQ135" s="66">
        <v>10</v>
      </c>
      <c r="BR135" s="66">
        <v>37</v>
      </c>
      <c r="BS135" s="66">
        <v>10</v>
      </c>
      <c r="BT135" s="66">
        <v>0</v>
      </c>
      <c r="BU135" s="66">
        <v>9</v>
      </c>
      <c r="BV135" s="66">
        <v>18</v>
      </c>
      <c r="BW135" s="66">
        <v>3</v>
      </c>
      <c r="BX135" s="66">
        <v>0</v>
      </c>
      <c r="BY135" s="66">
        <v>0</v>
      </c>
      <c r="BZ135" s="66">
        <v>10</v>
      </c>
      <c r="CA135" s="66">
        <v>1</v>
      </c>
      <c r="CB135" s="66">
        <v>1</v>
      </c>
      <c r="CC135" s="66">
        <v>7</v>
      </c>
      <c r="CD135" s="66">
        <v>0</v>
      </c>
      <c r="CE135" s="66">
        <v>10</v>
      </c>
      <c r="CF135" s="66">
        <v>12</v>
      </c>
      <c r="CG135" s="66">
        <v>18</v>
      </c>
      <c r="CH135" s="66">
        <v>9</v>
      </c>
      <c r="CI135" s="66">
        <v>5</v>
      </c>
      <c r="CJ135" s="66">
        <v>13</v>
      </c>
      <c r="CK135" s="66">
        <v>19</v>
      </c>
      <c r="CL135" s="66">
        <v>4</v>
      </c>
      <c r="CM135" s="66">
        <v>18</v>
      </c>
      <c r="CN135" s="66">
        <v>9</v>
      </c>
      <c r="CO135" s="66">
        <v>18</v>
      </c>
      <c r="CP135" s="66">
        <v>10</v>
      </c>
      <c r="CQ135" s="66">
        <v>9</v>
      </c>
      <c r="CR135" s="66">
        <v>6</v>
      </c>
      <c r="CS135" s="66">
        <v>38</v>
      </c>
      <c r="CT135" s="66">
        <v>40</v>
      </c>
      <c r="CU135" s="66">
        <v>136</v>
      </c>
      <c r="CV135" s="66">
        <v>262</v>
      </c>
      <c r="CW135" s="66">
        <v>253</v>
      </c>
      <c r="CX135" s="66">
        <v>198</v>
      </c>
      <c r="CY135" s="66">
        <v>940</v>
      </c>
      <c r="CZ135" s="66">
        <v>673</v>
      </c>
      <c r="DA135" s="66">
        <v>371</v>
      </c>
    </row>
    <row r="136" spans="1:105" ht="15" x14ac:dyDescent="0.35">
      <c r="A136" s="5" t="s">
        <v>377</v>
      </c>
      <c r="B136" s="5" t="s">
        <v>551</v>
      </c>
      <c r="C136" s="66">
        <v>124</v>
      </c>
      <c r="D136" s="66">
        <v>225</v>
      </c>
      <c r="E136" s="66">
        <v>2</v>
      </c>
      <c r="F136" s="66">
        <v>0</v>
      </c>
      <c r="G136" s="66">
        <v>23</v>
      </c>
      <c r="H136" s="66">
        <v>116</v>
      </c>
      <c r="I136" s="66">
        <v>69</v>
      </c>
      <c r="J136" s="66">
        <v>30</v>
      </c>
      <c r="K136" s="66">
        <v>181</v>
      </c>
      <c r="L136" s="66">
        <v>17</v>
      </c>
      <c r="M136" s="66">
        <v>139</v>
      </c>
      <c r="N136" s="66">
        <v>166</v>
      </c>
      <c r="O136" s="66">
        <v>272</v>
      </c>
      <c r="P136" s="66">
        <v>35</v>
      </c>
      <c r="Q136" s="66">
        <v>82</v>
      </c>
      <c r="R136" s="66">
        <v>74</v>
      </c>
      <c r="S136" s="66">
        <v>121</v>
      </c>
      <c r="T136" s="66">
        <v>55</v>
      </c>
      <c r="U136" s="66">
        <v>139</v>
      </c>
      <c r="V136" s="66">
        <v>54</v>
      </c>
      <c r="W136" s="66">
        <v>334</v>
      </c>
      <c r="X136" s="66">
        <v>192</v>
      </c>
      <c r="Y136" s="66">
        <v>343</v>
      </c>
      <c r="Z136" s="66">
        <v>68</v>
      </c>
      <c r="AA136" s="66">
        <v>80</v>
      </c>
      <c r="AB136" s="66">
        <v>63</v>
      </c>
      <c r="AC136" s="66">
        <v>95</v>
      </c>
      <c r="AD136" s="66">
        <v>44</v>
      </c>
      <c r="AE136" s="66">
        <v>84</v>
      </c>
      <c r="AF136" s="66">
        <v>265</v>
      </c>
      <c r="AG136" s="66">
        <v>57</v>
      </c>
      <c r="AH136" s="66">
        <v>56</v>
      </c>
      <c r="AI136" s="66">
        <v>298</v>
      </c>
      <c r="AJ136" s="66">
        <v>95</v>
      </c>
      <c r="AK136" s="66">
        <v>69</v>
      </c>
      <c r="AL136" s="66">
        <v>373</v>
      </c>
      <c r="AM136" s="66">
        <v>54</v>
      </c>
      <c r="AN136" s="66">
        <v>299</v>
      </c>
      <c r="AO136" s="66">
        <v>442</v>
      </c>
      <c r="AP136" s="66">
        <v>36</v>
      </c>
      <c r="AQ136" s="66">
        <v>113</v>
      </c>
      <c r="AR136" s="66">
        <v>180</v>
      </c>
      <c r="AS136" s="66">
        <v>97</v>
      </c>
      <c r="AT136" s="66">
        <v>93</v>
      </c>
      <c r="AU136" s="66">
        <v>176</v>
      </c>
      <c r="AV136" s="66">
        <v>79</v>
      </c>
      <c r="AW136" s="66">
        <v>143</v>
      </c>
      <c r="AX136" s="66">
        <v>39</v>
      </c>
      <c r="AY136" s="66">
        <v>820</v>
      </c>
      <c r="AZ136" s="66">
        <v>276</v>
      </c>
      <c r="BA136" s="66">
        <v>123</v>
      </c>
      <c r="BB136" s="66">
        <v>121</v>
      </c>
      <c r="BC136" s="66">
        <v>170</v>
      </c>
      <c r="BD136" s="66">
        <v>63</v>
      </c>
      <c r="BE136" s="66">
        <v>18</v>
      </c>
      <c r="BF136" s="66">
        <v>0</v>
      </c>
      <c r="BG136" s="66">
        <v>351</v>
      </c>
      <c r="BH136" s="66">
        <v>63</v>
      </c>
      <c r="BI136" s="66">
        <v>43</v>
      </c>
      <c r="BJ136" s="66">
        <v>101</v>
      </c>
      <c r="BK136" s="66">
        <v>48</v>
      </c>
      <c r="BL136" s="66">
        <v>74</v>
      </c>
      <c r="BM136" s="66">
        <v>352</v>
      </c>
      <c r="BN136" s="66">
        <v>15</v>
      </c>
      <c r="BO136" s="66">
        <v>71</v>
      </c>
      <c r="BP136" s="66">
        <v>53</v>
      </c>
      <c r="BQ136" s="66">
        <v>663</v>
      </c>
      <c r="BR136" s="66">
        <v>50</v>
      </c>
      <c r="BS136" s="66">
        <v>290</v>
      </c>
      <c r="BT136" s="66">
        <v>129</v>
      </c>
      <c r="BU136" s="66">
        <v>37</v>
      </c>
      <c r="BV136" s="66">
        <v>16</v>
      </c>
      <c r="BW136" s="66">
        <v>25</v>
      </c>
      <c r="BX136" s="66">
        <v>77</v>
      </c>
      <c r="BY136" s="66">
        <v>182</v>
      </c>
      <c r="BZ136" s="66">
        <v>68</v>
      </c>
      <c r="CA136" s="66">
        <v>161</v>
      </c>
      <c r="CB136" s="66">
        <v>60</v>
      </c>
      <c r="CC136" s="66">
        <v>150</v>
      </c>
      <c r="CD136" s="66">
        <v>34</v>
      </c>
      <c r="CE136" s="66">
        <v>33</v>
      </c>
      <c r="CF136" s="66">
        <v>33</v>
      </c>
      <c r="CG136" s="66">
        <v>49</v>
      </c>
      <c r="CH136" s="66">
        <v>15</v>
      </c>
      <c r="CI136" s="66">
        <v>38</v>
      </c>
      <c r="CJ136" s="66">
        <v>81</v>
      </c>
      <c r="CK136" s="66">
        <v>5</v>
      </c>
      <c r="CL136" s="66">
        <v>54</v>
      </c>
      <c r="CM136" s="66">
        <v>90</v>
      </c>
      <c r="CN136" s="66">
        <v>87</v>
      </c>
      <c r="CO136" s="66">
        <v>16</v>
      </c>
      <c r="CP136" s="66">
        <v>37</v>
      </c>
      <c r="CQ136" s="66">
        <v>23</v>
      </c>
      <c r="CR136" s="66">
        <v>210</v>
      </c>
      <c r="CS136" s="66">
        <v>157</v>
      </c>
      <c r="CT136" s="66">
        <v>139</v>
      </c>
      <c r="CU136" s="66">
        <v>36</v>
      </c>
      <c r="CV136" s="66">
        <v>12</v>
      </c>
      <c r="CW136" s="66">
        <v>59</v>
      </c>
      <c r="CX136" s="66">
        <v>21</v>
      </c>
      <c r="CY136" s="66">
        <v>160</v>
      </c>
      <c r="CZ136" s="66">
        <v>66</v>
      </c>
      <c r="DA136" s="66">
        <v>142</v>
      </c>
    </row>
    <row r="137" spans="1:105" ht="15" x14ac:dyDescent="0.35">
      <c r="A137" s="5" t="s">
        <v>378</v>
      </c>
      <c r="B137" s="5" t="s">
        <v>552</v>
      </c>
      <c r="C137" s="66">
        <v>18</v>
      </c>
      <c r="D137" s="66">
        <v>33</v>
      </c>
      <c r="E137" s="66">
        <v>75</v>
      </c>
      <c r="F137" s="66">
        <v>0</v>
      </c>
      <c r="G137" s="66">
        <v>57</v>
      </c>
      <c r="H137" s="66">
        <v>51</v>
      </c>
      <c r="I137" s="66">
        <v>54</v>
      </c>
      <c r="J137" s="66">
        <v>165</v>
      </c>
      <c r="K137" s="66">
        <v>112</v>
      </c>
      <c r="L137" s="66">
        <v>28</v>
      </c>
      <c r="M137" s="66">
        <v>55</v>
      </c>
      <c r="N137" s="66">
        <v>13</v>
      </c>
      <c r="O137" s="66">
        <v>69</v>
      </c>
      <c r="P137" s="66">
        <v>42</v>
      </c>
      <c r="Q137" s="66">
        <v>46</v>
      </c>
      <c r="R137" s="66">
        <v>44</v>
      </c>
      <c r="S137" s="66">
        <v>30</v>
      </c>
      <c r="T137" s="66">
        <v>41</v>
      </c>
      <c r="U137" s="66">
        <v>75</v>
      </c>
      <c r="V137" s="66">
        <v>23</v>
      </c>
      <c r="W137" s="66">
        <v>42</v>
      </c>
      <c r="X137" s="66">
        <v>31</v>
      </c>
      <c r="Y137" s="66">
        <v>24</v>
      </c>
      <c r="Z137" s="66">
        <v>23</v>
      </c>
      <c r="AA137" s="66">
        <v>34</v>
      </c>
      <c r="AB137" s="66">
        <v>34</v>
      </c>
      <c r="AC137" s="66">
        <v>34</v>
      </c>
      <c r="AD137" s="66">
        <v>12</v>
      </c>
      <c r="AE137" s="66">
        <v>32</v>
      </c>
      <c r="AF137" s="66">
        <v>29</v>
      </c>
      <c r="AG137" s="66">
        <v>6</v>
      </c>
      <c r="AH137" s="66">
        <v>12</v>
      </c>
      <c r="AI137" s="66">
        <v>6</v>
      </c>
      <c r="AJ137" s="66">
        <v>32</v>
      </c>
      <c r="AK137" s="66">
        <v>2</v>
      </c>
      <c r="AL137" s="66">
        <v>2</v>
      </c>
      <c r="AM137" s="66">
        <v>6</v>
      </c>
      <c r="AN137" s="66">
        <v>0</v>
      </c>
      <c r="AO137" s="66">
        <v>0</v>
      </c>
      <c r="AP137" s="66">
        <v>0</v>
      </c>
      <c r="AQ137" s="66">
        <v>0</v>
      </c>
      <c r="AR137" s="66">
        <v>0</v>
      </c>
      <c r="AS137" s="66">
        <v>0</v>
      </c>
      <c r="AT137" s="66">
        <v>10</v>
      </c>
      <c r="AU137" s="66">
        <v>72</v>
      </c>
      <c r="AV137" s="66">
        <v>29</v>
      </c>
      <c r="AW137" s="66">
        <v>48</v>
      </c>
      <c r="AX137" s="66">
        <v>25</v>
      </c>
      <c r="AY137" s="66">
        <v>31</v>
      </c>
      <c r="AZ137" s="66">
        <v>23</v>
      </c>
      <c r="BA137" s="66">
        <v>18</v>
      </c>
      <c r="BB137" s="66">
        <v>95</v>
      </c>
      <c r="BC137" s="66">
        <v>22</v>
      </c>
      <c r="BD137" s="66">
        <v>37</v>
      </c>
      <c r="BE137" s="66">
        <v>18</v>
      </c>
      <c r="BF137" s="66">
        <v>0</v>
      </c>
      <c r="BG137" s="66">
        <v>23</v>
      </c>
      <c r="BH137" s="66">
        <v>25</v>
      </c>
      <c r="BI137" s="66">
        <v>68</v>
      </c>
      <c r="BJ137" s="66">
        <v>72</v>
      </c>
      <c r="BK137" s="66">
        <v>26</v>
      </c>
      <c r="BL137" s="66">
        <v>97</v>
      </c>
      <c r="BM137" s="66">
        <v>107</v>
      </c>
      <c r="BN137" s="66">
        <v>21</v>
      </c>
      <c r="BO137" s="66">
        <v>137</v>
      </c>
      <c r="BP137" s="66">
        <v>18</v>
      </c>
      <c r="BQ137" s="66">
        <v>15</v>
      </c>
      <c r="BR137" s="66">
        <v>16</v>
      </c>
      <c r="BS137" s="66">
        <v>54</v>
      </c>
      <c r="BT137" s="66">
        <v>78</v>
      </c>
      <c r="BU137" s="66">
        <v>105</v>
      </c>
      <c r="BV137" s="66">
        <v>23</v>
      </c>
      <c r="BW137" s="66">
        <v>5</v>
      </c>
      <c r="BX137" s="66">
        <v>25</v>
      </c>
      <c r="BY137" s="66">
        <v>43</v>
      </c>
      <c r="BZ137" s="66">
        <v>13</v>
      </c>
      <c r="CA137" s="66">
        <v>18</v>
      </c>
      <c r="CB137" s="66">
        <v>32</v>
      </c>
      <c r="CC137" s="66">
        <v>19</v>
      </c>
      <c r="CD137" s="66">
        <v>36</v>
      </c>
      <c r="CE137" s="66">
        <v>2</v>
      </c>
      <c r="CF137" s="66">
        <v>91</v>
      </c>
      <c r="CG137" s="66">
        <v>14</v>
      </c>
      <c r="CH137" s="66">
        <v>38</v>
      </c>
      <c r="CI137" s="66">
        <v>67</v>
      </c>
      <c r="CJ137" s="66">
        <v>44</v>
      </c>
      <c r="CK137" s="66">
        <v>54</v>
      </c>
      <c r="CL137" s="66">
        <v>21</v>
      </c>
      <c r="CM137" s="66">
        <v>69</v>
      </c>
      <c r="CN137" s="66">
        <v>40</v>
      </c>
      <c r="CO137" s="66">
        <v>10</v>
      </c>
      <c r="CP137" s="66">
        <v>36</v>
      </c>
      <c r="CQ137" s="66">
        <v>9</v>
      </c>
      <c r="CR137" s="66">
        <v>32</v>
      </c>
      <c r="CS137" s="66">
        <v>116</v>
      </c>
      <c r="CT137" s="66">
        <v>10</v>
      </c>
      <c r="CU137" s="66">
        <v>20</v>
      </c>
      <c r="CV137" s="66">
        <v>29</v>
      </c>
      <c r="CW137" s="66">
        <v>4</v>
      </c>
      <c r="CX137" s="66">
        <v>16</v>
      </c>
      <c r="CY137" s="66">
        <v>27</v>
      </c>
      <c r="CZ137" s="66">
        <v>41</v>
      </c>
      <c r="DA137" s="66">
        <v>44</v>
      </c>
    </row>
    <row r="138" spans="1:105" ht="15" x14ac:dyDescent="0.35">
      <c r="A138" s="5" t="s">
        <v>379</v>
      </c>
      <c r="B138" s="5" t="s">
        <v>553</v>
      </c>
      <c r="C138" s="66">
        <v>0</v>
      </c>
      <c r="D138" s="66">
        <v>0</v>
      </c>
      <c r="E138" s="66">
        <v>0</v>
      </c>
      <c r="F138" s="66">
        <v>0</v>
      </c>
      <c r="G138" s="66">
        <v>0</v>
      </c>
      <c r="H138" s="66">
        <v>0</v>
      </c>
      <c r="I138" s="66">
        <v>0</v>
      </c>
      <c r="J138" s="66">
        <v>0</v>
      </c>
      <c r="K138" s="66">
        <v>0</v>
      </c>
      <c r="L138" s="66">
        <v>0</v>
      </c>
      <c r="M138" s="66">
        <v>0</v>
      </c>
      <c r="N138" s="66">
        <v>0</v>
      </c>
      <c r="O138" s="66">
        <v>0</v>
      </c>
      <c r="P138" s="66">
        <v>0</v>
      </c>
      <c r="Q138" s="66">
        <v>0</v>
      </c>
      <c r="R138" s="66">
        <v>0</v>
      </c>
      <c r="S138" s="66">
        <v>0</v>
      </c>
      <c r="T138" s="66">
        <v>0</v>
      </c>
      <c r="U138" s="66">
        <v>0</v>
      </c>
      <c r="V138" s="66">
        <v>0</v>
      </c>
      <c r="W138" s="66">
        <v>0</v>
      </c>
      <c r="X138" s="66">
        <v>0</v>
      </c>
      <c r="Y138" s="66">
        <v>0</v>
      </c>
      <c r="Z138" s="66">
        <v>0</v>
      </c>
      <c r="AA138" s="66">
        <v>0</v>
      </c>
      <c r="AB138" s="66">
        <v>0</v>
      </c>
      <c r="AC138" s="66">
        <v>0</v>
      </c>
      <c r="AD138" s="66">
        <v>0</v>
      </c>
      <c r="AE138" s="66">
        <v>0</v>
      </c>
      <c r="AF138" s="66">
        <v>0</v>
      </c>
      <c r="AG138" s="66">
        <v>0</v>
      </c>
      <c r="AH138" s="66">
        <v>0</v>
      </c>
      <c r="AI138" s="66">
        <v>74</v>
      </c>
      <c r="AJ138" s="66">
        <v>113</v>
      </c>
      <c r="AK138" s="66">
        <v>364</v>
      </c>
      <c r="AL138" s="66">
        <v>432</v>
      </c>
      <c r="AM138" s="66">
        <v>126</v>
      </c>
      <c r="AN138" s="66">
        <v>89</v>
      </c>
      <c r="AO138" s="66">
        <v>198</v>
      </c>
      <c r="AP138" s="66">
        <v>218</v>
      </c>
      <c r="AQ138" s="66">
        <v>114</v>
      </c>
      <c r="AR138" s="66">
        <v>329</v>
      </c>
      <c r="AS138" s="66">
        <v>95</v>
      </c>
      <c r="AT138" s="66">
        <v>64</v>
      </c>
      <c r="AU138" s="66">
        <v>280</v>
      </c>
      <c r="AV138" s="66">
        <v>73</v>
      </c>
      <c r="AW138" s="66">
        <v>30</v>
      </c>
      <c r="AX138" s="66">
        <v>192</v>
      </c>
      <c r="AY138" s="66">
        <v>68</v>
      </c>
      <c r="AZ138" s="66">
        <v>176</v>
      </c>
      <c r="BA138" s="66">
        <v>29</v>
      </c>
      <c r="BB138" s="66">
        <v>188</v>
      </c>
      <c r="BC138" s="66">
        <v>91</v>
      </c>
      <c r="BD138" s="66">
        <v>69</v>
      </c>
      <c r="BE138" s="66">
        <v>1</v>
      </c>
      <c r="BF138" s="66">
        <v>0</v>
      </c>
      <c r="BG138" s="66">
        <v>21</v>
      </c>
      <c r="BH138" s="66">
        <v>56</v>
      </c>
      <c r="BI138" s="66">
        <v>22</v>
      </c>
      <c r="BJ138" s="66">
        <v>64</v>
      </c>
      <c r="BK138" s="66">
        <v>73</v>
      </c>
      <c r="BL138" s="66">
        <v>144</v>
      </c>
      <c r="BM138" s="66">
        <v>259</v>
      </c>
      <c r="BN138" s="66">
        <v>94</v>
      </c>
      <c r="BO138" s="66">
        <v>152</v>
      </c>
      <c r="BP138" s="66">
        <v>96</v>
      </c>
      <c r="BQ138" s="66">
        <v>72</v>
      </c>
      <c r="BR138" s="66">
        <v>116</v>
      </c>
      <c r="BS138" s="66">
        <v>388</v>
      </c>
      <c r="BT138" s="66">
        <v>205</v>
      </c>
      <c r="BU138" s="66">
        <v>207</v>
      </c>
      <c r="BV138" s="66">
        <v>57</v>
      </c>
      <c r="BW138" s="66">
        <v>41</v>
      </c>
      <c r="BX138" s="66">
        <v>142</v>
      </c>
      <c r="BY138" s="66">
        <v>323</v>
      </c>
      <c r="BZ138" s="66">
        <v>148</v>
      </c>
      <c r="CA138" s="66">
        <v>83</v>
      </c>
      <c r="CB138" s="66">
        <v>47</v>
      </c>
      <c r="CC138" s="66">
        <v>59</v>
      </c>
      <c r="CD138" s="66">
        <v>174</v>
      </c>
      <c r="CE138" s="66">
        <v>90</v>
      </c>
      <c r="CF138" s="66">
        <v>44</v>
      </c>
      <c r="CG138" s="66">
        <v>209</v>
      </c>
      <c r="CH138" s="66">
        <v>101</v>
      </c>
      <c r="CI138" s="66">
        <v>263</v>
      </c>
      <c r="CJ138" s="66">
        <v>180</v>
      </c>
      <c r="CK138" s="66">
        <v>281</v>
      </c>
      <c r="CL138" s="66">
        <v>348</v>
      </c>
      <c r="CM138" s="66">
        <v>220</v>
      </c>
      <c r="CN138" s="66">
        <v>105</v>
      </c>
      <c r="CO138" s="66">
        <v>41</v>
      </c>
      <c r="CP138" s="66">
        <v>197</v>
      </c>
      <c r="CQ138" s="66">
        <v>144</v>
      </c>
      <c r="CR138" s="66">
        <v>194</v>
      </c>
      <c r="CS138" s="66">
        <v>86</v>
      </c>
      <c r="CT138" s="66">
        <v>95</v>
      </c>
      <c r="CU138" s="66">
        <v>46</v>
      </c>
      <c r="CV138" s="66">
        <v>93</v>
      </c>
      <c r="CW138" s="66">
        <v>77</v>
      </c>
      <c r="CX138" s="66">
        <v>66</v>
      </c>
      <c r="CY138" s="66">
        <v>54</v>
      </c>
      <c r="CZ138" s="66">
        <v>239</v>
      </c>
      <c r="DA138" s="66">
        <v>135</v>
      </c>
    </row>
    <row r="139" spans="1:105" ht="15" x14ac:dyDescent="0.35">
      <c r="A139" s="5" t="s">
        <v>380</v>
      </c>
      <c r="B139" s="5" t="s">
        <v>554</v>
      </c>
      <c r="C139" s="66">
        <v>4</v>
      </c>
      <c r="D139" s="66">
        <v>19</v>
      </c>
      <c r="E139" s="66">
        <v>2</v>
      </c>
      <c r="F139" s="66">
        <v>0</v>
      </c>
      <c r="G139" s="66">
        <v>65</v>
      </c>
      <c r="H139" s="66">
        <v>4</v>
      </c>
      <c r="I139" s="66">
        <v>13</v>
      </c>
      <c r="J139" s="66">
        <v>11</v>
      </c>
      <c r="K139" s="66">
        <v>7</v>
      </c>
      <c r="L139" s="66">
        <v>0</v>
      </c>
      <c r="M139" s="66">
        <v>103</v>
      </c>
      <c r="N139" s="66">
        <v>12</v>
      </c>
      <c r="O139" s="66">
        <v>12</v>
      </c>
      <c r="P139" s="66">
        <v>15</v>
      </c>
      <c r="Q139" s="66">
        <v>11</v>
      </c>
      <c r="R139" s="66">
        <v>0</v>
      </c>
      <c r="S139" s="66">
        <v>2</v>
      </c>
      <c r="T139" s="66">
        <v>0</v>
      </c>
      <c r="U139" s="66">
        <v>0</v>
      </c>
      <c r="V139" s="66">
        <v>0</v>
      </c>
      <c r="W139" s="66">
        <v>0</v>
      </c>
      <c r="X139" s="66">
        <v>0</v>
      </c>
      <c r="Y139" s="66">
        <v>0</v>
      </c>
      <c r="Z139" s="66">
        <v>0</v>
      </c>
      <c r="AA139" s="66">
        <v>0</v>
      </c>
      <c r="AB139" s="66">
        <v>0</v>
      </c>
      <c r="AC139" s="66">
        <v>0</v>
      </c>
      <c r="AD139" s="66">
        <v>0</v>
      </c>
      <c r="AE139" s="66">
        <v>0</v>
      </c>
      <c r="AF139" s="66">
        <v>0</v>
      </c>
      <c r="AG139" s="66">
        <v>0</v>
      </c>
      <c r="AH139" s="66">
        <v>0</v>
      </c>
      <c r="AI139" s="66">
        <v>0</v>
      </c>
      <c r="AJ139" s="66">
        <v>0</v>
      </c>
      <c r="AK139" s="66">
        <v>0</v>
      </c>
      <c r="AL139" s="66">
        <v>0</v>
      </c>
      <c r="AM139" s="66">
        <v>0</v>
      </c>
      <c r="AN139" s="66">
        <v>0</v>
      </c>
      <c r="AO139" s="66">
        <v>0</v>
      </c>
      <c r="AP139" s="66">
        <v>0</v>
      </c>
      <c r="AQ139" s="66">
        <v>0</v>
      </c>
      <c r="AR139" s="66">
        <v>6</v>
      </c>
      <c r="AS139" s="66">
        <v>41</v>
      </c>
      <c r="AT139" s="66">
        <v>24</v>
      </c>
      <c r="AU139" s="66">
        <v>30</v>
      </c>
      <c r="AV139" s="66">
        <v>22</v>
      </c>
      <c r="AW139" s="66">
        <v>7</v>
      </c>
      <c r="AX139" s="66">
        <v>18</v>
      </c>
      <c r="AY139" s="66">
        <v>5</v>
      </c>
      <c r="AZ139" s="66">
        <v>30</v>
      </c>
      <c r="BA139" s="66">
        <v>15</v>
      </c>
      <c r="BB139" s="66">
        <v>16</v>
      </c>
      <c r="BC139" s="66">
        <v>8</v>
      </c>
      <c r="BD139" s="66">
        <v>21</v>
      </c>
      <c r="BE139" s="66">
        <v>2</v>
      </c>
      <c r="BF139" s="66">
        <v>0</v>
      </c>
      <c r="BG139" s="66">
        <v>16</v>
      </c>
      <c r="BH139" s="66">
        <v>7</v>
      </c>
      <c r="BI139" s="66">
        <v>6</v>
      </c>
      <c r="BJ139" s="66">
        <v>16</v>
      </c>
      <c r="BK139" s="66">
        <v>9</v>
      </c>
      <c r="BL139" s="66">
        <v>19</v>
      </c>
      <c r="BM139" s="66">
        <v>29</v>
      </c>
      <c r="BN139" s="66">
        <v>20</v>
      </c>
      <c r="BO139" s="66">
        <v>16</v>
      </c>
      <c r="BP139" s="66">
        <v>16</v>
      </c>
      <c r="BQ139" s="66">
        <v>36</v>
      </c>
      <c r="BR139" s="66">
        <v>9</v>
      </c>
      <c r="BS139" s="66">
        <v>16</v>
      </c>
      <c r="BT139" s="66">
        <v>32</v>
      </c>
      <c r="BU139" s="66">
        <v>11</v>
      </c>
      <c r="BV139" s="66">
        <v>14</v>
      </c>
      <c r="BW139" s="66">
        <v>18</v>
      </c>
      <c r="BX139" s="66">
        <v>24</v>
      </c>
      <c r="BY139" s="66">
        <v>15</v>
      </c>
      <c r="BZ139" s="66">
        <v>25</v>
      </c>
      <c r="CA139" s="66">
        <v>17</v>
      </c>
      <c r="CB139" s="66">
        <v>16</v>
      </c>
      <c r="CC139" s="66">
        <v>19</v>
      </c>
      <c r="CD139" s="66">
        <v>12</v>
      </c>
      <c r="CE139" s="66">
        <v>22</v>
      </c>
      <c r="CF139" s="66">
        <v>46</v>
      </c>
      <c r="CG139" s="66">
        <v>14</v>
      </c>
      <c r="CH139" s="66">
        <v>45</v>
      </c>
      <c r="CI139" s="66">
        <v>37</v>
      </c>
      <c r="CJ139" s="66">
        <v>20</v>
      </c>
      <c r="CK139" s="66">
        <v>18</v>
      </c>
      <c r="CL139" s="66">
        <v>16</v>
      </c>
      <c r="CM139" s="66">
        <v>5</v>
      </c>
      <c r="CN139" s="66">
        <v>20</v>
      </c>
      <c r="CO139" s="66">
        <v>43</v>
      </c>
      <c r="CP139" s="66">
        <v>27</v>
      </c>
      <c r="CQ139" s="66">
        <v>39</v>
      </c>
      <c r="CR139" s="66">
        <v>79</v>
      </c>
      <c r="CS139" s="66">
        <v>139</v>
      </c>
      <c r="CT139" s="66">
        <v>54</v>
      </c>
      <c r="CU139" s="66">
        <v>44</v>
      </c>
      <c r="CV139" s="66">
        <v>24</v>
      </c>
      <c r="CW139" s="66">
        <v>43</v>
      </c>
      <c r="CX139" s="66">
        <v>26</v>
      </c>
      <c r="CY139" s="66">
        <v>18</v>
      </c>
      <c r="CZ139" s="66">
        <v>30</v>
      </c>
      <c r="DA139" s="66">
        <v>22</v>
      </c>
    </row>
    <row r="140" spans="1:105" ht="15" x14ac:dyDescent="0.35">
      <c r="A140" s="5" t="s">
        <v>381</v>
      </c>
      <c r="B140" s="5" t="s">
        <v>555</v>
      </c>
      <c r="C140" s="66">
        <v>802</v>
      </c>
      <c r="D140" s="66">
        <v>50</v>
      </c>
      <c r="E140" s="66">
        <v>1</v>
      </c>
      <c r="F140" s="66">
        <v>0</v>
      </c>
      <c r="G140" s="66">
        <v>595</v>
      </c>
      <c r="H140" s="66">
        <v>44</v>
      </c>
      <c r="I140" s="66">
        <v>34</v>
      </c>
      <c r="J140" s="66">
        <v>37</v>
      </c>
      <c r="K140" s="66">
        <v>30</v>
      </c>
      <c r="L140" s="66">
        <v>15</v>
      </c>
      <c r="M140" s="66">
        <v>31</v>
      </c>
      <c r="N140" s="66">
        <v>68</v>
      </c>
      <c r="O140" s="66">
        <v>79</v>
      </c>
      <c r="P140" s="66">
        <v>38</v>
      </c>
      <c r="Q140" s="66">
        <v>18</v>
      </c>
      <c r="R140" s="66">
        <v>25</v>
      </c>
      <c r="S140" s="66">
        <v>5</v>
      </c>
      <c r="T140" s="66">
        <v>29</v>
      </c>
      <c r="U140" s="66">
        <v>17</v>
      </c>
      <c r="V140" s="66">
        <v>10</v>
      </c>
      <c r="W140" s="66">
        <v>62</v>
      </c>
      <c r="X140" s="66">
        <v>26</v>
      </c>
      <c r="Y140" s="66">
        <v>26</v>
      </c>
      <c r="Z140" s="66">
        <v>21</v>
      </c>
      <c r="AA140" s="66">
        <v>14</v>
      </c>
      <c r="AB140" s="66">
        <v>10</v>
      </c>
      <c r="AC140" s="66">
        <v>43</v>
      </c>
      <c r="AD140" s="66">
        <v>2</v>
      </c>
      <c r="AE140" s="66">
        <v>26</v>
      </c>
      <c r="AF140" s="66">
        <v>20</v>
      </c>
      <c r="AG140" s="66">
        <v>9</v>
      </c>
      <c r="AH140" s="66">
        <v>16</v>
      </c>
      <c r="AI140" s="66">
        <v>34</v>
      </c>
      <c r="AJ140" s="66">
        <v>102</v>
      </c>
      <c r="AK140" s="66">
        <v>19</v>
      </c>
      <c r="AL140" s="66">
        <v>38</v>
      </c>
      <c r="AM140" s="66">
        <v>40</v>
      </c>
      <c r="AN140" s="66">
        <v>56</v>
      </c>
      <c r="AO140" s="66">
        <v>22</v>
      </c>
      <c r="AP140" s="66">
        <v>7</v>
      </c>
      <c r="AQ140" s="66">
        <v>37</v>
      </c>
      <c r="AR140" s="66">
        <v>62</v>
      </c>
      <c r="AS140" s="66">
        <v>67</v>
      </c>
      <c r="AT140" s="66">
        <v>23</v>
      </c>
      <c r="AU140" s="66">
        <v>77</v>
      </c>
      <c r="AV140" s="66">
        <v>322</v>
      </c>
      <c r="AW140" s="66">
        <v>136</v>
      </c>
      <c r="AX140" s="66">
        <v>42</v>
      </c>
      <c r="AY140" s="66">
        <v>54</v>
      </c>
      <c r="AZ140" s="66">
        <v>85</v>
      </c>
      <c r="BA140" s="66">
        <v>51</v>
      </c>
      <c r="BB140" s="66">
        <v>41</v>
      </c>
      <c r="BC140" s="66">
        <v>27</v>
      </c>
      <c r="BD140" s="66">
        <v>32</v>
      </c>
      <c r="BE140" s="66">
        <v>8</v>
      </c>
      <c r="BF140" s="66">
        <v>0</v>
      </c>
      <c r="BG140" s="66">
        <v>21</v>
      </c>
      <c r="BH140" s="66">
        <v>35</v>
      </c>
      <c r="BI140" s="66">
        <v>9</v>
      </c>
      <c r="BJ140" s="66">
        <v>17</v>
      </c>
      <c r="BK140" s="66">
        <v>158</v>
      </c>
      <c r="BL140" s="66">
        <v>5</v>
      </c>
      <c r="BM140" s="66">
        <v>10</v>
      </c>
      <c r="BN140" s="66">
        <v>32</v>
      </c>
      <c r="BO140" s="66">
        <v>117</v>
      </c>
      <c r="BP140" s="66">
        <v>13</v>
      </c>
      <c r="BQ140" s="66">
        <v>11</v>
      </c>
      <c r="BR140" s="66">
        <v>13</v>
      </c>
      <c r="BS140" s="66">
        <v>11</v>
      </c>
      <c r="BT140" s="66">
        <v>7</v>
      </c>
      <c r="BU140" s="66">
        <v>8</v>
      </c>
      <c r="BV140" s="66">
        <v>15</v>
      </c>
      <c r="BW140" s="66">
        <v>10</v>
      </c>
      <c r="BX140" s="66">
        <v>66</v>
      </c>
      <c r="BY140" s="66">
        <v>67</v>
      </c>
      <c r="BZ140" s="66">
        <v>18</v>
      </c>
      <c r="CA140" s="66">
        <v>4</v>
      </c>
      <c r="CB140" s="66">
        <v>13</v>
      </c>
      <c r="CC140" s="66">
        <v>2</v>
      </c>
      <c r="CD140" s="66">
        <v>17</v>
      </c>
      <c r="CE140" s="66">
        <v>10</v>
      </c>
      <c r="CF140" s="66">
        <v>9</v>
      </c>
      <c r="CG140" s="66">
        <v>30</v>
      </c>
      <c r="CH140" s="66">
        <v>71</v>
      </c>
      <c r="CI140" s="66">
        <v>129</v>
      </c>
      <c r="CJ140" s="66">
        <v>16</v>
      </c>
      <c r="CK140" s="66">
        <v>11</v>
      </c>
      <c r="CL140" s="66">
        <v>8</v>
      </c>
      <c r="CM140" s="66">
        <v>27</v>
      </c>
      <c r="CN140" s="66">
        <v>27</v>
      </c>
      <c r="CO140" s="66">
        <v>33</v>
      </c>
      <c r="CP140" s="66">
        <v>27</v>
      </c>
      <c r="CQ140" s="66">
        <v>51</v>
      </c>
      <c r="CR140" s="66">
        <v>46</v>
      </c>
      <c r="CS140" s="66">
        <v>28</v>
      </c>
      <c r="CT140" s="66">
        <v>162</v>
      </c>
      <c r="CU140" s="66">
        <v>46</v>
      </c>
      <c r="CV140" s="66">
        <v>121</v>
      </c>
      <c r="CW140" s="66">
        <v>81</v>
      </c>
      <c r="CX140" s="66">
        <v>66</v>
      </c>
      <c r="CY140" s="66">
        <v>33</v>
      </c>
      <c r="CZ140" s="66">
        <v>22</v>
      </c>
      <c r="DA140" s="66">
        <v>36</v>
      </c>
    </row>
    <row r="141" spans="1:105" ht="15" x14ac:dyDescent="0.35">
      <c r="A141" s="5" t="s">
        <v>382</v>
      </c>
      <c r="B141" s="5" t="s">
        <v>556</v>
      </c>
      <c r="C141" s="66">
        <v>1</v>
      </c>
      <c r="D141" s="66">
        <v>82</v>
      </c>
      <c r="E141" s="66">
        <v>0</v>
      </c>
      <c r="F141" s="66">
        <v>0</v>
      </c>
      <c r="G141" s="66">
        <v>6</v>
      </c>
      <c r="H141" s="66">
        <v>61</v>
      </c>
      <c r="I141" s="66">
        <v>2</v>
      </c>
      <c r="J141" s="66">
        <v>35</v>
      </c>
      <c r="K141" s="66">
        <v>25</v>
      </c>
      <c r="L141" s="66">
        <v>22</v>
      </c>
      <c r="M141" s="66">
        <v>13</v>
      </c>
      <c r="N141" s="66">
        <v>84</v>
      </c>
      <c r="O141" s="66">
        <v>102</v>
      </c>
      <c r="P141" s="66">
        <v>1</v>
      </c>
      <c r="Q141" s="66">
        <v>25</v>
      </c>
      <c r="R141" s="66">
        <v>61</v>
      </c>
      <c r="S141" s="66">
        <v>128</v>
      </c>
      <c r="T141" s="66">
        <v>54</v>
      </c>
      <c r="U141" s="66">
        <v>0</v>
      </c>
      <c r="V141" s="66">
        <v>72</v>
      </c>
      <c r="W141" s="66">
        <v>20</v>
      </c>
      <c r="X141" s="66">
        <v>80</v>
      </c>
      <c r="Y141" s="66">
        <v>18</v>
      </c>
      <c r="Z141" s="66">
        <v>49</v>
      </c>
      <c r="AA141" s="66">
        <v>52</v>
      </c>
      <c r="AB141" s="66">
        <v>8</v>
      </c>
      <c r="AC141" s="66">
        <v>105</v>
      </c>
      <c r="AD141" s="66">
        <v>57</v>
      </c>
      <c r="AE141" s="66">
        <v>14</v>
      </c>
      <c r="AF141" s="66">
        <v>61</v>
      </c>
      <c r="AG141" s="66">
        <v>149</v>
      </c>
      <c r="AH141" s="66">
        <v>48</v>
      </c>
      <c r="AI141" s="66">
        <v>6</v>
      </c>
      <c r="AJ141" s="66">
        <v>60</v>
      </c>
      <c r="AK141" s="66">
        <v>48</v>
      </c>
      <c r="AL141" s="66">
        <v>54</v>
      </c>
      <c r="AM141" s="66">
        <v>1</v>
      </c>
      <c r="AN141" s="66">
        <v>25</v>
      </c>
      <c r="AO141" s="66">
        <v>12</v>
      </c>
      <c r="AP141" s="66">
        <v>49</v>
      </c>
      <c r="AQ141" s="66">
        <v>12</v>
      </c>
      <c r="AR141" s="66">
        <v>155</v>
      </c>
      <c r="AS141" s="66">
        <v>66</v>
      </c>
      <c r="AT141" s="66">
        <v>205</v>
      </c>
      <c r="AU141" s="66">
        <v>32</v>
      </c>
      <c r="AV141" s="66">
        <v>99</v>
      </c>
      <c r="AW141" s="66">
        <v>2</v>
      </c>
      <c r="AX141" s="66">
        <v>20</v>
      </c>
      <c r="AY141" s="66">
        <v>402</v>
      </c>
      <c r="AZ141" s="66">
        <v>52</v>
      </c>
      <c r="BA141" s="66">
        <v>46</v>
      </c>
      <c r="BB141" s="66">
        <v>268</v>
      </c>
      <c r="BC141" s="66">
        <v>94</v>
      </c>
      <c r="BD141" s="66">
        <v>76</v>
      </c>
      <c r="BE141" s="66">
        <v>78</v>
      </c>
      <c r="BF141" s="66">
        <v>0</v>
      </c>
      <c r="BG141" s="66">
        <v>60</v>
      </c>
      <c r="BH141" s="66">
        <v>82</v>
      </c>
      <c r="BI141" s="66">
        <v>29</v>
      </c>
      <c r="BJ141" s="66">
        <v>27</v>
      </c>
      <c r="BK141" s="66">
        <v>144</v>
      </c>
      <c r="BL141" s="66">
        <v>62</v>
      </c>
      <c r="BM141" s="66">
        <v>120</v>
      </c>
      <c r="BN141" s="66">
        <v>134</v>
      </c>
      <c r="BO141" s="66">
        <v>8</v>
      </c>
      <c r="BP141" s="66">
        <v>14</v>
      </c>
      <c r="BQ141" s="66">
        <v>83</v>
      </c>
      <c r="BR141" s="66">
        <v>73</v>
      </c>
      <c r="BS141" s="66">
        <v>90</v>
      </c>
      <c r="BT141" s="66">
        <v>0</v>
      </c>
      <c r="BU141" s="66">
        <v>81</v>
      </c>
      <c r="BV141" s="66">
        <v>89</v>
      </c>
      <c r="BW141" s="66">
        <v>66</v>
      </c>
      <c r="BX141" s="66">
        <v>97</v>
      </c>
      <c r="BY141" s="66">
        <v>120</v>
      </c>
      <c r="BZ141" s="66">
        <v>35</v>
      </c>
      <c r="CA141" s="66">
        <v>38</v>
      </c>
      <c r="CB141" s="66">
        <v>151</v>
      </c>
      <c r="CC141" s="66">
        <v>81</v>
      </c>
      <c r="CD141" s="66">
        <v>105</v>
      </c>
      <c r="CE141" s="66">
        <v>73</v>
      </c>
      <c r="CF141" s="66">
        <v>82</v>
      </c>
      <c r="CG141" s="66">
        <v>33</v>
      </c>
      <c r="CH141" s="66">
        <v>15</v>
      </c>
      <c r="CI141" s="66">
        <v>99</v>
      </c>
      <c r="CJ141" s="66">
        <v>22</v>
      </c>
      <c r="CK141" s="66">
        <v>12</v>
      </c>
      <c r="CL141" s="66">
        <v>60</v>
      </c>
      <c r="CM141" s="66">
        <v>109</v>
      </c>
      <c r="CN141" s="66">
        <v>20</v>
      </c>
      <c r="CO141" s="66">
        <v>96</v>
      </c>
      <c r="CP141" s="66">
        <v>78</v>
      </c>
      <c r="CQ141" s="66">
        <v>44</v>
      </c>
      <c r="CR141" s="66">
        <v>123</v>
      </c>
      <c r="CS141" s="66">
        <v>105</v>
      </c>
      <c r="CT141" s="66">
        <v>35</v>
      </c>
      <c r="CU141" s="66">
        <v>145</v>
      </c>
      <c r="CV141" s="66">
        <v>50</v>
      </c>
      <c r="CW141" s="66">
        <v>162</v>
      </c>
      <c r="CX141" s="66">
        <v>78</v>
      </c>
      <c r="CY141" s="66">
        <v>187</v>
      </c>
      <c r="CZ141" s="66">
        <v>230</v>
      </c>
      <c r="DA141" s="66">
        <v>42</v>
      </c>
    </row>
    <row r="142" spans="1:105" ht="15" x14ac:dyDescent="0.35">
      <c r="A142" s="5" t="s">
        <v>383</v>
      </c>
      <c r="B142" s="5" t="s">
        <v>557</v>
      </c>
      <c r="C142" s="66">
        <v>9</v>
      </c>
      <c r="D142" s="66">
        <v>13</v>
      </c>
      <c r="E142" s="66">
        <v>0</v>
      </c>
      <c r="F142" s="66">
        <v>0</v>
      </c>
      <c r="G142" s="66">
        <v>31</v>
      </c>
      <c r="H142" s="66">
        <v>28</v>
      </c>
      <c r="I142" s="66">
        <v>10</v>
      </c>
      <c r="J142" s="66">
        <v>0</v>
      </c>
      <c r="K142" s="66">
        <v>0</v>
      </c>
      <c r="L142" s="66">
        <v>0</v>
      </c>
      <c r="M142" s="66">
        <v>0</v>
      </c>
      <c r="N142" s="66">
        <v>0</v>
      </c>
      <c r="O142" s="66">
        <v>1</v>
      </c>
      <c r="P142" s="66">
        <v>2</v>
      </c>
      <c r="Q142" s="66">
        <v>1</v>
      </c>
      <c r="R142" s="66">
        <v>1</v>
      </c>
      <c r="S142" s="66">
        <v>0</v>
      </c>
      <c r="T142" s="66">
        <v>0</v>
      </c>
      <c r="U142" s="66">
        <v>0</v>
      </c>
      <c r="V142" s="66">
        <v>152</v>
      </c>
      <c r="W142" s="66">
        <v>88</v>
      </c>
      <c r="X142" s="66">
        <v>15</v>
      </c>
      <c r="Y142" s="66">
        <v>76</v>
      </c>
      <c r="Z142" s="66">
        <v>28</v>
      </c>
      <c r="AA142" s="66">
        <v>24</v>
      </c>
      <c r="AB142" s="66">
        <v>5</v>
      </c>
      <c r="AC142" s="66">
        <v>0</v>
      </c>
      <c r="AD142" s="66">
        <v>0</v>
      </c>
      <c r="AE142" s="66">
        <v>0</v>
      </c>
      <c r="AF142" s="66">
        <v>0</v>
      </c>
      <c r="AG142" s="66">
        <v>0</v>
      </c>
      <c r="AH142" s="66">
        <v>0</v>
      </c>
      <c r="AI142" s="66">
        <v>0</v>
      </c>
      <c r="AJ142" s="66">
        <v>0</v>
      </c>
      <c r="AK142" s="66">
        <v>0</v>
      </c>
      <c r="AL142" s="66">
        <v>0</v>
      </c>
      <c r="AM142" s="66">
        <v>0</v>
      </c>
      <c r="AN142" s="66">
        <v>0</v>
      </c>
      <c r="AO142" s="66">
        <v>0</v>
      </c>
      <c r="AP142" s="66">
        <v>0</v>
      </c>
      <c r="AQ142" s="66">
        <v>0</v>
      </c>
      <c r="AR142" s="66">
        <v>28</v>
      </c>
      <c r="AS142" s="66">
        <v>74</v>
      </c>
      <c r="AT142" s="66">
        <v>30</v>
      </c>
      <c r="AU142" s="66">
        <v>12</v>
      </c>
      <c r="AV142" s="66">
        <v>18</v>
      </c>
      <c r="AW142" s="66">
        <v>2</v>
      </c>
      <c r="AX142" s="66">
        <v>12</v>
      </c>
      <c r="AY142" s="66">
        <v>41</v>
      </c>
      <c r="AZ142" s="66">
        <v>11</v>
      </c>
      <c r="BA142" s="66">
        <v>31</v>
      </c>
      <c r="BB142" s="66">
        <v>10</v>
      </c>
      <c r="BC142" s="66">
        <v>12</v>
      </c>
      <c r="BD142" s="66">
        <v>19</v>
      </c>
      <c r="BE142" s="66">
        <v>0</v>
      </c>
      <c r="BF142" s="66">
        <v>0</v>
      </c>
      <c r="BG142" s="66">
        <v>31</v>
      </c>
      <c r="BH142" s="66">
        <v>20</v>
      </c>
      <c r="BI142" s="66">
        <v>40</v>
      </c>
      <c r="BJ142" s="66">
        <v>0</v>
      </c>
      <c r="BK142" s="66">
        <v>20</v>
      </c>
      <c r="BL142" s="66">
        <v>6</v>
      </c>
      <c r="BM142" s="66">
        <v>18</v>
      </c>
      <c r="BN142" s="66">
        <v>34</v>
      </c>
      <c r="BO142" s="66">
        <v>15</v>
      </c>
      <c r="BP142" s="66">
        <v>21</v>
      </c>
      <c r="BQ142" s="66">
        <v>41</v>
      </c>
      <c r="BR142" s="66">
        <v>38</v>
      </c>
      <c r="BS142" s="66">
        <v>37</v>
      </c>
      <c r="BT142" s="66">
        <v>15</v>
      </c>
      <c r="BU142" s="66">
        <v>29</v>
      </c>
      <c r="BV142" s="66">
        <v>30</v>
      </c>
      <c r="BW142" s="66">
        <v>6</v>
      </c>
      <c r="BX142" s="66">
        <v>18</v>
      </c>
      <c r="BY142" s="66">
        <v>13</v>
      </c>
      <c r="BZ142" s="66">
        <v>24</v>
      </c>
      <c r="CA142" s="66">
        <v>9</v>
      </c>
      <c r="CB142" s="66">
        <v>26</v>
      </c>
      <c r="CC142" s="66">
        <v>3</v>
      </c>
      <c r="CD142" s="66">
        <v>14</v>
      </c>
      <c r="CE142" s="66">
        <v>44</v>
      </c>
      <c r="CF142" s="66">
        <v>1</v>
      </c>
      <c r="CG142" s="66">
        <v>0</v>
      </c>
      <c r="CH142" s="66">
        <v>14</v>
      </c>
      <c r="CI142" s="66">
        <v>30</v>
      </c>
      <c r="CJ142" s="66">
        <v>34</v>
      </c>
      <c r="CK142" s="66">
        <v>2</v>
      </c>
      <c r="CL142" s="66">
        <v>24</v>
      </c>
      <c r="CM142" s="66">
        <v>10</v>
      </c>
      <c r="CN142" s="66">
        <v>18</v>
      </c>
      <c r="CO142" s="66">
        <v>2</v>
      </c>
      <c r="CP142" s="66">
        <v>3</v>
      </c>
      <c r="CQ142" s="66">
        <v>19</v>
      </c>
      <c r="CR142" s="66">
        <v>24</v>
      </c>
      <c r="CS142" s="66">
        <v>12</v>
      </c>
      <c r="CT142" s="66">
        <v>31</v>
      </c>
      <c r="CU142" s="66">
        <v>18</v>
      </c>
      <c r="CV142" s="66">
        <v>8</v>
      </c>
      <c r="CW142" s="66">
        <v>5</v>
      </c>
      <c r="CX142" s="66">
        <v>16</v>
      </c>
      <c r="CY142" s="66">
        <v>28</v>
      </c>
      <c r="CZ142" s="66">
        <v>32</v>
      </c>
      <c r="DA142" s="66">
        <v>6</v>
      </c>
    </row>
    <row r="143" spans="1:105" ht="15" x14ac:dyDescent="0.35">
      <c r="A143" s="5" t="s">
        <v>384</v>
      </c>
      <c r="B143" s="5" t="s">
        <v>558</v>
      </c>
      <c r="C143" s="66">
        <v>0</v>
      </c>
      <c r="D143" s="66">
        <v>0</v>
      </c>
      <c r="E143" s="66">
        <v>0</v>
      </c>
      <c r="F143" s="66">
        <v>0</v>
      </c>
      <c r="G143" s="66">
        <v>0</v>
      </c>
      <c r="H143" s="66">
        <v>0</v>
      </c>
      <c r="I143" s="66">
        <v>0</v>
      </c>
      <c r="J143" s="66">
        <v>0</v>
      </c>
      <c r="K143" s="66">
        <v>0</v>
      </c>
      <c r="L143" s="66">
        <v>0</v>
      </c>
      <c r="M143" s="66">
        <v>0</v>
      </c>
      <c r="N143" s="66">
        <v>0</v>
      </c>
      <c r="O143" s="66">
        <v>0</v>
      </c>
      <c r="P143" s="66">
        <v>0</v>
      </c>
      <c r="Q143" s="66">
        <v>0</v>
      </c>
      <c r="R143" s="66">
        <v>0</v>
      </c>
      <c r="S143" s="66">
        <v>0</v>
      </c>
      <c r="T143" s="66">
        <v>5</v>
      </c>
      <c r="U143" s="66">
        <v>103</v>
      </c>
      <c r="V143" s="66">
        <v>63</v>
      </c>
      <c r="W143" s="66">
        <v>70</v>
      </c>
      <c r="X143" s="66">
        <v>54</v>
      </c>
      <c r="Y143" s="66">
        <v>27</v>
      </c>
      <c r="Z143" s="66">
        <v>238</v>
      </c>
      <c r="AA143" s="66">
        <v>45</v>
      </c>
      <c r="AB143" s="66">
        <v>28</v>
      </c>
      <c r="AC143" s="66">
        <v>50</v>
      </c>
      <c r="AD143" s="66">
        <v>27</v>
      </c>
      <c r="AE143" s="66">
        <v>30</v>
      </c>
      <c r="AF143" s="66">
        <v>38</v>
      </c>
      <c r="AG143" s="66">
        <v>49</v>
      </c>
      <c r="AH143" s="66">
        <v>26</v>
      </c>
      <c r="AI143" s="66">
        <v>37</v>
      </c>
      <c r="AJ143" s="66">
        <v>17</v>
      </c>
      <c r="AK143" s="66">
        <v>27</v>
      </c>
      <c r="AL143" s="66">
        <v>10</v>
      </c>
      <c r="AM143" s="66">
        <v>8</v>
      </c>
      <c r="AN143" s="66">
        <v>3</v>
      </c>
      <c r="AO143" s="66">
        <v>2</v>
      </c>
      <c r="AP143" s="66">
        <v>2</v>
      </c>
      <c r="AQ143" s="66">
        <v>6</v>
      </c>
      <c r="AR143" s="66">
        <v>7</v>
      </c>
      <c r="AS143" s="66">
        <v>7</v>
      </c>
      <c r="AT143" s="66">
        <v>5</v>
      </c>
      <c r="AU143" s="66">
        <v>1</v>
      </c>
      <c r="AV143" s="66">
        <v>2</v>
      </c>
      <c r="AW143" s="66">
        <v>14</v>
      </c>
      <c r="AX143" s="66">
        <v>1</v>
      </c>
      <c r="AY143" s="66">
        <v>21</v>
      </c>
      <c r="AZ143" s="66">
        <v>7</v>
      </c>
      <c r="BA143" s="66">
        <v>8</v>
      </c>
      <c r="BB143" s="66">
        <v>4</v>
      </c>
      <c r="BC143" s="66">
        <v>16</v>
      </c>
      <c r="BD143" s="66">
        <v>3</v>
      </c>
      <c r="BE143" s="66">
        <v>5</v>
      </c>
      <c r="BF143" s="66">
        <v>0</v>
      </c>
      <c r="BG143" s="66">
        <v>2</v>
      </c>
      <c r="BH143" s="66">
        <v>8</v>
      </c>
      <c r="BI143" s="66">
        <v>0</v>
      </c>
      <c r="BJ143" s="66">
        <v>13</v>
      </c>
      <c r="BK143" s="66">
        <v>7</v>
      </c>
      <c r="BL143" s="66">
        <v>0</v>
      </c>
      <c r="BM143" s="66">
        <v>29</v>
      </c>
      <c r="BN143" s="66">
        <v>26</v>
      </c>
      <c r="BO143" s="66">
        <v>19</v>
      </c>
      <c r="BP143" s="66">
        <v>25</v>
      </c>
      <c r="BQ143" s="66">
        <v>9</v>
      </c>
      <c r="BR143" s="66">
        <v>5</v>
      </c>
      <c r="BS143" s="66">
        <v>14</v>
      </c>
      <c r="BT143" s="66">
        <v>12</v>
      </c>
      <c r="BU143" s="66">
        <v>42</v>
      </c>
      <c r="BV143" s="66">
        <v>27</v>
      </c>
      <c r="BW143" s="66">
        <v>2</v>
      </c>
      <c r="BX143" s="66">
        <v>29</v>
      </c>
      <c r="BY143" s="66">
        <v>7</v>
      </c>
      <c r="BZ143" s="66">
        <v>22</v>
      </c>
      <c r="CA143" s="66">
        <v>20</v>
      </c>
      <c r="CB143" s="66">
        <v>26</v>
      </c>
      <c r="CC143" s="66">
        <v>15</v>
      </c>
      <c r="CD143" s="66">
        <v>25</v>
      </c>
      <c r="CE143" s="66">
        <v>26</v>
      </c>
      <c r="CF143" s="66">
        <v>20</v>
      </c>
      <c r="CG143" s="66">
        <v>19</v>
      </c>
      <c r="CH143" s="66">
        <v>37</v>
      </c>
      <c r="CI143" s="66">
        <v>38</v>
      </c>
      <c r="CJ143" s="66">
        <v>16</v>
      </c>
      <c r="CK143" s="66">
        <v>39</v>
      </c>
      <c r="CL143" s="66">
        <v>24</v>
      </c>
      <c r="CM143" s="66">
        <v>3</v>
      </c>
      <c r="CN143" s="66">
        <v>9</v>
      </c>
      <c r="CO143" s="66">
        <v>3</v>
      </c>
      <c r="CP143" s="66">
        <v>14</v>
      </c>
      <c r="CQ143" s="66">
        <v>4</v>
      </c>
      <c r="CR143" s="66">
        <v>3</v>
      </c>
      <c r="CS143" s="66">
        <v>3</v>
      </c>
      <c r="CT143" s="66">
        <v>0</v>
      </c>
      <c r="CU143" s="66">
        <v>5</v>
      </c>
      <c r="CV143" s="66">
        <v>8</v>
      </c>
      <c r="CW143" s="66">
        <v>15</v>
      </c>
      <c r="CX143" s="66">
        <v>18</v>
      </c>
      <c r="CY143" s="66">
        <v>16</v>
      </c>
      <c r="CZ143" s="66">
        <v>3</v>
      </c>
      <c r="DA143" s="66">
        <v>9</v>
      </c>
    </row>
    <row r="144" spans="1:105" ht="15" x14ac:dyDescent="0.35">
      <c r="A144" s="5" t="s">
        <v>385</v>
      </c>
      <c r="B144" s="5" t="s">
        <v>559</v>
      </c>
      <c r="C144" s="66">
        <v>85</v>
      </c>
      <c r="D144" s="66">
        <v>133</v>
      </c>
      <c r="E144" s="66">
        <v>5</v>
      </c>
      <c r="F144" s="66">
        <v>0</v>
      </c>
      <c r="G144" s="66">
        <v>66</v>
      </c>
      <c r="H144" s="66">
        <v>182</v>
      </c>
      <c r="I144" s="66">
        <v>244</v>
      </c>
      <c r="J144" s="66">
        <v>254</v>
      </c>
      <c r="K144" s="66">
        <v>99</v>
      </c>
      <c r="L144" s="66">
        <v>69</v>
      </c>
      <c r="M144" s="66">
        <v>418</v>
      </c>
      <c r="N144" s="66">
        <v>115</v>
      </c>
      <c r="O144" s="66">
        <v>107</v>
      </c>
      <c r="P144" s="66">
        <v>104</v>
      </c>
      <c r="Q144" s="66">
        <v>228</v>
      </c>
      <c r="R144" s="66">
        <v>82</v>
      </c>
      <c r="S144" s="66">
        <v>235</v>
      </c>
      <c r="T144" s="66">
        <v>214</v>
      </c>
      <c r="U144" s="66">
        <v>98</v>
      </c>
      <c r="V144" s="66">
        <v>178</v>
      </c>
      <c r="W144" s="66">
        <v>280</v>
      </c>
      <c r="X144" s="66">
        <v>360</v>
      </c>
      <c r="Y144" s="66">
        <v>149</v>
      </c>
      <c r="Z144" s="66">
        <v>141</v>
      </c>
      <c r="AA144" s="66">
        <v>178</v>
      </c>
      <c r="AB144" s="66">
        <v>156</v>
      </c>
      <c r="AC144" s="66">
        <v>391</v>
      </c>
      <c r="AD144" s="66">
        <v>290</v>
      </c>
      <c r="AE144" s="66">
        <v>162</v>
      </c>
      <c r="AF144" s="66">
        <v>380</v>
      </c>
      <c r="AG144" s="66">
        <v>95</v>
      </c>
      <c r="AH144" s="66">
        <v>344</v>
      </c>
      <c r="AI144" s="66">
        <v>142</v>
      </c>
      <c r="AJ144" s="66">
        <v>89</v>
      </c>
      <c r="AK144" s="66">
        <v>147</v>
      </c>
      <c r="AL144" s="66">
        <v>729</v>
      </c>
      <c r="AM144" s="66">
        <v>123</v>
      </c>
      <c r="AN144" s="66">
        <v>45</v>
      </c>
      <c r="AO144" s="66">
        <v>288</v>
      </c>
      <c r="AP144" s="66">
        <v>227</v>
      </c>
      <c r="AQ144" s="66">
        <v>151</v>
      </c>
      <c r="AR144" s="66">
        <v>132</v>
      </c>
      <c r="AS144" s="66">
        <v>231</v>
      </c>
      <c r="AT144" s="66">
        <v>162</v>
      </c>
      <c r="AU144" s="66">
        <v>219</v>
      </c>
      <c r="AV144" s="66">
        <v>109</v>
      </c>
      <c r="AW144" s="66">
        <v>188</v>
      </c>
      <c r="AX144" s="66">
        <v>113</v>
      </c>
      <c r="AY144" s="66">
        <v>239</v>
      </c>
      <c r="AZ144" s="66">
        <v>232</v>
      </c>
      <c r="BA144" s="66">
        <v>122</v>
      </c>
      <c r="BB144" s="66">
        <v>185</v>
      </c>
      <c r="BC144" s="66">
        <v>162</v>
      </c>
      <c r="BD144" s="66">
        <v>221</v>
      </c>
      <c r="BE144" s="66">
        <v>123</v>
      </c>
      <c r="BF144" s="66">
        <v>0</v>
      </c>
      <c r="BG144" s="66">
        <v>86</v>
      </c>
      <c r="BH144" s="66">
        <v>240</v>
      </c>
      <c r="BI144" s="66">
        <v>195</v>
      </c>
      <c r="BJ144" s="66">
        <v>35</v>
      </c>
      <c r="BK144" s="66">
        <v>104</v>
      </c>
      <c r="BL144" s="66">
        <v>72</v>
      </c>
      <c r="BM144" s="66">
        <v>234</v>
      </c>
      <c r="BN144" s="66">
        <v>183</v>
      </c>
      <c r="BO144" s="66">
        <v>109</v>
      </c>
      <c r="BP144" s="66">
        <v>229</v>
      </c>
      <c r="BQ144" s="66">
        <v>217</v>
      </c>
      <c r="BR144" s="66">
        <v>282</v>
      </c>
      <c r="BS144" s="66">
        <v>227</v>
      </c>
      <c r="BT144" s="66">
        <v>109</v>
      </c>
      <c r="BU144" s="66">
        <v>87</v>
      </c>
      <c r="BV144" s="66">
        <v>189</v>
      </c>
      <c r="BW144" s="66">
        <v>71</v>
      </c>
      <c r="BX144" s="66">
        <v>77</v>
      </c>
      <c r="BY144" s="66">
        <v>304</v>
      </c>
      <c r="BZ144" s="66">
        <v>89</v>
      </c>
      <c r="CA144" s="66">
        <v>164</v>
      </c>
      <c r="CB144" s="66">
        <v>17</v>
      </c>
      <c r="CC144" s="66">
        <v>259</v>
      </c>
      <c r="CD144" s="66">
        <v>279</v>
      </c>
      <c r="CE144" s="66">
        <v>231</v>
      </c>
      <c r="CF144" s="66">
        <v>185</v>
      </c>
      <c r="CG144" s="66">
        <v>160</v>
      </c>
      <c r="CH144" s="66">
        <v>57</v>
      </c>
      <c r="CI144" s="66">
        <v>166</v>
      </c>
      <c r="CJ144" s="66">
        <v>216</v>
      </c>
      <c r="CK144" s="66">
        <v>166</v>
      </c>
      <c r="CL144" s="66">
        <v>472</v>
      </c>
      <c r="CM144" s="66">
        <v>118</v>
      </c>
      <c r="CN144" s="66">
        <v>262</v>
      </c>
      <c r="CO144" s="66">
        <v>83</v>
      </c>
      <c r="CP144" s="66">
        <v>153</v>
      </c>
      <c r="CQ144" s="66">
        <v>199</v>
      </c>
      <c r="CR144" s="66">
        <v>195</v>
      </c>
      <c r="CS144" s="66">
        <v>122</v>
      </c>
      <c r="CT144" s="66">
        <v>119</v>
      </c>
      <c r="CU144" s="66">
        <v>137</v>
      </c>
      <c r="CV144" s="66">
        <v>114</v>
      </c>
      <c r="CW144" s="66">
        <v>127</v>
      </c>
      <c r="CX144" s="66">
        <v>228</v>
      </c>
      <c r="CY144" s="66">
        <v>364</v>
      </c>
      <c r="CZ144" s="66">
        <v>217</v>
      </c>
      <c r="DA144" s="66">
        <v>490</v>
      </c>
    </row>
    <row r="145" spans="1:105" ht="15" x14ac:dyDescent="0.35">
      <c r="A145" s="5" t="s">
        <v>386</v>
      </c>
      <c r="B145" s="5" t="s">
        <v>560</v>
      </c>
      <c r="C145" s="66">
        <v>24</v>
      </c>
      <c r="D145" s="66">
        <v>196</v>
      </c>
      <c r="E145" s="66">
        <v>0</v>
      </c>
      <c r="F145" s="66">
        <v>0</v>
      </c>
      <c r="G145" s="66">
        <v>1128</v>
      </c>
      <c r="H145" s="66">
        <v>326</v>
      </c>
      <c r="I145" s="66">
        <v>92</v>
      </c>
      <c r="J145" s="66">
        <v>181</v>
      </c>
      <c r="K145" s="66">
        <v>12</v>
      </c>
      <c r="L145" s="66">
        <v>433</v>
      </c>
      <c r="M145" s="66">
        <v>817</v>
      </c>
      <c r="N145" s="66">
        <v>377</v>
      </c>
      <c r="O145" s="66">
        <v>132</v>
      </c>
      <c r="P145" s="66">
        <v>143</v>
      </c>
      <c r="Q145" s="66">
        <v>288</v>
      </c>
      <c r="R145" s="66">
        <v>137</v>
      </c>
      <c r="S145" s="66">
        <v>165</v>
      </c>
      <c r="T145" s="66">
        <v>282</v>
      </c>
      <c r="U145" s="66">
        <v>360</v>
      </c>
      <c r="V145" s="66">
        <v>410</v>
      </c>
      <c r="W145" s="66">
        <v>1456</v>
      </c>
      <c r="X145" s="66">
        <v>323</v>
      </c>
      <c r="Y145" s="66">
        <v>767</v>
      </c>
      <c r="Z145" s="66">
        <v>771</v>
      </c>
      <c r="AA145" s="66">
        <v>321</v>
      </c>
      <c r="AB145" s="66">
        <v>354</v>
      </c>
      <c r="AC145" s="66">
        <v>751</v>
      </c>
      <c r="AD145" s="66">
        <v>726</v>
      </c>
      <c r="AE145" s="66">
        <v>539</v>
      </c>
      <c r="AF145" s="66">
        <v>564</v>
      </c>
      <c r="AG145" s="66">
        <v>1292</v>
      </c>
      <c r="AH145" s="66">
        <v>280</v>
      </c>
      <c r="AI145" s="66">
        <v>647</v>
      </c>
      <c r="AJ145" s="66">
        <v>352</v>
      </c>
      <c r="AK145" s="66">
        <v>510</v>
      </c>
      <c r="AL145" s="66">
        <v>355</v>
      </c>
      <c r="AM145" s="66">
        <v>222</v>
      </c>
      <c r="AN145" s="66">
        <v>162</v>
      </c>
      <c r="AO145" s="66">
        <v>344</v>
      </c>
      <c r="AP145" s="66">
        <v>1460</v>
      </c>
      <c r="AQ145" s="66">
        <v>40</v>
      </c>
      <c r="AR145" s="66">
        <v>184</v>
      </c>
      <c r="AS145" s="66">
        <v>132</v>
      </c>
      <c r="AT145" s="66">
        <v>76</v>
      </c>
      <c r="AU145" s="66">
        <v>123</v>
      </c>
      <c r="AV145" s="66">
        <v>72</v>
      </c>
      <c r="AW145" s="66">
        <v>40</v>
      </c>
      <c r="AX145" s="66">
        <v>72</v>
      </c>
      <c r="AY145" s="66">
        <v>295</v>
      </c>
      <c r="AZ145" s="66">
        <v>81</v>
      </c>
      <c r="BA145" s="66">
        <v>136</v>
      </c>
      <c r="BB145" s="66">
        <v>332</v>
      </c>
      <c r="BC145" s="66">
        <v>340</v>
      </c>
      <c r="BD145" s="66">
        <v>32</v>
      </c>
      <c r="BE145" s="66">
        <v>59</v>
      </c>
      <c r="BF145" s="66">
        <v>0</v>
      </c>
      <c r="BG145" s="66">
        <v>107</v>
      </c>
      <c r="BH145" s="66">
        <v>348</v>
      </c>
      <c r="BI145" s="66">
        <v>304</v>
      </c>
      <c r="BJ145" s="66">
        <v>112</v>
      </c>
      <c r="BK145" s="66">
        <v>12</v>
      </c>
      <c r="BL145" s="66">
        <v>205</v>
      </c>
      <c r="BM145" s="66">
        <v>235</v>
      </c>
      <c r="BN145" s="66">
        <v>240</v>
      </c>
      <c r="BO145" s="66">
        <v>183</v>
      </c>
      <c r="BP145" s="66">
        <v>192</v>
      </c>
      <c r="BQ145" s="66">
        <v>404</v>
      </c>
      <c r="BR145" s="66">
        <v>227</v>
      </c>
      <c r="BS145" s="66">
        <v>148</v>
      </c>
      <c r="BT145" s="66">
        <v>840</v>
      </c>
      <c r="BU145" s="66">
        <v>408</v>
      </c>
      <c r="BV145" s="66">
        <v>262</v>
      </c>
      <c r="BW145" s="66">
        <v>232</v>
      </c>
      <c r="BX145" s="66">
        <v>788</v>
      </c>
      <c r="BY145" s="66">
        <v>604</v>
      </c>
      <c r="BZ145" s="66">
        <v>240</v>
      </c>
      <c r="CA145" s="66">
        <v>424</v>
      </c>
      <c r="CB145" s="66">
        <v>176</v>
      </c>
      <c r="CC145" s="66">
        <v>176</v>
      </c>
      <c r="CD145" s="66">
        <v>422</v>
      </c>
      <c r="CE145" s="66">
        <v>340</v>
      </c>
      <c r="CF145" s="66">
        <v>216</v>
      </c>
      <c r="CG145" s="66">
        <v>382</v>
      </c>
      <c r="CH145" s="66">
        <v>388</v>
      </c>
      <c r="CI145" s="66">
        <v>368</v>
      </c>
      <c r="CJ145" s="66">
        <v>96</v>
      </c>
      <c r="CK145" s="66">
        <v>264</v>
      </c>
      <c r="CL145" s="66">
        <v>188</v>
      </c>
      <c r="CM145" s="66">
        <v>216</v>
      </c>
      <c r="CN145" s="66">
        <v>120</v>
      </c>
      <c r="CO145" s="66">
        <v>100</v>
      </c>
      <c r="CP145" s="66">
        <v>340</v>
      </c>
      <c r="CQ145" s="66">
        <v>604</v>
      </c>
      <c r="CR145" s="66">
        <v>120</v>
      </c>
      <c r="CS145" s="66">
        <v>276</v>
      </c>
      <c r="CT145" s="66">
        <v>192</v>
      </c>
      <c r="CU145" s="66">
        <v>129</v>
      </c>
      <c r="CV145" s="66">
        <v>52</v>
      </c>
      <c r="CW145" s="66">
        <v>96</v>
      </c>
      <c r="CX145" s="66">
        <v>100</v>
      </c>
      <c r="CY145" s="66">
        <v>229</v>
      </c>
      <c r="CZ145" s="66">
        <v>384</v>
      </c>
      <c r="DA145" s="66">
        <v>60</v>
      </c>
    </row>
    <row r="146" spans="1:105" ht="15" x14ac:dyDescent="0.35">
      <c r="A146" s="5" t="s">
        <v>387</v>
      </c>
      <c r="B146" s="5" t="s">
        <v>561</v>
      </c>
      <c r="C146" s="66">
        <v>0</v>
      </c>
      <c r="D146" s="66">
        <v>0</v>
      </c>
      <c r="E146" s="66">
        <v>0</v>
      </c>
      <c r="F146" s="66">
        <v>0</v>
      </c>
      <c r="G146" s="66">
        <v>0</v>
      </c>
      <c r="H146" s="66">
        <v>0</v>
      </c>
      <c r="I146" s="66">
        <v>0</v>
      </c>
      <c r="J146" s="66">
        <v>0</v>
      </c>
      <c r="K146" s="66">
        <v>0</v>
      </c>
      <c r="L146" s="66">
        <v>0</v>
      </c>
      <c r="M146" s="66">
        <v>0</v>
      </c>
      <c r="N146" s="66">
        <v>0</v>
      </c>
      <c r="O146" s="66">
        <v>0</v>
      </c>
      <c r="P146" s="66">
        <v>47</v>
      </c>
      <c r="Q146" s="66">
        <v>59</v>
      </c>
      <c r="R146" s="66">
        <v>91</v>
      </c>
      <c r="S146" s="66">
        <v>85</v>
      </c>
      <c r="T146" s="66">
        <v>52</v>
      </c>
      <c r="U146" s="66">
        <v>50</v>
      </c>
      <c r="V146" s="66">
        <v>15</v>
      </c>
      <c r="W146" s="66">
        <v>30</v>
      </c>
      <c r="X146" s="66">
        <v>17</v>
      </c>
      <c r="Y146" s="66">
        <v>31</v>
      </c>
      <c r="Z146" s="66">
        <v>25</v>
      </c>
      <c r="AA146" s="66">
        <v>23</v>
      </c>
      <c r="AB146" s="66">
        <v>2</v>
      </c>
      <c r="AC146" s="66">
        <v>12</v>
      </c>
      <c r="AD146" s="66">
        <v>21</v>
      </c>
      <c r="AE146" s="66">
        <v>26</v>
      </c>
      <c r="AF146" s="66">
        <v>17</v>
      </c>
      <c r="AG146" s="66">
        <v>12</v>
      </c>
      <c r="AH146" s="66">
        <v>18</v>
      </c>
      <c r="AI146" s="66">
        <v>18</v>
      </c>
      <c r="AJ146" s="66">
        <v>100</v>
      </c>
      <c r="AK146" s="66">
        <v>72</v>
      </c>
      <c r="AL146" s="66">
        <v>36</v>
      </c>
      <c r="AM146" s="66">
        <v>33</v>
      </c>
      <c r="AN146" s="66">
        <v>8</v>
      </c>
      <c r="AO146" s="66">
        <v>42</v>
      </c>
      <c r="AP146" s="66">
        <v>38</v>
      </c>
      <c r="AQ146" s="66">
        <v>46</v>
      </c>
      <c r="AR146" s="66">
        <v>132</v>
      </c>
      <c r="AS146" s="66">
        <v>2</v>
      </c>
      <c r="AT146" s="66">
        <v>57</v>
      </c>
      <c r="AU146" s="66">
        <v>49</v>
      </c>
      <c r="AV146" s="66">
        <v>361</v>
      </c>
      <c r="AW146" s="66">
        <v>0</v>
      </c>
      <c r="AX146" s="66">
        <v>98</v>
      </c>
      <c r="AY146" s="66">
        <v>96</v>
      </c>
      <c r="AZ146" s="66">
        <v>361</v>
      </c>
      <c r="BA146" s="66">
        <v>227</v>
      </c>
      <c r="BB146" s="66">
        <v>111</v>
      </c>
      <c r="BC146" s="66">
        <v>128</v>
      </c>
      <c r="BD146" s="66">
        <v>43</v>
      </c>
      <c r="BE146" s="66">
        <v>26</v>
      </c>
      <c r="BF146" s="66">
        <v>0</v>
      </c>
      <c r="BG146" s="66">
        <v>203</v>
      </c>
      <c r="BH146" s="66">
        <v>28</v>
      </c>
      <c r="BI146" s="66">
        <v>66</v>
      </c>
      <c r="BJ146" s="66">
        <v>16</v>
      </c>
      <c r="BK146" s="66">
        <v>15</v>
      </c>
      <c r="BL146" s="66">
        <v>10</v>
      </c>
      <c r="BM146" s="66">
        <v>224</v>
      </c>
      <c r="BN146" s="66">
        <v>42</v>
      </c>
      <c r="BO146" s="66">
        <v>63</v>
      </c>
      <c r="BP146" s="66">
        <v>187</v>
      </c>
      <c r="BQ146" s="66">
        <v>18</v>
      </c>
      <c r="BR146" s="66">
        <v>41</v>
      </c>
      <c r="BS146" s="66">
        <v>59</v>
      </c>
      <c r="BT146" s="66">
        <v>41</v>
      </c>
      <c r="BU146" s="66">
        <v>45</v>
      </c>
      <c r="BV146" s="66">
        <v>35</v>
      </c>
      <c r="BW146" s="66">
        <v>23</v>
      </c>
      <c r="BX146" s="66">
        <v>18</v>
      </c>
      <c r="BY146" s="66">
        <v>15</v>
      </c>
      <c r="BZ146" s="66">
        <v>44</v>
      </c>
      <c r="CA146" s="66">
        <v>44</v>
      </c>
      <c r="CB146" s="66">
        <v>6</v>
      </c>
      <c r="CC146" s="66">
        <v>50</v>
      </c>
      <c r="CD146" s="66">
        <v>12</v>
      </c>
      <c r="CE146" s="66">
        <v>11</v>
      </c>
      <c r="CF146" s="66">
        <v>40</v>
      </c>
      <c r="CG146" s="66">
        <v>14</v>
      </c>
      <c r="CH146" s="66">
        <v>4</v>
      </c>
      <c r="CI146" s="66">
        <v>53</v>
      </c>
      <c r="CJ146" s="66">
        <v>53</v>
      </c>
      <c r="CK146" s="66">
        <v>46</v>
      </c>
      <c r="CL146" s="66">
        <v>33</v>
      </c>
      <c r="CM146" s="66">
        <v>244</v>
      </c>
      <c r="CN146" s="66">
        <v>34</v>
      </c>
      <c r="CO146" s="66">
        <v>50</v>
      </c>
      <c r="CP146" s="66">
        <v>39</v>
      </c>
      <c r="CQ146" s="66">
        <v>56</v>
      </c>
      <c r="CR146" s="66">
        <v>93</v>
      </c>
      <c r="CS146" s="66">
        <v>53</v>
      </c>
      <c r="CT146" s="66">
        <v>398</v>
      </c>
      <c r="CU146" s="66">
        <v>20</v>
      </c>
      <c r="CV146" s="66">
        <v>0</v>
      </c>
      <c r="CW146" s="66">
        <v>1</v>
      </c>
      <c r="CX146" s="66">
        <v>0</v>
      </c>
      <c r="CY146" s="66">
        <v>0</v>
      </c>
      <c r="CZ146" s="66">
        <v>41</v>
      </c>
      <c r="DA146" s="66">
        <v>0</v>
      </c>
    </row>
    <row r="147" spans="1:105" ht="15" x14ac:dyDescent="0.35">
      <c r="A147" s="5" t="s">
        <v>388</v>
      </c>
      <c r="B147" s="5" t="s">
        <v>562</v>
      </c>
      <c r="C147" s="66">
        <v>208</v>
      </c>
      <c r="D147" s="66">
        <v>306</v>
      </c>
      <c r="E147" s="66">
        <v>84</v>
      </c>
      <c r="F147" s="66">
        <v>0</v>
      </c>
      <c r="G147" s="66">
        <v>61</v>
      </c>
      <c r="H147" s="66">
        <v>94</v>
      </c>
      <c r="I147" s="66">
        <v>55</v>
      </c>
      <c r="J147" s="66">
        <v>55</v>
      </c>
      <c r="K147" s="66">
        <v>15</v>
      </c>
      <c r="L147" s="66">
        <v>47</v>
      </c>
      <c r="M147" s="66">
        <v>15</v>
      </c>
      <c r="N147" s="66">
        <v>18</v>
      </c>
      <c r="O147" s="66">
        <v>16</v>
      </c>
      <c r="P147" s="66">
        <v>40</v>
      </c>
      <c r="Q147" s="66">
        <v>7</v>
      </c>
      <c r="R147" s="66">
        <v>6</v>
      </c>
      <c r="S147" s="66">
        <v>7</v>
      </c>
      <c r="T147" s="66">
        <v>7</v>
      </c>
      <c r="U147" s="66">
        <v>1</v>
      </c>
      <c r="V147" s="66">
        <v>6</v>
      </c>
      <c r="W147" s="66">
        <v>19</v>
      </c>
      <c r="X147" s="66">
        <v>0</v>
      </c>
      <c r="Y147" s="66">
        <v>45</v>
      </c>
      <c r="Z147" s="66">
        <v>37</v>
      </c>
      <c r="AA147" s="66">
        <v>1</v>
      </c>
      <c r="AB147" s="66">
        <v>0</v>
      </c>
      <c r="AC147" s="66">
        <v>1</v>
      </c>
      <c r="AD147" s="66">
        <v>0</v>
      </c>
      <c r="AE147" s="66">
        <v>13</v>
      </c>
      <c r="AF147" s="66">
        <v>12</v>
      </c>
      <c r="AG147" s="66">
        <v>12</v>
      </c>
      <c r="AH147" s="66">
        <v>6</v>
      </c>
      <c r="AI147" s="66">
        <v>6</v>
      </c>
      <c r="AJ147" s="66">
        <v>10</v>
      </c>
      <c r="AK147" s="66">
        <v>2</v>
      </c>
      <c r="AL147" s="66">
        <v>94</v>
      </c>
      <c r="AM147" s="66">
        <v>21</v>
      </c>
      <c r="AN147" s="66">
        <v>155</v>
      </c>
      <c r="AO147" s="66">
        <v>21</v>
      </c>
      <c r="AP147" s="66">
        <v>23</v>
      </c>
      <c r="AQ147" s="66">
        <v>32</v>
      </c>
      <c r="AR147" s="66">
        <v>69</v>
      </c>
      <c r="AS147" s="66">
        <v>366</v>
      </c>
      <c r="AT147" s="66">
        <v>160</v>
      </c>
      <c r="AU147" s="66">
        <v>405</v>
      </c>
      <c r="AV147" s="66">
        <v>65</v>
      </c>
      <c r="AW147" s="66">
        <v>156</v>
      </c>
      <c r="AX147" s="66">
        <v>344</v>
      </c>
      <c r="AY147" s="66">
        <v>144</v>
      </c>
      <c r="AZ147" s="66">
        <v>330</v>
      </c>
      <c r="BA147" s="66">
        <v>340</v>
      </c>
      <c r="BB147" s="66">
        <v>222</v>
      </c>
      <c r="BC147" s="66">
        <v>340</v>
      </c>
      <c r="BD147" s="66">
        <v>278</v>
      </c>
      <c r="BE147" s="66">
        <v>167</v>
      </c>
      <c r="BF147" s="66">
        <v>0</v>
      </c>
      <c r="BG147" s="66">
        <v>53</v>
      </c>
      <c r="BH147" s="66">
        <v>9</v>
      </c>
      <c r="BI147" s="66">
        <v>22</v>
      </c>
      <c r="BJ147" s="66">
        <v>0</v>
      </c>
      <c r="BK147" s="66">
        <v>24</v>
      </c>
      <c r="BL147" s="66">
        <v>12</v>
      </c>
      <c r="BM147" s="66">
        <v>15</v>
      </c>
      <c r="BN147" s="66">
        <v>39</v>
      </c>
      <c r="BO147" s="66">
        <v>14</v>
      </c>
      <c r="BP147" s="66">
        <v>16</v>
      </c>
      <c r="BQ147" s="66">
        <v>15</v>
      </c>
      <c r="BR147" s="66">
        <v>1</v>
      </c>
      <c r="BS147" s="66">
        <v>37</v>
      </c>
      <c r="BT147" s="66">
        <v>9</v>
      </c>
      <c r="BU147" s="66">
        <v>6</v>
      </c>
      <c r="BV147" s="66">
        <v>8</v>
      </c>
      <c r="BW147" s="66">
        <v>14</v>
      </c>
      <c r="BX147" s="66">
        <v>0</v>
      </c>
      <c r="BY147" s="66">
        <v>9</v>
      </c>
      <c r="BZ147" s="66">
        <v>6</v>
      </c>
      <c r="CA147" s="66">
        <v>75</v>
      </c>
      <c r="CB147" s="66">
        <v>8</v>
      </c>
      <c r="CC147" s="66">
        <v>1</v>
      </c>
      <c r="CD147" s="66">
        <v>6</v>
      </c>
      <c r="CE147" s="66">
        <v>12</v>
      </c>
      <c r="CF147" s="66">
        <v>37</v>
      </c>
      <c r="CG147" s="66">
        <v>3</v>
      </c>
      <c r="CH147" s="66">
        <v>2</v>
      </c>
      <c r="CI147" s="66">
        <v>35</v>
      </c>
      <c r="CJ147" s="66">
        <v>6</v>
      </c>
      <c r="CK147" s="66">
        <v>204</v>
      </c>
      <c r="CL147" s="66">
        <v>105</v>
      </c>
      <c r="CM147" s="66">
        <v>20</v>
      </c>
      <c r="CN147" s="66">
        <v>113</v>
      </c>
      <c r="CO147" s="66">
        <v>5</v>
      </c>
      <c r="CP147" s="66">
        <v>44</v>
      </c>
      <c r="CQ147" s="66">
        <v>88</v>
      </c>
      <c r="CR147" s="66">
        <v>141</v>
      </c>
      <c r="CS147" s="66">
        <v>65</v>
      </c>
      <c r="CT147" s="66">
        <v>1</v>
      </c>
      <c r="CU147" s="66">
        <v>89</v>
      </c>
      <c r="CV147" s="66">
        <v>153</v>
      </c>
      <c r="CW147" s="66">
        <v>90</v>
      </c>
      <c r="CX147" s="66">
        <v>52</v>
      </c>
      <c r="CY147" s="66">
        <v>140</v>
      </c>
      <c r="CZ147" s="66">
        <v>139</v>
      </c>
      <c r="DA147" s="66">
        <v>150</v>
      </c>
    </row>
    <row r="148" spans="1:105" ht="15" x14ac:dyDescent="0.35">
      <c r="A148" s="5" t="s">
        <v>389</v>
      </c>
      <c r="B148" s="5" t="s">
        <v>563</v>
      </c>
      <c r="C148" s="66">
        <v>67</v>
      </c>
      <c r="D148" s="66">
        <v>108</v>
      </c>
      <c r="E148" s="66">
        <v>12</v>
      </c>
      <c r="F148" s="66">
        <v>0</v>
      </c>
      <c r="G148" s="66">
        <v>92</v>
      </c>
      <c r="H148" s="66">
        <v>3</v>
      </c>
      <c r="I148" s="66">
        <v>0</v>
      </c>
      <c r="J148" s="66">
        <v>0</v>
      </c>
      <c r="K148" s="66">
        <v>0</v>
      </c>
      <c r="L148" s="66">
        <v>0</v>
      </c>
      <c r="M148" s="66">
        <v>0</v>
      </c>
      <c r="N148" s="66">
        <v>0</v>
      </c>
      <c r="O148" s="66">
        <v>1</v>
      </c>
      <c r="P148" s="66">
        <v>0</v>
      </c>
      <c r="Q148" s="66">
        <v>0</v>
      </c>
      <c r="R148" s="66">
        <v>0</v>
      </c>
      <c r="S148" s="66">
        <v>0</v>
      </c>
      <c r="T148" s="66">
        <v>121</v>
      </c>
      <c r="U148" s="66">
        <v>20</v>
      </c>
      <c r="V148" s="66">
        <v>192</v>
      </c>
      <c r="W148" s="66">
        <v>117</v>
      </c>
      <c r="X148" s="66">
        <v>122</v>
      </c>
      <c r="Y148" s="66">
        <v>93</v>
      </c>
      <c r="Z148" s="66">
        <v>60</v>
      </c>
      <c r="AA148" s="66">
        <v>61</v>
      </c>
      <c r="AB148" s="66">
        <v>19</v>
      </c>
      <c r="AC148" s="66">
        <v>57</v>
      </c>
      <c r="AD148" s="66">
        <v>18</v>
      </c>
      <c r="AE148" s="66">
        <v>38</v>
      </c>
      <c r="AF148" s="66">
        <v>44</v>
      </c>
      <c r="AG148" s="66">
        <v>69</v>
      </c>
      <c r="AH148" s="66">
        <v>59</v>
      </c>
      <c r="AI148" s="66">
        <v>32</v>
      </c>
      <c r="AJ148" s="66">
        <v>87</v>
      </c>
      <c r="AK148" s="66">
        <v>11</v>
      </c>
      <c r="AL148" s="66">
        <v>34</v>
      </c>
      <c r="AM148" s="66">
        <v>76</v>
      </c>
      <c r="AN148" s="66">
        <v>17</v>
      </c>
      <c r="AO148" s="66">
        <v>43</v>
      </c>
      <c r="AP148" s="66">
        <v>52</v>
      </c>
      <c r="AQ148" s="66">
        <v>108</v>
      </c>
      <c r="AR148" s="66">
        <v>27</v>
      </c>
      <c r="AS148" s="66">
        <v>321</v>
      </c>
      <c r="AT148" s="66">
        <v>29</v>
      </c>
      <c r="AU148" s="66">
        <v>25</v>
      </c>
      <c r="AV148" s="66">
        <v>31</v>
      </c>
      <c r="AW148" s="66">
        <v>70</v>
      </c>
      <c r="AX148" s="66">
        <v>44</v>
      </c>
      <c r="AY148" s="66">
        <v>43</v>
      </c>
      <c r="AZ148" s="66">
        <v>71</v>
      </c>
      <c r="BA148" s="66">
        <v>37</v>
      </c>
      <c r="BB148" s="66">
        <v>134</v>
      </c>
      <c r="BC148" s="66">
        <v>35</v>
      </c>
      <c r="BD148" s="66">
        <v>47</v>
      </c>
      <c r="BE148" s="66">
        <v>78</v>
      </c>
      <c r="BF148" s="66">
        <v>0</v>
      </c>
      <c r="BG148" s="66">
        <v>238</v>
      </c>
      <c r="BH148" s="66">
        <v>167</v>
      </c>
      <c r="BI148" s="66">
        <v>50</v>
      </c>
      <c r="BJ148" s="66">
        <v>10</v>
      </c>
      <c r="BK148" s="66">
        <v>13</v>
      </c>
      <c r="BL148" s="66">
        <v>49</v>
      </c>
      <c r="BM148" s="66">
        <v>91</v>
      </c>
      <c r="BN148" s="66">
        <v>108</v>
      </c>
      <c r="BO148" s="66">
        <v>13</v>
      </c>
      <c r="BP148" s="66">
        <v>25</v>
      </c>
      <c r="BQ148" s="66">
        <v>10</v>
      </c>
      <c r="BR148" s="66">
        <v>24</v>
      </c>
      <c r="BS148" s="66">
        <v>31</v>
      </c>
      <c r="BT148" s="66">
        <v>33</v>
      </c>
      <c r="BU148" s="66">
        <v>101</v>
      </c>
      <c r="BV148" s="66">
        <v>67</v>
      </c>
      <c r="BW148" s="66">
        <v>6</v>
      </c>
      <c r="BX148" s="66">
        <v>5</v>
      </c>
      <c r="BY148" s="66">
        <v>36</v>
      </c>
      <c r="BZ148" s="66">
        <v>38</v>
      </c>
      <c r="CA148" s="66">
        <v>22</v>
      </c>
      <c r="CB148" s="66">
        <v>85</v>
      </c>
      <c r="CC148" s="66">
        <v>27</v>
      </c>
      <c r="CD148" s="66">
        <v>14</v>
      </c>
      <c r="CE148" s="66">
        <v>13</v>
      </c>
      <c r="CF148" s="66">
        <v>2</v>
      </c>
      <c r="CG148" s="66">
        <v>229</v>
      </c>
      <c r="CH148" s="66">
        <v>27</v>
      </c>
      <c r="CI148" s="66">
        <v>46</v>
      </c>
      <c r="CJ148" s="66">
        <v>8</v>
      </c>
      <c r="CK148" s="66">
        <v>2</v>
      </c>
      <c r="CL148" s="66">
        <v>9</v>
      </c>
      <c r="CM148" s="66">
        <v>6</v>
      </c>
      <c r="CN148" s="66">
        <v>81</v>
      </c>
      <c r="CO148" s="66">
        <v>11</v>
      </c>
      <c r="CP148" s="66">
        <v>19</v>
      </c>
      <c r="CQ148" s="66">
        <v>17</v>
      </c>
      <c r="CR148" s="66">
        <v>85</v>
      </c>
      <c r="CS148" s="66">
        <v>88</v>
      </c>
      <c r="CT148" s="66">
        <v>19</v>
      </c>
      <c r="CU148" s="66">
        <v>43</v>
      </c>
      <c r="CV148" s="66">
        <v>46</v>
      </c>
      <c r="CW148" s="66">
        <v>16</v>
      </c>
      <c r="CX148" s="66">
        <v>44</v>
      </c>
      <c r="CY148" s="66">
        <v>165</v>
      </c>
      <c r="CZ148" s="66">
        <v>49</v>
      </c>
      <c r="DA148" s="66">
        <v>10</v>
      </c>
    </row>
    <row r="149" spans="1:105" ht="15" x14ac:dyDescent="0.35">
      <c r="A149" s="5" t="s">
        <v>390</v>
      </c>
      <c r="B149" s="5" t="s">
        <v>564</v>
      </c>
      <c r="C149" s="66">
        <v>11</v>
      </c>
      <c r="D149" s="66">
        <v>28</v>
      </c>
      <c r="E149" s="66">
        <v>0</v>
      </c>
      <c r="F149" s="66">
        <v>0</v>
      </c>
      <c r="G149" s="66">
        <v>6</v>
      </c>
      <c r="H149" s="66">
        <v>28</v>
      </c>
      <c r="I149" s="66">
        <v>79</v>
      </c>
      <c r="J149" s="66">
        <v>57</v>
      </c>
      <c r="K149" s="66">
        <v>24</v>
      </c>
      <c r="L149" s="66">
        <v>18</v>
      </c>
      <c r="M149" s="66">
        <v>10</v>
      </c>
      <c r="N149" s="66">
        <v>12</v>
      </c>
      <c r="O149" s="66">
        <v>18</v>
      </c>
      <c r="P149" s="66">
        <v>41</v>
      </c>
      <c r="Q149" s="66">
        <v>66</v>
      </c>
      <c r="R149" s="66">
        <v>38</v>
      </c>
      <c r="S149" s="66">
        <v>406</v>
      </c>
      <c r="T149" s="66">
        <v>171</v>
      </c>
      <c r="U149" s="66">
        <v>139</v>
      </c>
      <c r="V149" s="66">
        <v>80</v>
      </c>
      <c r="W149" s="66">
        <v>113</v>
      </c>
      <c r="X149" s="66">
        <v>61</v>
      </c>
      <c r="Y149" s="66">
        <v>212</v>
      </c>
      <c r="Z149" s="66">
        <v>111</v>
      </c>
      <c r="AA149" s="66">
        <v>4</v>
      </c>
      <c r="AB149" s="66">
        <v>124</v>
      </c>
      <c r="AC149" s="66">
        <v>0</v>
      </c>
      <c r="AD149" s="66">
        <v>0</v>
      </c>
      <c r="AE149" s="66">
        <v>0</v>
      </c>
      <c r="AF149" s="66">
        <v>125</v>
      </c>
      <c r="AG149" s="66">
        <v>1</v>
      </c>
      <c r="AH149" s="66">
        <v>0</v>
      </c>
      <c r="AI149" s="66">
        <v>0</v>
      </c>
      <c r="AJ149" s="66">
        <v>0</v>
      </c>
      <c r="AK149" s="66">
        <v>0</v>
      </c>
      <c r="AL149" s="66">
        <v>0</v>
      </c>
      <c r="AM149" s="66">
        <v>0</v>
      </c>
      <c r="AN149" s="66">
        <v>0</v>
      </c>
      <c r="AO149" s="66">
        <v>0</v>
      </c>
      <c r="AP149" s="66">
        <v>0</v>
      </c>
      <c r="AQ149" s="66">
        <v>0</v>
      </c>
      <c r="AR149" s="66">
        <v>0</v>
      </c>
      <c r="AS149" s="66">
        <v>162</v>
      </c>
      <c r="AT149" s="66">
        <v>170</v>
      </c>
      <c r="AU149" s="66">
        <v>89</v>
      </c>
      <c r="AV149" s="66">
        <v>74</v>
      </c>
      <c r="AW149" s="66">
        <v>9</v>
      </c>
      <c r="AX149" s="66">
        <v>40</v>
      </c>
      <c r="AY149" s="66">
        <v>29</v>
      </c>
      <c r="AZ149" s="66">
        <v>36</v>
      </c>
      <c r="BA149" s="66">
        <v>15</v>
      </c>
      <c r="BB149" s="66">
        <v>77</v>
      </c>
      <c r="BC149" s="66">
        <v>11</v>
      </c>
      <c r="BD149" s="66">
        <v>5</v>
      </c>
      <c r="BE149" s="66">
        <v>0</v>
      </c>
      <c r="BF149" s="66">
        <v>0</v>
      </c>
      <c r="BG149" s="66">
        <v>16</v>
      </c>
      <c r="BH149" s="66">
        <v>8</v>
      </c>
      <c r="BI149" s="66">
        <v>22</v>
      </c>
      <c r="BJ149" s="66">
        <v>22</v>
      </c>
      <c r="BK149" s="66">
        <v>57</v>
      </c>
      <c r="BL149" s="66">
        <v>59</v>
      </c>
      <c r="BM149" s="66">
        <v>10</v>
      </c>
      <c r="BN149" s="66">
        <v>19</v>
      </c>
      <c r="BO149" s="66">
        <v>26</v>
      </c>
      <c r="BP149" s="66">
        <v>26</v>
      </c>
      <c r="BQ149" s="66">
        <v>17</v>
      </c>
      <c r="BR149" s="66">
        <v>54</v>
      </c>
      <c r="BS149" s="66">
        <v>8</v>
      </c>
      <c r="BT149" s="66">
        <v>58</v>
      </c>
      <c r="BU149" s="66">
        <v>19</v>
      </c>
      <c r="BV149" s="66">
        <v>42</v>
      </c>
      <c r="BW149" s="66">
        <v>24</v>
      </c>
      <c r="BX149" s="66">
        <v>98</v>
      </c>
      <c r="BY149" s="66">
        <v>30</v>
      </c>
      <c r="BZ149" s="66">
        <v>111</v>
      </c>
      <c r="CA149" s="66">
        <v>190</v>
      </c>
      <c r="CB149" s="66">
        <v>40</v>
      </c>
      <c r="CC149" s="66">
        <v>54</v>
      </c>
      <c r="CD149" s="66">
        <v>11</v>
      </c>
      <c r="CE149" s="66">
        <v>34</v>
      </c>
      <c r="CF149" s="66">
        <v>59</v>
      </c>
      <c r="CG149" s="66">
        <v>25</v>
      </c>
      <c r="CH149" s="66">
        <v>31</v>
      </c>
      <c r="CI149" s="66">
        <v>32</v>
      </c>
      <c r="CJ149" s="66">
        <v>25</v>
      </c>
      <c r="CK149" s="66">
        <v>63</v>
      </c>
      <c r="CL149" s="66">
        <v>8</v>
      </c>
      <c r="CM149" s="66">
        <v>75</v>
      </c>
      <c r="CN149" s="66">
        <v>29</v>
      </c>
      <c r="CO149" s="66">
        <v>71</v>
      </c>
      <c r="CP149" s="66">
        <v>30</v>
      </c>
      <c r="CQ149" s="66">
        <v>30</v>
      </c>
      <c r="CR149" s="66">
        <v>27</v>
      </c>
      <c r="CS149" s="66">
        <v>53</v>
      </c>
      <c r="CT149" s="66">
        <v>71</v>
      </c>
      <c r="CU149" s="66">
        <v>37</v>
      </c>
      <c r="CV149" s="66">
        <v>28</v>
      </c>
      <c r="CW149" s="66">
        <v>5</v>
      </c>
      <c r="CX149" s="66">
        <v>27</v>
      </c>
      <c r="CY149" s="66">
        <v>29</v>
      </c>
      <c r="CZ149" s="66">
        <v>59</v>
      </c>
      <c r="DA149" s="66">
        <v>9</v>
      </c>
    </row>
    <row r="150" spans="1:105" ht="15" x14ac:dyDescent="0.35">
      <c r="A150" s="5" t="s">
        <v>391</v>
      </c>
      <c r="B150" s="5" t="s">
        <v>565</v>
      </c>
      <c r="C150" s="66">
        <v>261</v>
      </c>
      <c r="D150" s="66">
        <v>100</v>
      </c>
      <c r="E150" s="66">
        <v>17</v>
      </c>
      <c r="F150" s="66">
        <v>0</v>
      </c>
      <c r="G150" s="66">
        <v>648</v>
      </c>
      <c r="H150" s="66">
        <v>42</v>
      </c>
      <c r="I150" s="66">
        <v>290</v>
      </c>
      <c r="J150" s="66">
        <v>186</v>
      </c>
      <c r="K150" s="66">
        <v>17</v>
      </c>
      <c r="L150" s="66">
        <v>122</v>
      </c>
      <c r="M150" s="66">
        <v>293</v>
      </c>
      <c r="N150" s="66">
        <v>360</v>
      </c>
      <c r="O150" s="66">
        <v>201</v>
      </c>
      <c r="P150" s="66">
        <v>282</v>
      </c>
      <c r="Q150" s="66">
        <v>1656</v>
      </c>
      <c r="R150" s="66">
        <v>827</v>
      </c>
      <c r="S150" s="66">
        <v>419</v>
      </c>
      <c r="T150" s="66">
        <v>885</v>
      </c>
      <c r="U150" s="66">
        <v>368</v>
      </c>
      <c r="V150" s="66">
        <v>487</v>
      </c>
      <c r="W150" s="66">
        <v>1112</v>
      </c>
      <c r="X150" s="66">
        <v>1037</v>
      </c>
      <c r="Y150" s="66">
        <v>1767</v>
      </c>
      <c r="Z150" s="66">
        <v>519</v>
      </c>
      <c r="AA150" s="66">
        <v>469</v>
      </c>
      <c r="AB150" s="66">
        <v>650</v>
      </c>
      <c r="AC150" s="66">
        <v>1742</v>
      </c>
      <c r="AD150" s="66">
        <v>824</v>
      </c>
      <c r="AE150" s="66">
        <v>552</v>
      </c>
      <c r="AF150" s="66">
        <v>772</v>
      </c>
      <c r="AG150" s="66">
        <v>868</v>
      </c>
      <c r="AH150" s="66">
        <v>442</v>
      </c>
      <c r="AI150" s="66">
        <v>328</v>
      </c>
      <c r="AJ150" s="66">
        <v>553</v>
      </c>
      <c r="AK150" s="66">
        <v>568</v>
      </c>
      <c r="AL150" s="66">
        <v>469</v>
      </c>
      <c r="AM150" s="66">
        <v>552</v>
      </c>
      <c r="AN150" s="66">
        <v>64</v>
      </c>
      <c r="AO150" s="66">
        <v>436</v>
      </c>
      <c r="AP150" s="66">
        <v>336</v>
      </c>
      <c r="AQ150" s="66">
        <v>136</v>
      </c>
      <c r="AR150" s="66">
        <v>160</v>
      </c>
      <c r="AS150" s="66">
        <v>272</v>
      </c>
      <c r="AT150" s="66">
        <v>296</v>
      </c>
      <c r="AU150" s="66">
        <v>53</v>
      </c>
      <c r="AV150" s="66">
        <v>30</v>
      </c>
      <c r="AW150" s="66">
        <v>128</v>
      </c>
      <c r="AX150" s="66">
        <v>162</v>
      </c>
      <c r="AY150" s="66">
        <v>152</v>
      </c>
      <c r="AZ150" s="66">
        <v>162</v>
      </c>
      <c r="BA150" s="66">
        <v>80</v>
      </c>
      <c r="BB150" s="66">
        <v>284</v>
      </c>
      <c r="BC150" s="66">
        <v>144</v>
      </c>
      <c r="BD150" s="66">
        <v>160</v>
      </c>
      <c r="BE150" s="66">
        <v>8</v>
      </c>
      <c r="BF150" s="66">
        <v>0</v>
      </c>
      <c r="BG150" s="66">
        <v>208</v>
      </c>
      <c r="BH150" s="66">
        <v>56</v>
      </c>
      <c r="BI150" s="66">
        <v>216</v>
      </c>
      <c r="BJ150" s="66">
        <v>84</v>
      </c>
      <c r="BK150" s="66">
        <v>48</v>
      </c>
      <c r="BL150" s="66">
        <v>208</v>
      </c>
      <c r="BM150" s="66">
        <v>176</v>
      </c>
      <c r="BN150" s="66">
        <v>297</v>
      </c>
      <c r="BO150" s="66">
        <v>164</v>
      </c>
      <c r="BP150" s="66">
        <v>472</v>
      </c>
      <c r="BQ150" s="66">
        <v>164</v>
      </c>
      <c r="BR150" s="66">
        <v>263</v>
      </c>
      <c r="BS150" s="66">
        <v>150</v>
      </c>
      <c r="BT150" s="66">
        <v>219</v>
      </c>
      <c r="BU150" s="66">
        <v>632</v>
      </c>
      <c r="BV150" s="66">
        <v>604</v>
      </c>
      <c r="BW150" s="66">
        <v>298</v>
      </c>
      <c r="BX150" s="66">
        <v>788</v>
      </c>
      <c r="BY150" s="66">
        <v>724</v>
      </c>
      <c r="BZ150" s="66">
        <v>722</v>
      </c>
      <c r="CA150" s="66">
        <v>676</v>
      </c>
      <c r="CB150" s="66">
        <v>494</v>
      </c>
      <c r="CC150" s="66">
        <v>572</v>
      </c>
      <c r="CD150" s="66">
        <v>632</v>
      </c>
      <c r="CE150" s="66">
        <v>196</v>
      </c>
      <c r="CF150" s="66">
        <v>500</v>
      </c>
      <c r="CG150" s="66">
        <v>496</v>
      </c>
      <c r="CH150" s="66">
        <v>332</v>
      </c>
      <c r="CI150" s="66">
        <v>504</v>
      </c>
      <c r="CJ150" s="66">
        <v>302</v>
      </c>
      <c r="CK150" s="66">
        <v>226</v>
      </c>
      <c r="CL150" s="66">
        <v>688</v>
      </c>
      <c r="CM150" s="66">
        <v>203</v>
      </c>
      <c r="CN150" s="66">
        <v>464</v>
      </c>
      <c r="CO150" s="66">
        <v>270</v>
      </c>
      <c r="CP150" s="66">
        <v>380</v>
      </c>
      <c r="CQ150" s="66">
        <v>392</v>
      </c>
      <c r="CR150" s="66">
        <v>244</v>
      </c>
      <c r="CS150" s="66">
        <v>48</v>
      </c>
      <c r="CT150" s="66">
        <v>288</v>
      </c>
      <c r="CU150" s="66">
        <v>64</v>
      </c>
      <c r="CV150" s="66">
        <v>196</v>
      </c>
      <c r="CW150" s="66">
        <v>112</v>
      </c>
      <c r="CX150" s="66">
        <v>108</v>
      </c>
      <c r="CY150" s="66">
        <v>324</v>
      </c>
      <c r="CZ150" s="66">
        <v>144</v>
      </c>
      <c r="DA150" s="66">
        <v>348</v>
      </c>
    </row>
    <row r="151" spans="1:105" ht="15" x14ac:dyDescent="0.35">
      <c r="A151" s="5" t="s">
        <v>392</v>
      </c>
      <c r="B151" s="5" t="s">
        <v>566</v>
      </c>
      <c r="C151" s="66">
        <v>179</v>
      </c>
      <c r="D151" s="66">
        <v>115</v>
      </c>
      <c r="E151" s="66">
        <v>51</v>
      </c>
      <c r="F151" s="66">
        <v>0</v>
      </c>
      <c r="G151" s="66">
        <v>74</v>
      </c>
      <c r="H151" s="66">
        <v>33</v>
      </c>
      <c r="I151" s="66">
        <v>80</v>
      </c>
      <c r="J151" s="66">
        <v>83</v>
      </c>
      <c r="K151" s="66">
        <v>41</v>
      </c>
      <c r="L151" s="66">
        <v>68</v>
      </c>
      <c r="M151" s="66">
        <v>159</v>
      </c>
      <c r="N151" s="66">
        <v>341</v>
      </c>
      <c r="O151" s="66">
        <v>48</v>
      </c>
      <c r="P151" s="66">
        <v>150</v>
      </c>
      <c r="Q151" s="66">
        <v>133</v>
      </c>
      <c r="R151" s="66">
        <v>150</v>
      </c>
      <c r="S151" s="66">
        <v>123</v>
      </c>
      <c r="T151" s="66">
        <v>27</v>
      </c>
      <c r="U151" s="66">
        <v>91</v>
      </c>
      <c r="V151" s="66">
        <v>137</v>
      </c>
      <c r="W151" s="66">
        <v>166</v>
      </c>
      <c r="X151" s="66">
        <v>80</v>
      </c>
      <c r="Y151" s="66">
        <v>78</v>
      </c>
      <c r="Z151" s="66">
        <v>65</v>
      </c>
      <c r="AA151" s="66">
        <v>216</v>
      </c>
      <c r="AB151" s="66">
        <v>47</v>
      </c>
      <c r="AC151" s="66">
        <v>151</v>
      </c>
      <c r="AD151" s="66">
        <v>102</v>
      </c>
      <c r="AE151" s="66">
        <v>31</v>
      </c>
      <c r="AF151" s="66">
        <v>173</v>
      </c>
      <c r="AG151" s="66">
        <v>48</v>
      </c>
      <c r="AH151" s="66">
        <v>46</v>
      </c>
      <c r="AI151" s="66">
        <v>167</v>
      </c>
      <c r="AJ151" s="66">
        <v>114</v>
      </c>
      <c r="AK151" s="66">
        <v>129</v>
      </c>
      <c r="AL151" s="66">
        <v>72</v>
      </c>
      <c r="AM151" s="66">
        <v>433</v>
      </c>
      <c r="AN151" s="66">
        <v>221</v>
      </c>
      <c r="AO151" s="66">
        <v>168</v>
      </c>
      <c r="AP151" s="66">
        <v>44</v>
      </c>
      <c r="AQ151" s="66">
        <v>101</v>
      </c>
      <c r="AR151" s="66">
        <v>255</v>
      </c>
      <c r="AS151" s="66">
        <v>108</v>
      </c>
      <c r="AT151" s="66">
        <v>172</v>
      </c>
      <c r="AU151" s="66">
        <v>94</v>
      </c>
      <c r="AV151" s="66">
        <v>199</v>
      </c>
      <c r="AW151" s="66">
        <v>80</v>
      </c>
      <c r="AX151" s="66">
        <v>152</v>
      </c>
      <c r="AY151" s="66">
        <v>195</v>
      </c>
      <c r="AZ151" s="66">
        <v>168</v>
      </c>
      <c r="BA151" s="66">
        <v>289</v>
      </c>
      <c r="BB151" s="66">
        <v>108</v>
      </c>
      <c r="BC151" s="66">
        <v>188</v>
      </c>
      <c r="BD151" s="66">
        <v>89</v>
      </c>
      <c r="BE151" s="66">
        <v>90</v>
      </c>
      <c r="BF151" s="66">
        <v>0</v>
      </c>
      <c r="BG151" s="66">
        <v>85</v>
      </c>
      <c r="BH151" s="66">
        <v>100</v>
      </c>
      <c r="BI151" s="66">
        <v>22</v>
      </c>
      <c r="BJ151" s="66">
        <v>71</v>
      </c>
      <c r="BK151" s="66">
        <v>76</v>
      </c>
      <c r="BL151" s="66">
        <v>60</v>
      </c>
      <c r="BM151" s="66">
        <v>73</v>
      </c>
      <c r="BN151" s="66">
        <v>59</v>
      </c>
      <c r="BO151" s="66">
        <v>56</v>
      </c>
      <c r="BP151" s="66">
        <v>95</v>
      </c>
      <c r="BQ151" s="66">
        <v>189</v>
      </c>
      <c r="BR151" s="66">
        <v>80</v>
      </c>
      <c r="BS151" s="66">
        <v>168</v>
      </c>
      <c r="BT151" s="66">
        <v>6</v>
      </c>
      <c r="BU151" s="66">
        <v>146</v>
      </c>
      <c r="BV151" s="66">
        <v>52</v>
      </c>
      <c r="BW151" s="66">
        <v>15</v>
      </c>
      <c r="BX151" s="66">
        <v>118</v>
      </c>
      <c r="BY151" s="66">
        <v>84</v>
      </c>
      <c r="BZ151" s="66">
        <v>119</v>
      </c>
      <c r="CA151" s="66">
        <v>98</v>
      </c>
      <c r="CB151" s="66">
        <v>97</v>
      </c>
      <c r="CC151" s="66">
        <v>27</v>
      </c>
      <c r="CD151" s="66">
        <v>46</v>
      </c>
      <c r="CE151" s="66">
        <v>106</v>
      </c>
      <c r="CF151" s="66">
        <v>102</v>
      </c>
      <c r="CG151" s="66">
        <v>72</v>
      </c>
      <c r="CH151" s="66">
        <v>275</v>
      </c>
      <c r="CI151" s="66">
        <v>131</v>
      </c>
      <c r="CJ151" s="66">
        <v>163</v>
      </c>
      <c r="CK151" s="66">
        <v>112</v>
      </c>
      <c r="CL151" s="66">
        <v>78</v>
      </c>
      <c r="CM151" s="66">
        <v>140</v>
      </c>
      <c r="CN151" s="66">
        <v>185</v>
      </c>
      <c r="CO151" s="66">
        <v>45</v>
      </c>
      <c r="CP151" s="66">
        <v>213</v>
      </c>
      <c r="CQ151" s="66">
        <v>85</v>
      </c>
      <c r="CR151" s="66">
        <v>609</v>
      </c>
      <c r="CS151" s="66">
        <v>82</v>
      </c>
      <c r="CT151" s="66">
        <v>4</v>
      </c>
      <c r="CU151" s="66">
        <v>0</v>
      </c>
      <c r="CV151" s="66">
        <v>0</v>
      </c>
      <c r="CW151" s="66">
        <v>0</v>
      </c>
      <c r="CX151" s="66">
        <v>0</v>
      </c>
      <c r="CY151" s="66">
        <v>0</v>
      </c>
      <c r="CZ151" s="66">
        <v>0</v>
      </c>
      <c r="DA151" s="66">
        <v>9</v>
      </c>
    </row>
    <row r="152" spans="1:105" ht="15" x14ac:dyDescent="0.35">
      <c r="A152" s="5" t="s">
        <v>393</v>
      </c>
      <c r="B152" s="5" t="s">
        <v>567</v>
      </c>
      <c r="C152" s="66">
        <v>10</v>
      </c>
      <c r="D152" s="66">
        <v>32</v>
      </c>
      <c r="E152" s="66">
        <v>0</v>
      </c>
      <c r="F152" s="66">
        <v>0</v>
      </c>
      <c r="G152" s="66">
        <v>138</v>
      </c>
      <c r="H152" s="66">
        <v>46</v>
      </c>
      <c r="I152" s="66">
        <v>35</v>
      </c>
      <c r="J152" s="66">
        <v>22</v>
      </c>
      <c r="K152" s="66">
        <v>208</v>
      </c>
      <c r="L152" s="66">
        <v>11</v>
      </c>
      <c r="M152" s="66">
        <v>240</v>
      </c>
      <c r="N152" s="66">
        <v>19</v>
      </c>
      <c r="O152" s="66">
        <v>23</v>
      </c>
      <c r="P152" s="66">
        <v>11</v>
      </c>
      <c r="Q152" s="66">
        <v>231</v>
      </c>
      <c r="R152" s="66">
        <v>13</v>
      </c>
      <c r="S152" s="66">
        <v>1</v>
      </c>
      <c r="T152" s="66">
        <v>0</v>
      </c>
      <c r="U152" s="66">
        <v>0</v>
      </c>
      <c r="V152" s="66">
        <v>0</v>
      </c>
      <c r="W152" s="66">
        <v>2</v>
      </c>
      <c r="X152" s="66">
        <v>24</v>
      </c>
      <c r="Y152" s="66">
        <v>22</v>
      </c>
      <c r="Z152" s="66">
        <v>3</v>
      </c>
      <c r="AA152" s="66">
        <v>26</v>
      </c>
      <c r="AB152" s="66">
        <v>20</v>
      </c>
      <c r="AC152" s="66">
        <v>33</v>
      </c>
      <c r="AD152" s="66">
        <v>14</v>
      </c>
      <c r="AE152" s="66">
        <v>9</v>
      </c>
      <c r="AF152" s="66">
        <v>31</v>
      </c>
      <c r="AG152" s="66">
        <v>6</v>
      </c>
      <c r="AH152" s="66">
        <v>306</v>
      </c>
      <c r="AI152" s="66">
        <v>10</v>
      </c>
      <c r="AJ152" s="66">
        <v>308</v>
      </c>
      <c r="AK152" s="66">
        <v>16</v>
      </c>
      <c r="AL152" s="66">
        <v>23</v>
      </c>
      <c r="AM152" s="66">
        <v>5</v>
      </c>
      <c r="AN152" s="66">
        <v>10</v>
      </c>
      <c r="AO152" s="66">
        <v>16</v>
      </c>
      <c r="AP152" s="66">
        <v>26</v>
      </c>
      <c r="AQ152" s="66">
        <v>40</v>
      </c>
      <c r="AR152" s="66">
        <v>15</v>
      </c>
      <c r="AS152" s="66">
        <v>15</v>
      </c>
      <c r="AT152" s="66">
        <v>26</v>
      </c>
      <c r="AU152" s="66">
        <v>33</v>
      </c>
      <c r="AV152" s="66">
        <v>17</v>
      </c>
      <c r="AW152" s="66">
        <v>44</v>
      </c>
      <c r="AX152" s="66">
        <v>16</v>
      </c>
      <c r="AY152" s="66">
        <v>28</v>
      </c>
      <c r="AZ152" s="66">
        <v>70</v>
      </c>
      <c r="BA152" s="66">
        <v>28</v>
      </c>
      <c r="BB152" s="66">
        <v>8</v>
      </c>
      <c r="BC152" s="66">
        <v>30</v>
      </c>
      <c r="BD152" s="66">
        <v>13</v>
      </c>
      <c r="BE152" s="66">
        <v>26</v>
      </c>
      <c r="BF152" s="66">
        <v>0</v>
      </c>
      <c r="BG152" s="66">
        <v>1</v>
      </c>
      <c r="BH152" s="66">
        <v>8</v>
      </c>
      <c r="BI152" s="66">
        <v>2</v>
      </c>
      <c r="BJ152" s="66">
        <v>21</v>
      </c>
      <c r="BK152" s="66">
        <v>6</v>
      </c>
      <c r="BL152" s="66">
        <v>5</v>
      </c>
      <c r="BM152" s="66">
        <v>24</v>
      </c>
      <c r="BN152" s="66">
        <v>6</v>
      </c>
      <c r="BO152" s="66">
        <v>14</v>
      </c>
      <c r="BP152" s="66">
        <v>4</v>
      </c>
      <c r="BQ152" s="66">
        <v>9</v>
      </c>
      <c r="BR152" s="66">
        <v>27</v>
      </c>
      <c r="BS152" s="66">
        <v>16</v>
      </c>
      <c r="BT152" s="66">
        <v>13</v>
      </c>
      <c r="BU152" s="66">
        <v>20</v>
      </c>
      <c r="BV152" s="66">
        <v>5</v>
      </c>
      <c r="BW152" s="66">
        <v>3</v>
      </c>
      <c r="BX152" s="66">
        <v>1</v>
      </c>
      <c r="BY152" s="66">
        <v>22</v>
      </c>
      <c r="BZ152" s="66">
        <v>116</v>
      </c>
      <c r="CA152" s="66">
        <v>4</v>
      </c>
      <c r="CB152" s="66">
        <v>2</v>
      </c>
      <c r="CC152" s="66">
        <v>504</v>
      </c>
      <c r="CD152" s="66">
        <v>5</v>
      </c>
      <c r="CE152" s="66">
        <v>3</v>
      </c>
      <c r="CF152" s="66">
        <v>1</v>
      </c>
      <c r="CG152" s="66">
        <v>523</v>
      </c>
      <c r="CH152" s="66">
        <v>0</v>
      </c>
      <c r="CI152" s="66">
        <v>14</v>
      </c>
      <c r="CJ152" s="66">
        <v>3</v>
      </c>
      <c r="CK152" s="66">
        <v>1</v>
      </c>
      <c r="CL152" s="66">
        <v>3</v>
      </c>
      <c r="CM152" s="66">
        <v>14</v>
      </c>
      <c r="CN152" s="66">
        <v>3</v>
      </c>
      <c r="CO152" s="66">
        <v>8</v>
      </c>
      <c r="CP152" s="66">
        <v>10</v>
      </c>
      <c r="CQ152" s="66">
        <v>117</v>
      </c>
      <c r="CR152" s="66">
        <v>1</v>
      </c>
      <c r="CS152" s="66">
        <v>3</v>
      </c>
      <c r="CT152" s="66">
        <v>19</v>
      </c>
      <c r="CU152" s="66">
        <v>23</v>
      </c>
      <c r="CV152" s="66">
        <v>13</v>
      </c>
      <c r="CW152" s="66">
        <v>23</v>
      </c>
      <c r="CX152" s="66">
        <v>19</v>
      </c>
      <c r="CY152" s="66">
        <v>4</v>
      </c>
      <c r="CZ152" s="66">
        <v>1</v>
      </c>
      <c r="DA152" s="66">
        <v>75</v>
      </c>
    </row>
    <row r="153" spans="1:105" ht="15" x14ac:dyDescent="0.35">
      <c r="A153" s="5" t="s">
        <v>394</v>
      </c>
      <c r="B153" s="5" t="s">
        <v>568</v>
      </c>
      <c r="C153" s="66">
        <v>0</v>
      </c>
      <c r="D153" s="66">
        <v>0</v>
      </c>
      <c r="E153" s="66">
        <v>0</v>
      </c>
      <c r="F153" s="66">
        <v>0</v>
      </c>
      <c r="G153" s="66">
        <v>0</v>
      </c>
      <c r="H153" s="66">
        <v>0</v>
      </c>
      <c r="I153" s="66">
        <v>0</v>
      </c>
      <c r="J153" s="66">
        <v>0</v>
      </c>
      <c r="K153" s="66">
        <v>0</v>
      </c>
      <c r="L153" s="66">
        <v>0</v>
      </c>
      <c r="M153" s="66">
        <v>0</v>
      </c>
      <c r="N153" s="66">
        <v>0</v>
      </c>
      <c r="O153" s="66">
        <v>0</v>
      </c>
      <c r="P153" s="66">
        <v>3</v>
      </c>
      <c r="Q153" s="66">
        <v>94</v>
      </c>
      <c r="R153" s="66">
        <v>56</v>
      </c>
      <c r="S153" s="66">
        <v>77</v>
      </c>
      <c r="T153" s="66">
        <v>45</v>
      </c>
      <c r="U153" s="66">
        <v>55</v>
      </c>
      <c r="V153" s="66">
        <v>48</v>
      </c>
      <c r="W153" s="66">
        <v>67</v>
      </c>
      <c r="X153" s="66">
        <v>52</v>
      </c>
      <c r="Y153" s="66">
        <v>11</v>
      </c>
      <c r="Z153" s="66">
        <v>59</v>
      </c>
      <c r="AA153" s="66">
        <v>21</v>
      </c>
      <c r="AB153" s="66">
        <v>21</v>
      </c>
      <c r="AC153" s="66">
        <v>21</v>
      </c>
      <c r="AD153" s="66">
        <v>17</v>
      </c>
      <c r="AE153" s="66">
        <v>5</v>
      </c>
      <c r="AF153" s="66">
        <v>29</v>
      </c>
      <c r="AG153" s="66">
        <v>327</v>
      </c>
      <c r="AH153" s="66">
        <v>0</v>
      </c>
      <c r="AI153" s="66">
        <v>59</v>
      </c>
      <c r="AJ153" s="66">
        <v>16</v>
      </c>
      <c r="AK153" s="66">
        <v>0</v>
      </c>
      <c r="AL153" s="66">
        <v>11</v>
      </c>
      <c r="AM153" s="66">
        <v>26</v>
      </c>
      <c r="AN153" s="66">
        <v>13</v>
      </c>
      <c r="AO153" s="66">
        <v>19</v>
      </c>
      <c r="AP153" s="66">
        <v>53</v>
      </c>
      <c r="AQ153" s="66">
        <v>37</v>
      </c>
      <c r="AR153" s="66">
        <v>45</v>
      </c>
      <c r="AS153" s="66">
        <v>59</v>
      </c>
      <c r="AT153" s="66">
        <v>32</v>
      </c>
      <c r="AU153" s="66">
        <v>123</v>
      </c>
      <c r="AV153" s="66">
        <v>64</v>
      </c>
      <c r="AW153" s="66">
        <v>47</v>
      </c>
      <c r="AX153" s="66">
        <v>87</v>
      </c>
      <c r="AY153" s="66">
        <v>36</v>
      </c>
      <c r="AZ153" s="66">
        <v>72</v>
      </c>
      <c r="BA153" s="66">
        <v>16</v>
      </c>
      <c r="BB153" s="66">
        <v>123</v>
      </c>
      <c r="BC153" s="66">
        <v>45</v>
      </c>
      <c r="BD153" s="66">
        <v>23</v>
      </c>
      <c r="BE153" s="66">
        <v>6</v>
      </c>
      <c r="BF153" s="66">
        <v>0</v>
      </c>
      <c r="BG153" s="66">
        <v>23</v>
      </c>
      <c r="BH153" s="66">
        <v>39</v>
      </c>
      <c r="BI153" s="66">
        <v>27</v>
      </c>
      <c r="BJ153" s="66">
        <v>17</v>
      </c>
      <c r="BK153" s="66">
        <v>23</v>
      </c>
      <c r="BL153" s="66">
        <v>1</v>
      </c>
      <c r="BM153" s="66">
        <v>85</v>
      </c>
      <c r="BN153" s="66">
        <v>13</v>
      </c>
      <c r="BO153" s="66">
        <v>63</v>
      </c>
      <c r="BP153" s="66">
        <v>43</v>
      </c>
      <c r="BQ153" s="66">
        <v>58</v>
      </c>
      <c r="BR153" s="66">
        <v>32</v>
      </c>
      <c r="BS153" s="66">
        <v>14</v>
      </c>
      <c r="BT153" s="66">
        <v>8</v>
      </c>
      <c r="BU153" s="66">
        <v>16</v>
      </c>
      <c r="BV153" s="66">
        <v>17</v>
      </c>
      <c r="BW153" s="66">
        <v>7</v>
      </c>
      <c r="BX153" s="66">
        <v>42</v>
      </c>
      <c r="BY153" s="66">
        <v>32</v>
      </c>
      <c r="BZ153" s="66">
        <v>28</v>
      </c>
      <c r="CA153" s="66">
        <v>29</v>
      </c>
      <c r="CB153" s="66">
        <v>11</v>
      </c>
      <c r="CC153" s="66">
        <v>9</v>
      </c>
      <c r="CD153" s="66">
        <v>12</v>
      </c>
      <c r="CE153" s="66">
        <v>20</v>
      </c>
      <c r="CF153" s="66">
        <v>8</v>
      </c>
      <c r="CG153" s="66">
        <v>14</v>
      </c>
      <c r="CH153" s="66">
        <v>20</v>
      </c>
      <c r="CI153" s="66">
        <v>15</v>
      </c>
      <c r="CJ153" s="66">
        <v>41</v>
      </c>
      <c r="CK153" s="66">
        <v>14</v>
      </c>
      <c r="CL153" s="66">
        <v>28</v>
      </c>
      <c r="CM153" s="66">
        <v>71</v>
      </c>
      <c r="CN153" s="66">
        <v>11</v>
      </c>
      <c r="CO153" s="66">
        <v>22</v>
      </c>
      <c r="CP153" s="66">
        <v>27</v>
      </c>
      <c r="CQ153" s="66">
        <v>13</v>
      </c>
      <c r="CR153" s="66">
        <v>34</v>
      </c>
      <c r="CS153" s="66">
        <v>45</v>
      </c>
      <c r="CT153" s="66">
        <v>24</v>
      </c>
      <c r="CU153" s="66">
        <v>42</v>
      </c>
      <c r="CV153" s="66">
        <v>75</v>
      </c>
      <c r="CW153" s="66">
        <v>44</v>
      </c>
      <c r="CX153" s="66">
        <v>89</v>
      </c>
      <c r="CY153" s="66">
        <v>348</v>
      </c>
      <c r="CZ153" s="66">
        <v>112</v>
      </c>
      <c r="DA153" s="66">
        <v>113</v>
      </c>
    </row>
    <row r="154" spans="1:105" ht="15" x14ac:dyDescent="0.35">
      <c r="A154" s="5" t="s">
        <v>395</v>
      </c>
      <c r="B154" s="5" t="s">
        <v>569</v>
      </c>
      <c r="C154" s="66">
        <v>205</v>
      </c>
      <c r="D154" s="66">
        <v>241</v>
      </c>
      <c r="E154" s="66">
        <v>20</v>
      </c>
      <c r="F154" s="66">
        <v>0</v>
      </c>
      <c r="G154" s="66">
        <v>234</v>
      </c>
      <c r="H154" s="66">
        <v>38</v>
      </c>
      <c r="I154" s="66">
        <v>185</v>
      </c>
      <c r="J154" s="66">
        <v>64</v>
      </c>
      <c r="K154" s="66">
        <v>92</v>
      </c>
      <c r="L154" s="66">
        <v>80</v>
      </c>
      <c r="M154" s="66">
        <v>99</v>
      </c>
      <c r="N154" s="66">
        <v>191</v>
      </c>
      <c r="O154" s="66">
        <v>107</v>
      </c>
      <c r="P154" s="66">
        <v>64</v>
      </c>
      <c r="Q154" s="66">
        <v>53</v>
      </c>
      <c r="R154" s="66">
        <v>239</v>
      </c>
      <c r="S154" s="66">
        <v>117</v>
      </c>
      <c r="T154" s="66">
        <v>86</v>
      </c>
      <c r="U154" s="66">
        <v>64</v>
      </c>
      <c r="V154" s="66">
        <v>358</v>
      </c>
      <c r="W154" s="66">
        <v>56</v>
      </c>
      <c r="X154" s="66">
        <v>32</v>
      </c>
      <c r="Y154" s="66">
        <v>156</v>
      </c>
      <c r="Z154" s="66">
        <v>101</v>
      </c>
      <c r="AA154" s="66">
        <v>47</v>
      </c>
      <c r="AB154" s="66">
        <v>58</v>
      </c>
      <c r="AC154" s="66">
        <v>247</v>
      </c>
      <c r="AD154" s="66">
        <v>127</v>
      </c>
      <c r="AE154" s="66">
        <v>131</v>
      </c>
      <c r="AF154" s="66">
        <v>43</v>
      </c>
      <c r="AG154" s="66">
        <v>118</v>
      </c>
      <c r="AH154" s="66">
        <v>52</v>
      </c>
      <c r="AI154" s="66">
        <v>65</v>
      </c>
      <c r="AJ154" s="66">
        <v>40</v>
      </c>
      <c r="AK154" s="66">
        <v>69</v>
      </c>
      <c r="AL154" s="66">
        <v>74</v>
      </c>
      <c r="AM154" s="66">
        <v>53</v>
      </c>
      <c r="AN154" s="66">
        <v>289</v>
      </c>
      <c r="AO154" s="66">
        <v>43</v>
      </c>
      <c r="AP154" s="66">
        <v>144</v>
      </c>
      <c r="AQ154" s="66">
        <v>111</v>
      </c>
      <c r="AR154" s="66">
        <v>152</v>
      </c>
      <c r="AS154" s="66">
        <v>623</v>
      </c>
      <c r="AT154" s="66">
        <v>270</v>
      </c>
      <c r="AU154" s="66">
        <v>591</v>
      </c>
      <c r="AV154" s="66">
        <v>310</v>
      </c>
      <c r="AW154" s="66">
        <v>243</v>
      </c>
      <c r="AX154" s="66">
        <v>233</v>
      </c>
      <c r="AY154" s="66">
        <v>467</v>
      </c>
      <c r="AZ154" s="66">
        <v>569</v>
      </c>
      <c r="BA154" s="66">
        <v>204</v>
      </c>
      <c r="BB154" s="66">
        <v>517</v>
      </c>
      <c r="BC154" s="66">
        <v>608</v>
      </c>
      <c r="BD154" s="66">
        <v>123</v>
      </c>
      <c r="BE154" s="66">
        <v>4</v>
      </c>
      <c r="BF154" s="66">
        <v>0</v>
      </c>
      <c r="BG154" s="66">
        <v>88</v>
      </c>
      <c r="BH154" s="66">
        <v>66</v>
      </c>
      <c r="BI154" s="66">
        <v>35</v>
      </c>
      <c r="BJ154" s="66">
        <v>169</v>
      </c>
      <c r="BK154" s="66">
        <v>38</v>
      </c>
      <c r="BL154" s="66">
        <v>51</v>
      </c>
      <c r="BM154" s="66">
        <v>66</v>
      </c>
      <c r="BN154" s="66">
        <v>114</v>
      </c>
      <c r="BO154" s="66">
        <v>45</v>
      </c>
      <c r="BP154" s="66">
        <v>3</v>
      </c>
      <c r="BQ154" s="66">
        <v>203</v>
      </c>
      <c r="BR154" s="66">
        <v>54</v>
      </c>
      <c r="BS154" s="66">
        <v>206</v>
      </c>
      <c r="BT154" s="66">
        <v>50</v>
      </c>
      <c r="BU154" s="66">
        <v>113</v>
      </c>
      <c r="BV154" s="66">
        <v>39</v>
      </c>
      <c r="BW154" s="66">
        <v>31</v>
      </c>
      <c r="BX154" s="66">
        <v>13</v>
      </c>
      <c r="BY154" s="66">
        <v>82</v>
      </c>
      <c r="BZ154" s="66">
        <v>266</v>
      </c>
      <c r="CA154" s="66">
        <v>3</v>
      </c>
      <c r="CB154" s="66">
        <v>39</v>
      </c>
      <c r="CC154" s="66">
        <v>93</v>
      </c>
      <c r="CD154" s="66">
        <v>129</v>
      </c>
      <c r="CE154" s="66">
        <v>55</v>
      </c>
      <c r="CF154" s="66">
        <v>77</v>
      </c>
      <c r="CG154" s="66">
        <v>55</v>
      </c>
      <c r="CH154" s="66">
        <v>10</v>
      </c>
      <c r="CI154" s="66">
        <v>59</v>
      </c>
      <c r="CJ154" s="66">
        <v>59</v>
      </c>
      <c r="CK154" s="66">
        <v>695</v>
      </c>
      <c r="CL154" s="66">
        <v>179</v>
      </c>
      <c r="CM154" s="66">
        <v>127</v>
      </c>
      <c r="CN154" s="66">
        <v>85</v>
      </c>
      <c r="CO154" s="66">
        <v>227</v>
      </c>
      <c r="CP154" s="66">
        <v>148</v>
      </c>
      <c r="CQ154" s="66">
        <v>53</v>
      </c>
      <c r="CR154" s="66">
        <v>190</v>
      </c>
      <c r="CS154" s="66">
        <v>79</v>
      </c>
      <c r="CT154" s="66">
        <v>224</v>
      </c>
      <c r="CU154" s="66">
        <v>127</v>
      </c>
      <c r="CV154" s="66">
        <v>211</v>
      </c>
      <c r="CW154" s="66">
        <v>81</v>
      </c>
      <c r="CX154" s="66">
        <v>161</v>
      </c>
      <c r="CY154" s="66">
        <v>494</v>
      </c>
      <c r="CZ154" s="66">
        <v>586</v>
      </c>
      <c r="DA154" s="66">
        <v>245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A8A85"/>
  </sheetPr>
  <dimension ref="A1:F15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36" customWidth="1"/>
    <col min="3" max="3" width="16" customWidth="1"/>
    <col min="4" max="4" width="14" customWidth="1"/>
    <col min="5" max="5" width="18" customWidth="1"/>
    <col min="6" max="6" width="14" customWidth="1"/>
  </cols>
  <sheetData>
    <row r="1" spans="1:6" ht="23.4" x14ac:dyDescent="0.55000000000000004">
      <c r="A1" s="1" t="s">
        <v>570</v>
      </c>
    </row>
    <row r="2" spans="1:6" x14ac:dyDescent="0.3">
      <c r="A2" s="2" t="s">
        <v>571</v>
      </c>
    </row>
    <row r="4" spans="1:6" ht="31.95" customHeight="1" x14ac:dyDescent="0.3">
      <c r="A4" s="8" t="s">
        <v>123</v>
      </c>
      <c r="B4" s="8" t="s">
        <v>132</v>
      </c>
      <c r="C4" s="8" t="s">
        <v>572</v>
      </c>
      <c r="D4" s="8" t="s">
        <v>573</v>
      </c>
      <c r="E4" s="8" t="s">
        <v>574</v>
      </c>
      <c r="F4" s="8" t="s">
        <v>575</v>
      </c>
    </row>
    <row r="5" spans="1:6" ht="15" x14ac:dyDescent="0.35">
      <c r="A5" s="58" t="s">
        <v>236</v>
      </c>
      <c r="B5" s="58" t="s">
        <v>420</v>
      </c>
      <c r="C5" s="67">
        <v>169725.02</v>
      </c>
      <c r="D5" s="68">
        <v>13544</v>
      </c>
      <c r="E5" s="67">
        <v>160270.37</v>
      </c>
      <c r="F5" s="58" t="s">
        <v>237</v>
      </c>
    </row>
    <row r="6" spans="1:6" ht="15" x14ac:dyDescent="0.35">
      <c r="A6" s="58" t="s">
        <v>158</v>
      </c>
      <c r="B6" s="58" t="s">
        <v>421</v>
      </c>
      <c r="C6" s="67">
        <v>104348.92</v>
      </c>
      <c r="D6" s="68">
        <v>37158</v>
      </c>
      <c r="E6" s="67">
        <v>97727.17</v>
      </c>
      <c r="F6" s="58" t="s">
        <v>238</v>
      </c>
    </row>
    <row r="7" spans="1:6" ht="15" x14ac:dyDescent="0.35">
      <c r="A7" s="58" t="s">
        <v>245</v>
      </c>
      <c r="B7" s="58" t="s">
        <v>422</v>
      </c>
      <c r="C7" s="67">
        <v>98526.63</v>
      </c>
      <c r="D7" s="68">
        <v>18159</v>
      </c>
      <c r="E7" s="67">
        <v>97325.28</v>
      </c>
      <c r="F7" s="58" t="s">
        <v>237</v>
      </c>
    </row>
    <row r="8" spans="1:6" ht="15" x14ac:dyDescent="0.35">
      <c r="A8" s="58" t="s">
        <v>248</v>
      </c>
      <c r="B8" s="58" t="s">
        <v>423</v>
      </c>
      <c r="C8" s="67">
        <v>92828.38</v>
      </c>
      <c r="D8" s="68">
        <v>47925</v>
      </c>
      <c r="E8" s="67">
        <v>90869.71</v>
      </c>
      <c r="F8" s="58" t="s">
        <v>237</v>
      </c>
    </row>
    <row r="9" spans="1:6" ht="15" x14ac:dyDescent="0.35">
      <c r="A9" s="58" t="s">
        <v>250</v>
      </c>
      <c r="B9" s="58" t="s">
        <v>424</v>
      </c>
      <c r="C9" s="67">
        <v>56729.21</v>
      </c>
      <c r="D9" s="68">
        <v>35017</v>
      </c>
      <c r="E9" s="67">
        <v>56285.16</v>
      </c>
      <c r="F9" s="58" t="s">
        <v>238</v>
      </c>
    </row>
    <row r="10" spans="1:6" ht="15" x14ac:dyDescent="0.35">
      <c r="A10" s="58" t="s">
        <v>251</v>
      </c>
      <c r="B10" s="58" t="s">
        <v>425</v>
      </c>
      <c r="C10" s="67">
        <v>56888.3</v>
      </c>
      <c r="D10" s="68">
        <v>16740</v>
      </c>
      <c r="E10" s="67">
        <v>55727.95</v>
      </c>
      <c r="F10" s="58" t="s">
        <v>239</v>
      </c>
    </row>
    <row r="11" spans="1:6" ht="15" x14ac:dyDescent="0.35">
      <c r="A11" s="58" t="s">
        <v>252</v>
      </c>
      <c r="B11" s="58" t="s">
        <v>426</v>
      </c>
      <c r="C11" s="67">
        <v>51868.86</v>
      </c>
      <c r="D11" s="68">
        <v>9955</v>
      </c>
      <c r="E11" s="67">
        <v>51524.91</v>
      </c>
      <c r="F11" s="58" t="s">
        <v>238</v>
      </c>
    </row>
    <row r="12" spans="1:6" ht="15" x14ac:dyDescent="0.35">
      <c r="A12" s="58" t="s">
        <v>253</v>
      </c>
      <c r="B12" s="58" t="s">
        <v>427</v>
      </c>
      <c r="C12" s="67">
        <v>51700.84</v>
      </c>
      <c r="D12" s="68">
        <v>1982</v>
      </c>
      <c r="E12" s="67">
        <v>51315.59</v>
      </c>
      <c r="F12" s="58" t="s">
        <v>239</v>
      </c>
    </row>
    <row r="13" spans="1:6" ht="15" x14ac:dyDescent="0.35">
      <c r="A13" s="58" t="s">
        <v>254</v>
      </c>
      <c r="B13" s="58" t="s">
        <v>428</v>
      </c>
      <c r="C13" s="67">
        <v>44794.83</v>
      </c>
      <c r="D13" s="68">
        <v>49361</v>
      </c>
      <c r="E13" s="67">
        <v>44426.46</v>
      </c>
      <c r="F13" s="58" t="s">
        <v>238</v>
      </c>
    </row>
    <row r="14" spans="1:6" ht="15" x14ac:dyDescent="0.35">
      <c r="A14" s="58" t="s">
        <v>255</v>
      </c>
      <c r="B14" s="58" t="s">
        <v>429</v>
      </c>
      <c r="C14" s="67">
        <v>41575.29</v>
      </c>
      <c r="D14" s="68">
        <v>21064</v>
      </c>
      <c r="E14" s="67">
        <v>40758.71</v>
      </c>
      <c r="F14" s="58" t="s">
        <v>237</v>
      </c>
    </row>
    <row r="15" spans="1:6" ht="15" x14ac:dyDescent="0.35">
      <c r="A15" s="58" t="s">
        <v>256</v>
      </c>
      <c r="B15" s="58" t="s">
        <v>430</v>
      </c>
      <c r="C15" s="67">
        <v>34656.65</v>
      </c>
      <c r="D15" s="68">
        <v>9990</v>
      </c>
      <c r="E15" s="67">
        <v>34577.75</v>
      </c>
      <c r="F15" s="58" t="s">
        <v>238</v>
      </c>
    </row>
    <row r="16" spans="1:6" ht="15" x14ac:dyDescent="0.35">
      <c r="A16" s="58" t="s">
        <v>257</v>
      </c>
      <c r="B16" s="58" t="s">
        <v>431</v>
      </c>
      <c r="C16" s="67">
        <v>34754.01</v>
      </c>
      <c r="D16" s="68">
        <v>18912</v>
      </c>
      <c r="E16" s="67">
        <v>33896.01</v>
      </c>
      <c r="F16" s="58" t="s">
        <v>237</v>
      </c>
    </row>
    <row r="17" spans="1:6" ht="15" x14ac:dyDescent="0.35">
      <c r="A17" s="58" t="s">
        <v>258</v>
      </c>
      <c r="B17" s="58" t="s">
        <v>432</v>
      </c>
      <c r="C17" s="67">
        <v>33384.449999999997</v>
      </c>
      <c r="D17" s="68">
        <v>5591</v>
      </c>
      <c r="E17" s="67">
        <v>33229.4</v>
      </c>
      <c r="F17" s="58" t="s">
        <v>239</v>
      </c>
    </row>
    <row r="18" spans="1:6" ht="15" x14ac:dyDescent="0.35">
      <c r="A18" s="58" t="s">
        <v>259</v>
      </c>
      <c r="B18" s="58" t="s">
        <v>433</v>
      </c>
      <c r="C18" s="67">
        <v>31943.1</v>
      </c>
      <c r="D18" s="68">
        <v>16865</v>
      </c>
      <c r="E18" s="67">
        <v>31496.69</v>
      </c>
      <c r="F18" s="58" t="s">
        <v>238</v>
      </c>
    </row>
    <row r="19" spans="1:6" ht="15" x14ac:dyDescent="0.35">
      <c r="A19" s="58" t="s">
        <v>260</v>
      </c>
      <c r="B19" s="58" t="s">
        <v>434</v>
      </c>
      <c r="C19" s="67">
        <v>30916.799999999999</v>
      </c>
      <c r="D19" s="68">
        <v>17367</v>
      </c>
      <c r="E19" s="67">
        <v>30715.45</v>
      </c>
      <c r="F19" s="58" t="s">
        <v>238</v>
      </c>
    </row>
    <row r="20" spans="1:6" ht="15" x14ac:dyDescent="0.35">
      <c r="A20" s="58" t="s">
        <v>261</v>
      </c>
      <c r="B20" s="58" t="s">
        <v>435</v>
      </c>
      <c r="C20" s="67">
        <v>30619.53</v>
      </c>
      <c r="D20" s="68">
        <v>23005</v>
      </c>
      <c r="E20" s="67">
        <v>30004.53</v>
      </c>
      <c r="F20" s="58" t="s">
        <v>237</v>
      </c>
    </row>
    <row r="21" spans="1:6" ht="15" x14ac:dyDescent="0.35">
      <c r="A21" s="58" t="s">
        <v>262</v>
      </c>
      <c r="B21" s="58" t="s">
        <v>436</v>
      </c>
      <c r="C21" s="67">
        <v>30121.69</v>
      </c>
      <c r="D21" s="68">
        <v>13366</v>
      </c>
      <c r="E21" s="67">
        <v>29521.439999999999</v>
      </c>
      <c r="F21" s="58" t="s">
        <v>237</v>
      </c>
    </row>
    <row r="22" spans="1:6" ht="15" x14ac:dyDescent="0.35">
      <c r="A22" s="58" t="s">
        <v>263</v>
      </c>
      <c r="B22" s="58" t="s">
        <v>437</v>
      </c>
      <c r="C22" s="67">
        <v>29174.87</v>
      </c>
      <c r="D22" s="68">
        <v>5399</v>
      </c>
      <c r="E22" s="67">
        <v>28625.99</v>
      </c>
      <c r="F22" s="58" t="s">
        <v>239</v>
      </c>
    </row>
    <row r="23" spans="1:6" ht="15" x14ac:dyDescent="0.35">
      <c r="A23" s="58" t="s">
        <v>264</v>
      </c>
      <c r="B23" s="58" t="s">
        <v>438</v>
      </c>
      <c r="C23" s="67">
        <v>28595.01</v>
      </c>
      <c r="D23" s="68">
        <v>5004</v>
      </c>
      <c r="E23" s="67">
        <v>28284.91</v>
      </c>
      <c r="F23" s="58" t="s">
        <v>239</v>
      </c>
    </row>
    <row r="24" spans="1:6" ht="15" x14ac:dyDescent="0.35">
      <c r="A24" s="58" t="s">
        <v>265</v>
      </c>
      <c r="B24" s="58" t="s">
        <v>439</v>
      </c>
      <c r="C24" s="67">
        <v>27466.73</v>
      </c>
      <c r="D24" s="68">
        <v>9069</v>
      </c>
      <c r="E24" s="67">
        <v>27315.13</v>
      </c>
      <c r="F24" s="58" t="s">
        <v>239</v>
      </c>
    </row>
    <row r="25" spans="1:6" ht="15" x14ac:dyDescent="0.35">
      <c r="A25" s="58" t="s">
        <v>266</v>
      </c>
      <c r="B25" s="58" t="s">
        <v>440</v>
      </c>
      <c r="C25" s="67">
        <v>27379.06</v>
      </c>
      <c r="D25" s="68">
        <v>12012</v>
      </c>
      <c r="E25" s="67">
        <v>26756.59</v>
      </c>
      <c r="F25" s="58" t="s">
        <v>237</v>
      </c>
    </row>
    <row r="26" spans="1:6" ht="15" x14ac:dyDescent="0.35">
      <c r="A26" s="58" t="s">
        <v>267</v>
      </c>
      <c r="B26" s="58" t="s">
        <v>441</v>
      </c>
      <c r="C26" s="67">
        <v>26852.27</v>
      </c>
      <c r="D26" s="68">
        <v>16981</v>
      </c>
      <c r="E26" s="67">
        <v>26739.4</v>
      </c>
      <c r="F26" s="58" t="s">
        <v>237</v>
      </c>
    </row>
    <row r="27" spans="1:6" ht="15" x14ac:dyDescent="0.35">
      <c r="A27" s="58" t="s">
        <v>268</v>
      </c>
      <c r="B27" s="58" t="s">
        <v>442</v>
      </c>
      <c r="C27" s="67">
        <v>26992.25</v>
      </c>
      <c r="D27" s="68">
        <v>3946</v>
      </c>
      <c r="E27" s="67">
        <v>26531.03</v>
      </c>
      <c r="F27" s="58" t="s">
        <v>239</v>
      </c>
    </row>
    <row r="28" spans="1:6" ht="15" x14ac:dyDescent="0.35">
      <c r="A28" s="58" t="s">
        <v>269</v>
      </c>
      <c r="B28" s="58" t="s">
        <v>443</v>
      </c>
      <c r="C28" s="67">
        <v>26944.45</v>
      </c>
      <c r="D28" s="68">
        <v>13393</v>
      </c>
      <c r="E28" s="67">
        <v>26437.73</v>
      </c>
      <c r="F28" s="58" t="s">
        <v>237</v>
      </c>
    </row>
    <row r="29" spans="1:6" ht="15" x14ac:dyDescent="0.35">
      <c r="A29" s="58" t="s">
        <v>270</v>
      </c>
      <c r="B29" s="58" t="s">
        <v>444</v>
      </c>
      <c r="C29" s="67">
        <v>25385.15</v>
      </c>
      <c r="D29" s="68">
        <v>14095</v>
      </c>
      <c r="E29" s="67">
        <v>25292.45</v>
      </c>
      <c r="F29" s="58" t="s">
        <v>237</v>
      </c>
    </row>
    <row r="30" spans="1:6" ht="15" x14ac:dyDescent="0.35">
      <c r="A30" s="58" t="s">
        <v>271</v>
      </c>
      <c r="B30" s="58" t="s">
        <v>445</v>
      </c>
      <c r="C30" s="67">
        <v>25322.21</v>
      </c>
      <c r="D30" s="68">
        <v>8199</v>
      </c>
      <c r="E30" s="67">
        <v>25172.560000000001</v>
      </c>
      <c r="F30" s="58" t="s">
        <v>237</v>
      </c>
    </row>
    <row r="31" spans="1:6" ht="15" x14ac:dyDescent="0.35">
      <c r="A31" s="58" t="s">
        <v>272</v>
      </c>
      <c r="B31" s="58" t="s">
        <v>446</v>
      </c>
      <c r="C31" s="67">
        <v>25249.42</v>
      </c>
      <c r="D31" s="68">
        <v>20893</v>
      </c>
      <c r="E31" s="67">
        <v>25165.67</v>
      </c>
      <c r="F31" s="58" t="s">
        <v>239</v>
      </c>
    </row>
    <row r="32" spans="1:6" ht="15" x14ac:dyDescent="0.35">
      <c r="A32" s="58" t="s">
        <v>273</v>
      </c>
      <c r="B32" s="58" t="s">
        <v>447</v>
      </c>
      <c r="C32" s="67">
        <v>25141.17</v>
      </c>
      <c r="D32" s="68">
        <v>3717</v>
      </c>
      <c r="E32" s="67">
        <v>24942.07</v>
      </c>
      <c r="F32" s="58" t="s">
        <v>239</v>
      </c>
    </row>
    <row r="33" spans="1:6" ht="15" x14ac:dyDescent="0.35">
      <c r="A33" s="58" t="s">
        <v>274</v>
      </c>
      <c r="B33" s="58" t="s">
        <v>448</v>
      </c>
      <c r="C33" s="67">
        <v>24792.65</v>
      </c>
      <c r="D33" s="68">
        <v>18463</v>
      </c>
      <c r="E33" s="67">
        <v>24434.12</v>
      </c>
      <c r="F33" s="58" t="s">
        <v>237</v>
      </c>
    </row>
    <row r="34" spans="1:6" ht="15" x14ac:dyDescent="0.35">
      <c r="A34" s="58" t="s">
        <v>275</v>
      </c>
      <c r="B34" s="58" t="s">
        <v>449</v>
      </c>
      <c r="C34" s="67">
        <v>24239.03</v>
      </c>
      <c r="D34" s="68">
        <v>8535</v>
      </c>
      <c r="E34" s="67">
        <v>24126.93</v>
      </c>
      <c r="F34" s="58" t="s">
        <v>237</v>
      </c>
    </row>
    <row r="35" spans="1:6" ht="15" x14ac:dyDescent="0.35">
      <c r="A35" s="58" t="s">
        <v>276</v>
      </c>
      <c r="B35" s="58" t="s">
        <v>450</v>
      </c>
      <c r="C35" s="67">
        <v>24460.86</v>
      </c>
      <c r="D35" s="68">
        <v>7810</v>
      </c>
      <c r="E35" s="67">
        <v>24063.41</v>
      </c>
      <c r="F35" s="58" t="s">
        <v>238</v>
      </c>
    </row>
    <row r="36" spans="1:6" ht="15" x14ac:dyDescent="0.35">
      <c r="A36" s="58" t="s">
        <v>277</v>
      </c>
      <c r="B36" s="58" t="s">
        <v>451</v>
      </c>
      <c r="C36" s="67">
        <v>24143.7</v>
      </c>
      <c r="D36" s="68">
        <v>2743</v>
      </c>
      <c r="E36" s="67">
        <v>23905.7</v>
      </c>
      <c r="F36" s="58" t="s">
        <v>239</v>
      </c>
    </row>
    <row r="37" spans="1:6" ht="15" x14ac:dyDescent="0.35">
      <c r="A37" s="58" t="s">
        <v>278</v>
      </c>
      <c r="B37" s="58" t="s">
        <v>452</v>
      </c>
      <c r="C37" s="67">
        <v>23392.38</v>
      </c>
      <c r="D37" s="68">
        <v>3707</v>
      </c>
      <c r="E37" s="67">
        <v>23360.58</v>
      </c>
      <c r="F37" s="58" t="s">
        <v>239</v>
      </c>
    </row>
    <row r="38" spans="1:6" ht="15" x14ac:dyDescent="0.35">
      <c r="A38" s="58" t="s">
        <v>279</v>
      </c>
      <c r="B38" s="58" t="s">
        <v>453</v>
      </c>
      <c r="C38" s="67">
        <v>23538.43</v>
      </c>
      <c r="D38" s="68">
        <v>8459</v>
      </c>
      <c r="E38" s="67">
        <v>23216.83</v>
      </c>
      <c r="F38" s="58" t="s">
        <v>239</v>
      </c>
    </row>
    <row r="39" spans="1:6" ht="15" x14ac:dyDescent="0.35">
      <c r="A39" s="58" t="s">
        <v>280</v>
      </c>
      <c r="B39" s="58" t="s">
        <v>454</v>
      </c>
      <c r="C39" s="67">
        <v>23573.39</v>
      </c>
      <c r="D39" s="68">
        <v>4067</v>
      </c>
      <c r="E39" s="67">
        <v>22914.19</v>
      </c>
      <c r="F39" s="58" t="s">
        <v>238</v>
      </c>
    </row>
    <row r="40" spans="1:6" ht="15" x14ac:dyDescent="0.35">
      <c r="A40" s="58" t="s">
        <v>281</v>
      </c>
      <c r="B40" s="58" t="s">
        <v>455</v>
      </c>
      <c r="C40" s="67">
        <v>22896.41</v>
      </c>
      <c r="D40" s="68">
        <v>13552</v>
      </c>
      <c r="E40" s="67">
        <v>22619.66</v>
      </c>
      <c r="F40" s="58" t="s">
        <v>238</v>
      </c>
    </row>
    <row r="41" spans="1:6" ht="15" x14ac:dyDescent="0.35">
      <c r="A41" s="58" t="s">
        <v>282</v>
      </c>
      <c r="B41" s="58" t="s">
        <v>456</v>
      </c>
      <c r="C41" s="67">
        <v>22595.83</v>
      </c>
      <c r="D41" s="68">
        <v>3227</v>
      </c>
      <c r="E41" s="67">
        <v>22556.03</v>
      </c>
      <c r="F41" s="58" t="s">
        <v>239</v>
      </c>
    </row>
    <row r="42" spans="1:6" ht="15" x14ac:dyDescent="0.35">
      <c r="A42" s="58" t="s">
        <v>283</v>
      </c>
      <c r="B42" s="58" t="s">
        <v>457</v>
      </c>
      <c r="C42" s="67">
        <v>22899.42</v>
      </c>
      <c r="D42" s="68">
        <v>10889</v>
      </c>
      <c r="E42" s="67">
        <v>22512.35</v>
      </c>
      <c r="F42" s="58" t="s">
        <v>237</v>
      </c>
    </row>
    <row r="43" spans="1:6" ht="15" x14ac:dyDescent="0.35">
      <c r="A43" s="58" t="s">
        <v>284</v>
      </c>
      <c r="B43" s="58" t="s">
        <v>458</v>
      </c>
      <c r="C43" s="67">
        <v>22588.37</v>
      </c>
      <c r="D43" s="68">
        <v>7507</v>
      </c>
      <c r="E43" s="67">
        <v>22391.97</v>
      </c>
      <c r="F43" s="58" t="s">
        <v>237</v>
      </c>
    </row>
    <row r="44" spans="1:6" ht="15" x14ac:dyDescent="0.35">
      <c r="A44" s="58" t="s">
        <v>285</v>
      </c>
      <c r="B44" s="58" t="s">
        <v>459</v>
      </c>
      <c r="C44" s="67">
        <v>22863.7</v>
      </c>
      <c r="D44" s="68">
        <v>4374</v>
      </c>
      <c r="E44" s="67">
        <v>22339.05</v>
      </c>
      <c r="F44" s="58" t="s">
        <v>239</v>
      </c>
    </row>
    <row r="45" spans="1:6" ht="15" x14ac:dyDescent="0.35">
      <c r="A45" s="58" t="s">
        <v>286</v>
      </c>
      <c r="B45" s="58" t="s">
        <v>460</v>
      </c>
      <c r="C45" s="67">
        <v>22488.35</v>
      </c>
      <c r="D45" s="68">
        <v>11006</v>
      </c>
      <c r="E45" s="67">
        <v>22318.65</v>
      </c>
      <c r="F45" s="58" t="s">
        <v>238</v>
      </c>
    </row>
    <row r="46" spans="1:6" ht="15" x14ac:dyDescent="0.35">
      <c r="A46" s="58" t="s">
        <v>287</v>
      </c>
      <c r="B46" s="58" t="s">
        <v>461</v>
      </c>
      <c r="C46" s="67">
        <v>22311.42</v>
      </c>
      <c r="D46" s="68">
        <v>5438</v>
      </c>
      <c r="E46" s="67">
        <v>22217.67</v>
      </c>
      <c r="F46" s="58" t="s">
        <v>238</v>
      </c>
    </row>
    <row r="47" spans="1:6" ht="15" x14ac:dyDescent="0.35">
      <c r="A47" s="58" t="s">
        <v>288</v>
      </c>
      <c r="B47" s="58" t="s">
        <v>462</v>
      </c>
      <c r="C47" s="67">
        <v>22063.89</v>
      </c>
      <c r="D47" s="68">
        <v>7893</v>
      </c>
      <c r="E47" s="67">
        <v>22032.29</v>
      </c>
      <c r="F47" s="58" t="s">
        <v>239</v>
      </c>
    </row>
    <row r="48" spans="1:6" ht="15" x14ac:dyDescent="0.35">
      <c r="A48" s="58" t="s">
        <v>289</v>
      </c>
      <c r="B48" s="58" t="s">
        <v>463</v>
      </c>
      <c r="C48" s="67">
        <v>22136.62</v>
      </c>
      <c r="D48" s="68">
        <v>7490</v>
      </c>
      <c r="E48" s="67">
        <v>21991.32</v>
      </c>
      <c r="F48" s="58" t="s">
        <v>238</v>
      </c>
    </row>
    <row r="49" spans="1:6" ht="15" x14ac:dyDescent="0.35">
      <c r="A49" s="58" t="s">
        <v>290</v>
      </c>
      <c r="B49" s="58" t="s">
        <v>464</v>
      </c>
      <c r="C49" s="67">
        <v>25760.92</v>
      </c>
      <c r="D49" s="68">
        <v>11693</v>
      </c>
      <c r="E49" s="67">
        <v>21985.59</v>
      </c>
      <c r="F49" s="58" t="s">
        <v>239</v>
      </c>
    </row>
    <row r="50" spans="1:6" ht="15" x14ac:dyDescent="0.35">
      <c r="A50" s="58" t="s">
        <v>291</v>
      </c>
      <c r="B50" s="58" t="s">
        <v>465</v>
      </c>
      <c r="C50" s="67">
        <v>22279.599999999999</v>
      </c>
      <c r="D50" s="68">
        <v>4552</v>
      </c>
      <c r="E50" s="67">
        <v>21968.5</v>
      </c>
      <c r="F50" s="58" t="s">
        <v>238</v>
      </c>
    </row>
    <row r="51" spans="1:6" ht="15" x14ac:dyDescent="0.35">
      <c r="A51" s="58" t="s">
        <v>292</v>
      </c>
      <c r="B51" s="58" t="s">
        <v>466</v>
      </c>
      <c r="C51" s="67">
        <v>22077.17</v>
      </c>
      <c r="D51" s="68">
        <v>12344</v>
      </c>
      <c r="E51" s="67">
        <v>21851.72</v>
      </c>
      <c r="F51" s="58" t="s">
        <v>237</v>
      </c>
    </row>
    <row r="52" spans="1:6" ht="15" x14ac:dyDescent="0.35">
      <c r="A52" s="58" t="s">
        <v>293</v>
      </c>
      <c r="B52" s="58" t="s">
        <v>467</v>
      </c>
      <c r="C52" s="67">
        <v>21841.22</v>
      </c>
      <c r="D52" s="68">
        <v>3394</v>
      </c>
      <c r="E52" s="67">
        <v>21741.17</v>
      </c>
      <c r="F52" s="58" t="s">
        <v>239</v>
      </c>
    </row>
    <row r="53" spans="1:6" ht="15" x14ac:dyDescent="0.35">
      <c r="A53" s="58" t="s">
        <v>294</v>
      </c>
      <c r="B53" s="58" t="s">
        <v>468</v>
      </c>
      <c r="C53" s="67">
        <v>22268.53</v>
      </c>
      <c r="D53" s="68">
        <v>8743</v>
      </c>
      <c r="E53" s="67">
        <v>21689.93</v>
      </c>
      <c r="F53" s="58" t="s">
        <v>237</v>
      </c>
    </row>
    <row r="54" spans="1:6" ht="15" x14ac:dyDescent="0.35">
      <c r="A54" s="58" t="s">
        <v>295</v>
      </c>
      <c r="B54" s="58" t="s">
        <v>469</v>
      </c>
      <c r="C54" s="67">
        <v>21718.33</v>
      </c>
      <c r="D54" s="68">
        <v>11925</v>
      </c>
      <c r="E54" s="67">
        <v>21521.08</v>
      </c>
      <c r="F54" s="58" t="s">
        <v>237</v>
      </c>
    </row>
    <row r="55" spans="1:6" ht="15" x14ac:dyDescent="0.35">
      <c r="A55" s="58" t="s">
        <v>296</v>
      </c>
      <c r="B55" s="58" t="s">
        <v>470</v>
      </c>
      <c r="C55" s="67">
        <v>21517.81</v>
      </c>
      <c r="D55" s="68">
        <v>4268</v>
      </c>
      <c r="E55" s="67">
        <v>21327.46</v>
      </c>
      <c r="F55" s="58" t="s">
        <v>237</v>
      </c>
    </row>
    <row r="56" spans="1:6" ht="15" x14ac:dyDescent="0.35">
      <c r="A56" s="58" t="s">
        <v>297</v>
      </c>
      <c r="B56" s="58" t="s">
        <v>471</v>
      </c>
      <c r="C56" s="67">
        <v>21748.42</v>
      </c>
      <c r="D56" s="68">
        <v>10834</v>
      </c>
      <c r="E56" s="67">
        <v>21316.99</v>
      </c>
      <c r="F56" s="58" t="s">
        <v>238</v>
      </c>
    </row>
    <row r="57" spans="1:6" ht="15" x14ac:dyDescent="0.35">
      <c r="A57" s="58" t="s">
        <v>298</v>
      </c>
      <c r="B57" s="58" t="s">
        <v>472</v>
      </c>
      <c r="C57" s="67">
        <v>21755.45</v>
      </c>
      <c r="D57" s="68">
        <v>11934</v>
      </c>
      <c r="E57" s="67">
        <v>21275.15</v>
      </c>
      <c r="F57" s="58" t="s">
        <v>238</v>
      </c>
    </row>
    <row r="58" spans="1:6" ht="15" x14ac:dyDescent="0.35">
      <c r="A58" s="58" t="s">
        <v>299</v>
      </c>
      <c r="B58" s="58" t="s">
        <v>473</v>
      </c>
      <c r="C58" s="67">
        <v>21297.51</v>
      </c>
      <c r="D58" s="68">
        <v>3211</v>
      </c>
      <c r="E58" s="67">
        <v>21257.46</v>
      </c>
      <c r="F58" s="58" t="s">
        <v>239</v>
      </c>
    </row>
    <row r="59" spans="1:6" ht="15" x14ac:dyDescent="0.35">
      <c r="A59" s="58" t="s">
        <v>300</v>
      </c>
      <c r="B59" s="58" t="s">
        <v>474</v>
      </c>
      <c r="C59" s="67">
        <v>21582.639999999999</v>
      </c>
      <c r="D59" s="68">
        <v>9595</v>
      </c>
      <c r="E59" s="67">
        <v>21156.18</v>
      </c>
      <c r="F59" s="58" t="s">
        <v>237</v>
      </c>
    </row>
    <row r="60" spans="1:6" ht="15" x14ac:dyDescent="0.35">
      <c r="A60" s="58" t="s">
        <v>301</v>
      </c>
      <c r="B60" s="58" t="s">
        <v>475</v>
      </c>
      <c r="C60" s="67">
        <v>21420.19</v>
      </c>
      <c r="D60" s="68">
        <v>1685</v>
      </c>
      <c r="E60" s="67">
        <v>21010.39</v>
      </c>
      <c r="F60" s="58" t="s">
        <v>238</v>
      </c>
    </row>
    <row r="61" spans="1:6" ht="15" x14ac:dyDescent="0.35">
      <c r="A61" s="58" t="s">
        <v>302</v>
      </c>
      <c r="B61" s="58" t="s">
        <v>476</v>
      </c>
      <c r="C61" s="67">
        <v>21296.79</v>
      </c>
      <c r="D61" s="68">
        <v>11615</v>
      </c>
      <c r="E61" s="67">
        <v>20969.29</v>
      </c>
      <c r="F61" s="58" t="s">
        <v>237</v>
      </c>
    </row>
    <row r="62" spans="1:6" ht="15" x14ac:dyDescent="0.35">
      <c r="A62" s="58" t="s">
        <v>303</v>
      </c>
      <c r="B62" s="58" t="s">
        <v>477</v>
      </c>
      <c r="C62" s="67">
        <v>21089.4</v>
      </c>
      <c r="D62" s="68">
        <v>4566</v>
      </c>
      <c r="E62" s="67">
        <v>20832.95</v>
      </c>
      <c r="F62" s="58" t="s">
        <v>239</v>
      </c>
    </row>
    <row r="63" spans="1:6" ht="15" x14ac:dyDescent="0.35">
      <c r="A63" s="58" t="s">
        <v>304</v>
      </c>
      <c r="B63" s="58" t="s">
        <v>478</v>
      </c>
      <c r="C63" s="67">
        <v>21003.88</v>
      </c>
      <c r="D63" s="68">
        <v>36448</v>
      </c>
      <c r="E63" s="67">
        <v>20790.64</v>
      </c>
      <c r="F63" s="58" t="s">
        <v>237</v>
      </c>
    </row>
    <row r="64" spans="1:6" ht="15" x14ac:dyDescent="0.35">
      <c r="A64" s="58" t="s">
        <v>305</v>
      </c>
      <c r="B64" s="58" t="s">
        <v>479</v>
      </c>
      <c r="C64" s="67">
        <v>20468.39</v>
      </c>
      <c r="D64" s="68">
        <v>10140</v>
      </c>
      <c r="E64" s="67">
        <v>19988.02</v>
      </c>
      <c r="F64" s="58" t="s">
        <v>237</v>
      </c>
    </row>
    <row r="65" spans="1:6" ht="15" x14ac:dyDescent="0.35">
      <c r="A65" s="58" t="s">
        <v>306</v>
      </c>
      <c r="B65" s="58" t="s">
        <v>480</v>
      </c>
      <c r="C65" s="67">
        <v>20776.79</v>
      </c>
      <c r="D65" s="68">
        <v>6691</v>
      </c>
      <c r="E65" s="67">
        <v>19883.54</v>
      </c>
      <c r="F65" s="58" t="s">
        <v>237</v>
      </c>
    </row>
    <row r="66" spans="1:6" ht="15" x14ac:dyDescent="0.35">
      <c r="A66" s="58" t="s">
        <v>307</v>
      </c>
      <c r="B66" s="58" t="s">
        <v>481</v>
      </c>
      <c r="C66" s="67">
        <v>19968.2</v>
      </c>
      <c r="D66" s="68">
        <v>16729</v>
      </c>
      <c r="E66" s="67">
        <v>19797.89</v>
      </c>
      <c r="F66" s="58" t="s">
        <v>237</v>
      </c>
    </row>
    <row r="67" spans="1:6" ht="15" x14ac:dyDescent="0.35">
      <c r="A67" s="58" t="s">
        <v>308</v>
      </c>
      <c r="B67" s="58" t="s">
        <v>482</v>
      </c>
      <c r="C67" s="67">
        <v>20300.740000000002</v>
      </c>
      <c r="D67" s="68">
        <v>11261</v>
      </c>
      <c r="E67" s="67">
        <v>19754.740000000002</v>
      </c>
      <c r="F67" s="58" t="s">
        <v>238</v>
      </c>
    </row>
    <row r="68" spans="1:6" ht="15" x14ac:dyDescent="0.35">
      <c r="A68" s="58" t="s">
        <v>309</v>
      </c>
      <c r="B68" s="58" t="s">
        <v>483</v>
      </c>
      <c r="C68" s="67">
        <v>23633.13</v>
      </c>
      <c r="D68" s="68">
        <v>3587</v>
      </c>
      <c r="E68" s="67">
        <v>19078.23</v>
      </c>
      <c r="F68" s="58" t="s">
        <v>239</v>
      </c>
    </row>
    <row r="69" spans="1:6" ht="15" x14ac:dyDescent="0.35">
      <c r="A69" s="58" t="s">
        <v>310</v>
      </c>
      <c r="B69" s="58" t="s">
        <v>484</v>
      </c>
      <c r="C69" s="67">
        <v>19011.11</v>
      </c>
      <c r="D69" s="68">
        <v>4571</v>
      </c>
      <c r="E69" s="67">
        <v>18906.11</v>
      </c>
      <c r="F69" s="58" t="s">
        <v>238</v>
      </c>
    </row>
    <row r="70" spans="1:6" ht="15" x14ac:dyDescent="0.35">
      <c r="A70" s="58" t="s">
        <v>311</v>
      </c>
      <c r="B70" s="58" t="s">
        <v>485</v>
      </c>
      <c r="C70" s="67">
        <v>19657.849999999999</v>
      </c>
      <c r="D70" s="68">
        <v>1639</v>
      </c>
      <c r="E70" s="67">
        <v>18767.650000000001</v>
      </c>
      <c r="F70" s="58" t="s">
        <v>239</v>
      </c>
    </row>
    <row r="71" spans="1:6" ht="15" x14ac:dyDescent="0.35">
      <c r="A71" s="58" t="s">
        <v>312</v>
      </c>
      <c r="B71" s="58" t="s">
        <v>486</v>
      </c>
      <c r="C71" s="67">
        <v>18272.07</v>
      </c>
      <c r="D71" s="68">
        <v>6369</v>
      </c>
      <c r="E71" s="67">
        <v>17983.02</v>
      </c>
      <c r="F71" s="58" t="s">
        <v>238</v>
      </c>
    </row>
    <row r="72" spans="1:6" ht="15" x14ac:dyDescent="0.35">
      <c r="A72" s="58" t="s">
        <v>313</v>
      </c>
      <c r="B72" s="58" t="s">
        <v>487</v>
      </c>
      <c r="C72" s="67">
        <v>18470.849999999999</v>
      </c>
      <c r="D72" s="68">
        <v>23724</v>
      </c>
      <c r="E72" s="67">
        <v>17965.169999999998</v>
      </c>
      <c r="F72" s="58" t="s">
        <v>238</v>
      </c>
    </row>
    <row r="73" spans="1:6" ht="15" x14ac:dyDescent="0.35">
      <c r="A73" s="58" t="s">
        <v>314</v>
      </c>
      <c r="B73" s="58" t="s">
        <v>488</v>
      </c>
      <c r="C73" s="67">
        <v>18041.18</v>
      </c>
      <c r="D73" s="68">
        <v>9801</v>
      </c>
      <c r="E73" s="67">
        <v>17906.28</v>
      </c>
      <c r="F73" s="58" t="s">
        <v>237</v>
      </c>
    </row>
    <row r="74" spans="1:6" ht="15" x14ac:dyDescent="0.35">
      <c r="A74" s="58" t="s">
        <v>315</v>
      </c>
      <c r="B74" s="58" t="s">
        <v>489</v>
      </c>
      <c r="C74" s="67">
        <v>17967.87</v>
      </c>
      <c r="D74" s="68">
        <v>7573</v>
      </c>
      <c r="E74" s="67">
        <v>17721.27</v>
      </c>
      <c r="F74" s="58" t="s">
        <v>237</v>
      </c>
    </row>
    <row r="75" spans="1:6" ht="15" x14ac:dyDescent="0.35">
      <c r="A75" s="58" t="s">
        <v>316</v>
      </c>
      <c r="B75" s="58" t="s">
        <v>490</v>
      </c>
      <c r="C75" s="67">
        <v>17866.12</v>
      </c>
      <c r="D75" s="68">
        <v>10359</v>
      </c>
      <c r="E75" s="67">
        <v>17623.77</v>
      </c>
      <c r="F75" s="58" t="s">
        <v>237</v>
      </c>
    </row>
    <row r="76" spans="1:6" ht="15" x14ac:dyDescent="0.35">
      <c r="A76" s="58" t="s">
        <v>317</v>
      </c>
      <c r="B76" s="58" t="s">
        <v>491</v>
      </c>
      <c r="C76" s="67">
        <v>17771.97</v>
      </c>
      <c r="D76" s="68">
        <v>8864</v>
      </c>
      <c r="E76" s="67">
        <v>17610.87</v>
      </c>
      <c r="F76" s="58" t="s">
        <v>238</v>
      </c>
    </row>
    <row r="77" spans="1:6" ht="15" x14ac:dyDescent="0.35">
      <c r="A77" s="58" t="s">
        <v>318</v>
      </c>
      <c r="B77" s="58" t="s">
        <v>492</v>
      </c>
      <c r="C77" s="67">
        <v>20034.12</v>
      </c>
      <c r="D77" s="68">
        <v>1918</v>
      </c>
      <c r="E77" s="67">
        <v>17502.87</v>
      </c>
      <c r="F77" s="58" t="s">
        <v>238</v>
      </c>
    </row>
    <row r="78" spans="1:6" ht="15" x14ac:dyDescent="0.35">
      <c r="A78" s="58" t="s">
        <v>319</v>
      </c>
      <c r="B78" s="58" t="s">
        <v>493</v>
      </c>
      <c r="C78" s="67">
        <v>18849.48</v>
      </c>
      <c r="D78" s="68">
        <v>6772</v>
      </c>
      <c r="E78" s="67">
        <v>17157.98</v>
      </c>
      <c r="F78" s="58" t="s">
        <v>239</v>
      </c>
    </row>
    <row r="79" spans="1:6" ht="15" x14ac:dyDescent="0.35">
      <c r="A79" s="58" t="s">
        <v>320</v>
      </c>
      <c r="B79" s="58" t="s">
        <v>494</v>
      </c>
      <c r="C79" s="67">
        <v>16964.63</v>
      </c>
      <c r="D79" s="68">
        <v>3392</v>
      </c>
      <c r="E79" s="67">
        <v>16865.63</v>
      </c>
      <c r="F79" s="58" t="s">
        <v>239</v>
      </c>
    </row>
    <row r="80" spans="1:6" ht="15" x14ac:dyDescent="0.35">
      <c r="A80" s="58" t="s">
        <v>321</v>
      </c>
      <c r="B80" s="58" t="s">
        <v>495</v>
      </c>
      <c r="C80" s="67">
        <v>17355.04</v>
      </c>
      <c r="D80" s="68">
        <v>2022</v>
      </c>
      <c r="E80" s="67">
        <v>16787.04</v>
      </c>
      <c r="F80" s="58" t="s">
        <v>237</v>
      </c>
    </row>
    <row r="81" spans="1:6" ht="15" x14ac:dyDescent="0.35">
      <c r="A81" s="58" t="s">
        <v>322</v>
      </c>
      <c r="B81" s="58" t="s">
        <v>496</v>
      </c>
      <c r="C81" s="67">
        <v>16996.11</v>
      </c>
      <c r="D81" s="68">
        <v>10291</v>
      </c>
      <c r="E81" s="67">
        <v>16759.91</v>
      </c>
      <c r="F81" s="58" t="s">
        <v>237</v>
      </c>
    </row>
    <row r="82" spans="1:6" ht="15" x14ac:dyDescent="0.35">
      <c r="A82" s="58" t="s">
        <v>323</v>
      </c>
      <c r="B82" s="58" t="s">
        <v>497</v>
      </c>
      <c r="C82" s="67">
        <v>16595.009999999998</v>
      </c>
      <c r="D82" s="68">
        <v>4028</v>
      </c>
      <c r="E82" s="67">
        <v>16590.86</v>
      </c>
      <c r="F82" s="58" t="s">
        <v>238</v>
      </c>
    </row>
    <row r="83" spans="1:6" ht="15" x14ac:dyDescent="0.35">
      <c r="A83" s="58" t="s">
        <v>324</v>
      </c>
      <c r="B83" s="58" t="s">
        <v>498</v>
      </c>
      <c r="C83" s="67">
        <v>16659.349999999999</v>
      </c>
      <c r="D83" s="68">
        <v>26224</v>
      </c>
      <c r="E83" s="67">
        <v>16531.95</v>
      </c>
      <c r="F83" s="58" t="s">
        <v>238</v>
      </c>
    </row>
    <row r="84" spans="1:6" ht="15" x14ac:dyDescent="0.35">
      <c r="A84" s="58" t="s">
        <v>325</v>
      </c>
      <c r="B84" s="58" t="s">
        <v>499</v>
      </c>
      <c r="C84" s="67">
        <v>16646.439999999999</v>
      </c>
      <c r="D84" s="68">
        <v>2724</v>
      </c>
      <c r="E84" s="67">
        <v>16527.84</v>
      </c>
      <c r="F84" s="58" t="s">
        <v>237</v>
      </c>
    </row>
    <row r="85" spans="1:6" ht="15" x14ac:dyDescent="0.35">
      <c r="A85" s="58" t="s">
        <v>326</v>
      </c>
      <c r="B85" s="58" t="s">
        <v>500</v>
      </c>
      <c r="C85" s="67">
        <v>16578.2</v>
      </c>
      <c r="D85" s="68">
        <v>8905</v>
      </c>
      <c r="E85" s="67">
        <v>16522.099999999999</v>
      </c>
      <c r="F85" s="58" t="s">
        <v>237</v>
      </c>
    </row>
    <row r="86" spans="1:6" ht="15" x14ac:dyDescent="0.35">
      <c r="A86" s="58" t="s">
        <v>327</v>
      </c>
      <c r="B86" s="58" t="s">
        <v>501</v>
      </c>
      <c r="C86" s="67">
        <v>16348.46</v>
      </c>
      <c r="D86" s="68">
        <v>8307</v>
      </c>
      <c r="E86" s="67">
        <v>16133.32</v>
      </c>
      <c r="F86" s="58" t="s">
        <v>238</v>
      </c>
    </row>
    <row r="87" spans="1:6" ht="15" x14ac:dyDescent="0.35">
      <c r="A87" s="58" t="s">
        <v>328</v>
      </c>
      <c r="B87" s="58" t="s">
        <v>502</v>
      </c>
      <c r="C87" s="67">
        <v>16134.99</v>
      </c>
      <c r="D87" s="68">
        <v>6981</v>
      </c>
      <c r="E87" s="67">
        <v>16001.53</v>
      </c>
      <c r="F87" s="58" t="s">
        <v>238</v>
      </c>
    </row>
    <row r="88" spans="1:6" ht="15" x14ac:dyDescent="0.35">
      <c r="A88" s="58" t="s">
        <v>329</v>
      </c>
      <c r="B88" s="58" t="s">
        <v>503</v>
      </c>
      <c r="C88" s="67">
        <v>16809.68</v>
      </c>
      <c r="D88" s="68">
        <v>2935</v>
      </c>
      <c r="E88" s="67">
        <v>15835.43</v>
      </c>
      <c r="F88" s="58" t="s">
        <v>238</v>
      </c>
    </row>
    <row r="89" spans="1:6" ht="15" x14ac:dyDescent="0.35">
      <c r="A89" s="58" t="s">
        <v>330</v>
      </c>
      <c r="B89" s="58" t="s">
        <v>504</v>
      </c>
      <c r="C89" s="67">
        <v>15810</v>
      </c>
      <c r="D89" s="68">
        <v>12714</v>
      </c>
      <c r="E89" s="67">
        <v>15722.6</v>
      </c>
      <c r="F89" s="58" t="s">
        <v>237</v>
      </c>
    </row>
    <row r="90" spans="1:6" ht="15" x14ac:dyDescent="0.35">
      <c r="A90" s="58" t="s">
        <v>331</v>
      </c>
      <c r="B90" s="58" t="s">
        <v>505</v>
      </c>
      <c r="C90" s="67">
        <v>15925.22</v>
      </c>
      <c r="D90" s="68">
        <v>12097</v>
      </c>
      <c r="E90" s="67">
        <v>15719.88</v>
      </c>
      <c r="F90" s="58" t="s">
        <v>237</v>
      </c>
    </row>
    <row r="91" spans="1:6" ht="15" x14ac:dyDescent="0.35">
      <c r="A91" s="58" t="s">
        <v>332</v>
      </c>
      <c r="B91" s="58" t="s">
        <v>506</v>
      </c>
      <c r="C91" s="67">
        <v>18856.169999999998</v>
      </c>
      <c r="D91" s="68">
        <v>6259</v>
      </c>
      <c r="E91" s="67">
        <v>15596.11</v>
      </c>
      <c r="F91" s="58" t="s">
        <v>239</v>
      </c>
    </row>
    <row r="92" spans="1:6" ht="15" x14ac:dyDescent="0.35">
      <c r="A92" s="58" t="s">
        <v>333</v>
      </c>
      <c r="B92" s="58" t="s">
        <v>507</v>
      </c>
      <c r="C92" s="67">
        <v>15722.92</v>
      </c>
      <c r="D92" s="68">
        <v>1817</v>
      </c>
      <c r="E92" s="67">
        <v>15585.22</v>
      </c>
      <c r="F92" s="58" t="s">
        <v>237</v>
      </c>
    </row>
    <row r="93" spans="1:6" ht="15" x14ac:dyDescent="0.35">
      <c r="A93" s="58" t="s">
        <v>334</v>
      </c>
      <c r="B93" s="58" t="s">
        <v>508</v>
      </c>
      <c r="C93" s="67">
        <v>15525.89</v>
      </c>
      <c r="D93" s="68">
        <v>6897</v>
      </c>
      <c r="E93" s="67">
        <v>15418.04</v>
      </c>
      <c r="F93" s="58" t="s">
        <v>238</v>
      </c>
    </row>
    <row r="94" spans="1:6" ht="15" x14ac:dyDescent="0.35">
      <c r="A94" s="58" t="s">
        <v>335</v>
      </c>
      <c r="B94" s="58" t="s">
        <v>509</v>
      </c>
      <c r="C94" s="67">
        <v>15475.74</v>
      </c>
      <c r="D94" s="68">
        <v>3273</v>
      </c>
      <c r="E94" s="67">
        <v>15417.74</v>
      </c>
      <c r="F94" s="58" t="s">
        <v>239</v>
      </c>
    </row>
    <row r="95" spans="1:6" ht="15" x14ac:dyDescent="0.35">
      <c r="A95" s="58" t="s">
        <v>336</v>
      </c>
      <c r="B95" s="58" t="s">
        <v>510</v>
      </c>
      <c r="C95" s="67">
        <v>15564.63</v>
      </c>
      <c r="D95" s="68">
        <v>11363</v>
      </c>
      <c r="E95" s="67">
        <v>15121.38</v>
      </c>
      <c r="F95" s="58" t="s">
        <v>238</v>
      </c>
    </row>
    <row r="96" spans="1:6" ht="15" x14ac:dyDescent="0.35">
      <c r="A96" s="58" t="s">
        <v>337</v>
      </c>
      <c r="B96" s="58" t="s">
        <v>511</v>
      </c>
      <c r="C96" s="67">
        <v>15146.37</v>
      </c>
      <c r="D96" s="68">
        <v>5201</v>
      </c>
      <c r="E96" s="67">
        <v>14948.92</v>
      </c>
      <c r="F96" s="58" t="s">
        <v>239</v>
      </c>
    </row>
    <row r="97" spans="1:6" ht="15" x14ac:dyDescent="0.35">
      <c r="A97" s="58" t="s">
        <v>338</v>
      </c>
      <c r="B97" s="58" t="s">
        <v>512</v>
      </c>
      <c r="C97" s="67">
        <v>16145.21</v>
      </c>
      <c r="D97" s="68">
        <v>410</v>
      </c>
      <c r="E97" s="67">
        <v>14896.96</v>
      </c>
      <c r="F97" s="58" t="s">
        <v>238</v>
      </c>
    </row>
    <row r="98" spans="1:6" ht="15" x14ac:dyDescent="0.35">
      <c r="A98" s="58" t="s">
        <v>339</v>
      </c>
      <c r="B98" s="58" t="s">
        <v>513</v>
      </c>
      <c r="C98" s="67">
        <v>13909.47</v>
      </c>
      <c r="D98" s="68">
        <v>2927</v>
      </c>
      <c r="E98" s="67">
        <v>13875.52</v>
      </c>
      <c r="F98" s="58" t="s">
        <v>239</v>
      </c>
    </row>
    <row r="99" spans="1:6" ht="15" x14ac:dyDescent="0.35">
      <c r="A99" s="58" t="s">
        <v>340</v>
      </c>
      <c r="B99" s="58" t="s">
        <v>514</v>
      </c>
      <c r="C99" s="67">
        <v>13884.16</v>
      </c>
      <c r="D99" s="68">
        <v>1980</v>
      </c>
      <c r="E99" s="67">
        <v>13836.46</v>
      </c>
      <c r="F99" s="58" t="s">
        <v>239</v>
      </c>
    </row>
    <row r="100" spans="1:6" ht="15" x14ac:dyDescent="0.35">
      <c r="A100" s="58" t="s">
        <v>341</v>
      </c>
      <c r="B100" s="58" t="s">
        <v>515</v>
      </c>
      <c r="C100" s="67">
        <v>13892.12</v>
      </c>
      <c r="D100" s="68">
        <v>1351</v>
      </c>
      <c r="E100" s="67">
        <v>13740.77</v>
      </c>
      <c r="F100" s="58" t="s">
        <v>242</v>
      </c>
    </row>
    <row r="101" spans="1:6" ht="15" x14ac:dyDescent="0.35">
      <c r="A101" s="58" t="s">
        <v>342</v>
      </c>
      <c r="B101" s="58" t="s">
        <v>516</v>
      </c>
      <c r="C101" s="67">
        <v>13820.71</v>
      </c>
      <c r="D101" s="68">
        <v>7160</v>
      </c>
      <c r="E101" s="67">
        <v>13685.49</v>
      </c>
      <c r="F101" s="58" t="s">
        <v>241</v>
      </c>
    </row>
    <row r="102" spans="1:6" ht="15" x14ac:dyDescent="0.35">
      <c r="A102" s="58" t="s">
        <v>343</v>
      </c>
      <c r="B102" s="58" t="s">
        <v>517</v>
      </c>
      <c r="C102" s="67">
        <v>13561.17</v>
      </c>
      <c r="D102" s="68">
        <v>1562</v>
      </c>
      <c r="E102" s="67">
        <v>13370.77</v>
      </c>
      <c r="F102" s="58" t="s">
        <v>241</v>
      </c>
    </row>
    <row r="103" spans="1:6" ht="15" x14ac:dyDescent="0.35">
      <c r="A103" s="58" t="s">
        <v>344</v>
      </c>
      <c r="B103" s="58" t="s">
        <v>518</v>
      </c>
      <c r="C103" s="67">
        <v>13338.45</v>
      </c>
      <c r="D103" s="68">
        <v>6117</v>
      </c>
      <c r="E103" s="67">
        <v>13332.21</v>
      </c>
      <c r="F103" s="58" t="s">
        <v>240</v>
      </c>
    </row>
    <row r="104" spans="1:6" ht="15" x14ac:dyDescent="0.35">
      <c r="A104" s="58" t="s">
        <v>345</v>
      </c>
      <c r="B104" s="58" t="s">
        <v>519</v>
      </c>
      <c r="C104" s="67">
        <v>13410.17</v>
      </c>
      <c r="D104" s="68">
        <v>4417</v>
      </c>
      <c r="E104" s="67">
        <v>13244.97</v>
      </c>
      <c r="F104" s="58" t="s">
        <v>240</v>
      </c>
    </row>
    <row r="105" spans="1:6" ht="15" x14ac:dyDescent="0.35">
      <c r="A105" s="58" t="s">
        <v>346</v>
      </c>
      <c r="B105" s="58" t="s">
        <v>520</v>
      </c>
      <c r="C105" s="67">
        <v>14361.65</v>
      </c>
      <c r="D105" s="68">
        <v>2277</v>
      </c>
      <c r="E105" s="67">
        <v>13150.7</v>
      </c>
      <c r="F105" s="58" t="s">
        <v>241</v>
      </c>
    </row>
    <row r="106" spans="1:6" ht="15" x14ac:dyDescent="0.35">
      <c r="A106" s="58" t="s">
        <v>347</v>
      </c>
      <c r="B106" s="58" t="s">
        <v>521</v>
      </c>
      <c r="C106" s="67">
        <v>13190.08</v>
      </c>
      <c r="D106" s="68">
        <v>7843</v>
      </c>
      <c r="E106" s="67">
        <v>13142.23</v>
      </c>
      <c r="F106" s="58" t="s">
        <v>241</v>
      </c>
    </row>
    <row r="107" spans="1:6" ht="15" x14ac:dyDescent="0.35">
      <c r="A107" s="58" t="s">
        <v>348</v>
      </c>
      <c r="B107" s="58" t="s">
        <v>522</v>
      </c>
      <c r="C107" s="67">
        <v>13388.3</v>
      </c>
      <c r="D107" s="68">
        <v>53434</v>
      </c>
      <c r="E107" s="67">
        <v>13134.38</v>
      </c>
      <c r="F107" s="58" t="s">
        <v>241</v>
      </c>
    </row>
    <row r="108" spans="1:6" ht="15" x14ac:dyDescent="0.35">
      <c r="A108" s="58" t="s">
        <v>349</v>
      </c>
      <c r="B108" s="58" t="s">
        <v>523</v>
      </c>
      <c r="C108" s="67">
        <v>13175.5</v>
      </c>
      <c r="D108" s="68">
        <v>1703</v>
      </c>
      <c r="E108" s="67">
        <v>13126.6</v>
      </c>
      <c r="F108" s="58" t="s">
        <v>241</v>
      </c>
    </row>
    <row r="109" spans="1:6" ht="15" x14ac:dyDescent="0.35">
      <c r="A109" s="58" t="s">
        <v>350</v>
      </c>
      <c r="B109" s="58" t="s">
        <v>524</v>
      </c>
      <c r="C109" s="67">
        <v>13152.04</v>
      </c>
      <c r="D109" s="68">
        <v>7731</v>
      </c>
      <c r="E109" s="67">
        <v>13104.19</v>
      </c>
      <c r="F109" s="58" t="s">
        <v>240</v>
      </c>
    </row>
    <row r="110" spans="1:6" ht="15" x14ac:dyDescent="0.35">
      <c r="A110" s="58" t="s">
        <v>351</v>
      </c>
      <c r="B110" s="58" t="s">
        <v>525</v>
      </c>
      <c r="C110" s="67">
        <v>13096.3</v>
      </c>
      <c r="D110" s="68">
        <v>8605</v>
      </c>
      <c r="E110" s="67">
        <v>13031.37</v>
      </c>
      <c r="F110" s="58" t="s">
        <v>240</v>
      </c>
    </row>
    <row r="111" spans="1:6" ht="15" x14ac:dyDescent="0.35">
      <c r="A111" s="58" t="s">
        <v>352</v>
      </c>
      <c r="B111" s="58" t="s">
        <v>526</v>
      </c>
      <c r="C111" s="67">
        <v>13631.23</v>
      </c>
      <c r="D111" s="68">
        <v>1802</v>
      </c>
      <c r="E111" s="67">
        <v>12780.38</v>
      </c>
      <c r="F111" s="58" t="s">
        <v>242</v>
      </c>
    </row>
    <row r="112" spans="1:6" ht="15" x14ac:dyDescent="0.35">
      <c r="A112" s="58" t="s">
        <v>353</v>
      </c>
      <c r="B112" s="58" t="s">
        <v>527</v>
      </c>
      <c r="C112" s="67">
        <v>12579.72</v>
      </c>
      <c r="D112" s="68">
        <v>2060</v>
      </c>
      <c r="E112" s="67">
        <v>12555.92</v>
      </c>
      <c r="F112" s="58" t="s">
        <v>242</v>
      </c>
    </row>
    <row r="113" spans="1:6" ht="15" x14ac:dyDescent="0.35">
      <c r="A113" s="58" t="s">
        <v>354</v>
      </c>
      <c r="B113" s="58" t="s">
        <v>528</v>
      </c>
      <c r="C113" s="67">
        <v>12641.3</v>
      </c>
      <c r="D113" s="68">
        <v>2102</v>
      </c>
      <c r="E113" s="67">
        <v>12462.8</v>
      </c>
      <c r="F113" s="58" t="s">
        <v>241</v>
      </c>
    </row>
    <row r="114" spans="1:6" ht="15" x14ac:dyDescent="0.35">
      <c r="A114" s="58" t="s">
        <v>355</v>
      </c>
      <c r="B114" s="58" t="s">
        <v>529</v>
      </c>
      <c r="C114" s="67">
        <v>12263.52</v>
      </c>
      <c r="D114" s="68">
        <v>1700</v>
      </c>
      <c r="E114" s="67">
        <v>12215.82</v>
      </c>
      <c r="F114" s="58" t="s">
        <v>240</v>
      </c>
    </row>
    <row r="115" spans="1:6" ht="15" x14ac:dyDescent="0.35">
      <c r="A115" s="58" t="s">
        <v>356</v>
      </c>
      <c r="B115" s="58" t="s">
        <v>530</v>
      </c>
      <c r="C115" s="67">
        <v>12276.63</v>
      </c>
      <c r="D115" s="68">
        <v>1988</v>
      </c>
      <c r="E115" s="67">
        <v>12193.33</v>
      </c>
      <c r="F115" s="58" t="s">
        <v>240</v>
      </c>
    </row>
    <row r="116" spans="1:6" ht="15" x14ac:dyDescent="0.35">
      <c r="A116" s="58" t="s">
        <v>357</v>
      </c>
      <c r="B116" s="58" t="s">
        <v>531</v>
      </c>
      <c r="C116" s="67">
        <v>13597.1</v>
      </c>
      <c r="D116" s="68">
        <v>10850</v>
      </c>
      <c r="E116" s="67">
        <v>12192.09</v>
      </c>
      <c r="F116" s="58" t="s">
        <v>242</v>
      </c>
    </row>
    <row r="117" spans="1:6" ht="15" x14ac:dyDescent="0.35">
      <c r="A117" s="58" t="s">
        <v>358</v>
      </c>
      <c r="B117" s="58" t="s">
        <v>532</v>
      </c>
      <c r="C117" s="67">
        <v>12200.41</v>
      </c>
      <c r="D117" s="68">
        <v>3538</v>
      </c>
      <c r="E117" s="67">
        <v>12128.66</v>
      </c>
      <c r="F117" s="58" t="s">
        <v>242</v>
      </c>
    </row>
    <row r="118" spans="1:6" ht="15" x14ac:dyDescent="0.35">
      <c r="A118" s="58" t="s">
        <v>359</v>
      </c>
      <c r="B118" s="58" t="s">
        <v>533</v>
      </c>
      <c r="C118" s="67">
        <v>12134.06</v>
      </c>
      <c r="D118" s="68">
        <v>1290</v>
      </c>
      <c r="E118" s="67">
        <v>12097.16</v>
      </c>
      <c r="F118" s="58" t="s">
        <v>242</v>
      </c>
    </row>
    <row r="119" spans="1:6" ht="15" x14ac:dyDescent="0.35">
      <c r="A119" s="58" t="s">
        <v>360</v>
      </c>
      <c r="B119" s="58" t="s">
        <v>534</v>
      </c>
      <c r="C119" s="67">
        <v>12112.9</v>
      </c>
      <c r="D119" s="68">
        <v>2064</v>
      </c>
      <c r="E119" s="67">
        <v>12072.85</v>
      </c>
      <c r="F119" s="58" t="s">
        <v>242</v>
      </c>
    </row>
    <row r="120" spans="1:6" ht="15" x14ac:dyDescent="0.35">
      <c r="A120" s="58" t="s">
        <v>361</v>
      </c>
      <c r="B120" s="58" t="s">
        <v>535</v>
      </c>
      <c r="C120" s="67">
        <v>12190.72</v>
      </c>
      <c r="D120" s="68">
        <v>2339</v>
      </c>
      <c r="E120" s="67">
        <v>12066.62</v>
      </c>
      <c r="F120" s="58" t="s">
        <v>241</v>
      </c>
    </row>
    <row r="121" spans="1:6" ht="15" x14ac:dyDescent="0.35">
      <c r="A121" s="58" t="s">
        <v>362</v>
      </c>
      <c r="B121" s="58" t="s">
        <v>536</v>
      </c>
      <c r="C121" s="67">
        <v>12108.3</v>
      </c>
      <c r="D121" s="68">
        <v>24634</v>
      </c>
      <c r="E121" s="67">
        <v>12031.15</v>
      </c>
      <c r="F121" s="58" t="s">
        <v>241</v>
      </c>
    </row>
    <row r="122" spans="1:6" ht="15" x14ac:dyDescent="0.35">
      <c r="A122" s="58" t="s">
        <v>363</v>
      </c>
      <c r="B122" s="58" t="s">
        <v>537</v>
      </c>
      <c r="C122" s="67">
        <v>12536.66</v>
      </c>
      <c r="D122" s="68">
        <v>3408</v>
      </c>
      <c r="E122" s="67">
        <v>11996</v>
      </c>
      <c r="F122" s="58" t="s">
        <v>241</v>
      </c>
    </row>
    <row r="123" spans="1:6" ht="15" x14ac:dyDescent="0.35">
      <c r="A123" s="58" t="s">
        <v>364</v>
      </c>
      <c r="B123" s="58" t="s">
        <v>538</v>
      </c>
      <c r="C123" s="67">
        <v>12188.42</v>
      </c>
      <c r="D123" s="68">
        <v>4197</v>
      </c>
      <c r="E123" s="67">
        <v>11776.12</v>
      </c>
      <c r="F123" s="58" t="s">
        <v>242</v>
      </c>
    </row>
    <row r="124" spans="1:6" ht="15" x14ac:dyDescent="0.35">
      <c r="A124" s="58" t="s">
        <v>365</v>
      </c>
      <c r="B124" s="58" t="s">
        <v>539</v>
      </c>
      <c r="C124" s="67">
        <v>11790.14</v>
      </c>
      <c r="D124" s="68">
        <v>13739</v>
      </c>
      <c r="E124" s="67">
        <v>11718.74</v>
      </c>
      <c r="F124" s="58" t="s">
        <v>241</v>
      </c>
    </row>
    <row r="125" spans="1:6" ht="15" x14ac:dyDescent="0.35">
      <c r="A125" s="58" t="s">
        <v>366</v>
      </c>
      <c r="B125" s="58" t="s">
        <v>540</v>
      </c>
      <c r="C125" s="67">
        <v>12800.2</v>
      </c>
      <c r="D125" s="68">
        <v>6266</v>
      </c>
      <c r="E125" s="67">
        <v>11641.9</v>
      </c>
      <c r="F125" s="58" t="s">
        <v>242</v>
      </c>
    </row>
    <row r="126" spans="1:6" ht="15" x14ac:dyDescent="0.35">
      <c r="A126" s="58" t="s">
        <v>367</v>
      </c>
      <c r="B126" s="58" t="s">
        <v>541</v>
      </c>
      <c r="C126" s="67">
        <v>11955.73</v>
      </c>
      <c r="D126" s="68">
        <v>851</v>
      </c>
      <c r="E126" s="67">
        <v>11638.63</v>
      </c>
      <c r="F126" s="58" t="s">
        <v>240</v>
      </c>
    </row>
    <row r="127" spans="1:6" ht="15" x14ac:dyDescent="0.35">
      <c r="A127" s="58" t="s">
        <v>368</v>
      </c>
      <c r="B127" s="58" t="s">
        <v>542</v>
      </c>
      <c r="C127" s="67">
        <v>11613.37</v>
      </c>
      <c r="D127" s="68">
        <v>4521</v>
      </c>
      <c r="E127" s="67">
        <v>11609.42</v>
      </c>
      <c r="F127" s="58" t="s">
        <v>242</v>
      </c>
    </row>
    <row r="128" spans="1:6" ht="15" x14ac:dyDescent="0.35">
      <c r="A128" s="58" t="s">
        <v>369</v>
      </c>
      <c r="B128" s="58" t="s">
        <v>543</v>
      </c>
      <c r="C128" s="67">
        <v>11655.54</v>
      </c>
      <c r="D128" s="68">
        <v>9455</v>
      </c>
      <c r="E128" s="67">
        <v>11592.83</v>
      </c>
      <c r="F128" s="58" t="s">
        <v>240</v>
      </c>
    </row>
    <row r="129" spans="1:6" ht="15" x14ac:dyDescent="0.35">
      <c r="A129" s="58" t="s">
        <v>370</v>
      </c>
      <c r="B129" s="58" t="s">
        <v>544</v>
      </c>
      <c r="C129" s="67">
        <v>11648.62</v>
      </c>
      <c r="D129" s="68">
        <v>1114</v>
      </c>
      <c r="E129" s="67">
        <v>11559.07</v>
      </c>
      <c r="F129" s="58" t="s">
        <v>241</v>
      </c>
    </row>
    <row r="130" spans="1:6" ht="15" x14ac:dyDescent="0.35">
      <c r="A130" s="58" t="s">
        <v>371</v>
      </c>
      <c r="B130" s="58" t="s">
        <v>545</v>
      </c>
      <c r="C130" s="67">
        <v>11667.19</v>
      </c>
      <c r="D130" s="68">
        <v>2993</v>
      </c>
      <c r="E130" s="67">
        <v>11526.91</v>
      </c>
      <c r="F130" s="58" t="s">
        <v>241</v>
      </c>
    </row>
    <row r="131" spans="1:6" ht="15" x14ac:dyDescent="0.35">
      <c r="A131" s="58" t="s">
        <v>372</v>
      </c>
      <c r="B131" s="58" t="s">
        <v>546</v>
      </c>
      <c r="C131" s="67">
        <v>11435.04</v>
      </c>
      <c r="D131" s="68">
        <v>1595</v>
      </c>
      <c r="E131" s="67">
        <v>11371.44</v>
      </c>
      <c r="F131" s="58" t="s">
        <v>241</v>
      </c>
    </row>
    <row r="132" spans="1:6" ht="15" x14ac:dyDescent="0.35">
      <c r="A132" s="58" t="s">
        <v>373</v>
      </c>
      <c r="B132" s="58" t="s">
        <v>547</v>
      </c>
      <c r="C132" s="67">
        <v>11509.72</v>
      </c>
      <c r="D132" s="68">
        <v>3940</v>
      </c>
      <c r="E132" s="67">
        <v>11352.62</v>
      </c>
      <c r="F132" s="58" t="s">
        <v>241</v>
      </c>
    </row>
    <row r="133" spans="1:6" ht="15" x14ac:dyDescent="0.35">
      <c r="A133" s="58" t="s">
        <v>374</v>
      </c>
      <c r="B133" s="58" t="s">
        <v>548</v>
      </c>
      <c r="C133" s="67">
        <v>11214.38</v>
      </c>
      <c r="D133" s="68">
        <v>13087</v>
      </c>
      <c r="E133" s="67">
        <v>11199.93</v>
      </c>
      <c r="F133" s="58" t="s">
        <v>240</v>
      </c>
    </row>
    <row r="134" spans="1:6" ht="15" x14ac:dyDescent="0.35">
      <c r="A134" s="58" t="s">
        <v>375</v>
      </c>
      <c r="B134" s="58" t="s">
        <v>549</v>
      </c>
      <c r="C134" s="67">
        <v>11186.89</v>
      </c>
      <c r="D134" s="68">
        <v>1486</v>
      </c>
      <c r="E134" s="67">
        <v>11163.04</v>
      </c>
      <c r="F134" s="58" t="s">
        <v>242</v>
      </c>
    </row>
    <row r="135" spans="1:6" ht="15" x14ac:dyDescent="0.35">
      <c r="A135" s="58" t="s">
        <v>376</v>
      </c>
      <c r="B135" s="58" t="s">
        <v>550</v>
      </c>
      <c r="C135" s="67">
        <v>17695.86</v>
      </c>
      <c r="D135" s="68">
        <v>9868</v>
      </c>
      <c r="E135" s="67">
        <v>11142.24</v>
      </c>
      <c r="F135" s="58" t="s">
        <v>242</v>
      </c>
    </row>
    <row r="136" spans="1:6" ht="15" x14ac:dyDescent="0.35">
      <c r="A136" s="58" t="s">
        <v>377</v>
      </c>
      <c r="B136" s="58" t="s">
        <v>551</v>
      </c>
      <c r="C136" s="67">
        <v>11153.41</v>
      </c>
      <c r="D136" s="68">
        <v>5070</v>
      </c>
      <c r="E136" s="67">
        <v>11113.1</v>
      </c>
      <c r="F136" s="58" t="s">
        <v>241</v>
      </c>
    </row>
    <row r="137" spans="1:6" ht="15" x14ac:dyDescent="0.35">
      <c r="A137" s="58" t="s">
        <v>378</v>
      </c>
      <c r="B137" s="58" t="s">
        <v>552</v>
      </c>
      <c r="C137" s="67">
        <v>11172.34</v>
      </c>
      <c r="D137" s="68">
        <v>2097</v>
      </c>
      <c r="E137" s="67">
        <v>11098.79</v>
      </c>
      <c r="F137" s="58" t="s">
        <v>241</v>
      </c>
    </row>
    <row r="138" spans="1:6" ht="15" x14ac:dyDescent="0.35">
      <c r="A138" s="58" t="s">
        <v>379</v>
      </c>
      <c r="B138" s="58" t="s">
        <v>553</v>
      </c>
      <c r="C138" s="67">
        <v>11039.27</v>
      </c>
      <c r="D138" s="68">
        <v>6717</v>
      </c>
      <c r="E138" s="67">
        <v>11011.22</v>
      </c>
      <c r="F138" s="58" t="s">
        <v>240</v>
      </c>
    </row>
    <row r="139" spans="1:6" ht="15" x14ac:dyDescent="0.35">
      <c r="A139" s="58" t="s">
        <v>380</v>
      </c>
      <c r="B139" s="58" t="s">
        <v>554</v>
      </c>
      <c r="C139" s="67">
        <v>11142.98</v>
      </c>
      <c r="D139" s="68">
        <v>1320</v>
      </c>
      <c r="E139" s="67">
        <v>10950.03</v>
      </c>
      <c r="F139" s="58" t="s">
        <v>244</v>
      </c>
    </row>
    <row r="140" spans="1:6" ht="15" x14ac:dyDescent="0.35">
      <c r="A140" s="58" t="s">
        <v>381</v>
      </c>
      <c r="B140" s="58" t="s">
        <v>555</v>
      </c>
      <c r="C140" s="67">
        <v>10941.78</v>
      </c>
      <c r="D140" s="68">
        <v>1879</v>
      </c>
      <c r="E140" s="67">
        <v>10929.88</v>
      </c>
      <c r="F140" s="58" t="s">
        <v>244</v>
      </c>
    </row>
    <row r="141" spans="1:6" ht="15" x14ac:dyDescent="0.35">
      <c r="A141" s="58" t="s">
        <v>382</v>
      </c>
      <c r="B141" s="58" t="s">
        <v>556</v>
      </c>
      <c r="C141" s="67">
        <v>10894.91</v>
      </c>
      <c r="D141" s="68">
        <v>4219</v>
      </c>
      <c r="E141" s="67">
        <v>10862.36</v>
      </c>
      <c r="F141" s="58" t="s">
        <v>243</v>
      </c>
    </row>
    <row r="142" spans="1:6" ht="15" x14ac:dyDescent="0.35">
      <c r="A142" s="58" t="s">
        <v>383</v>
      </c>
      <c r="B142" s="58" t="s">
        <v>557</v>
      </c>
      <c r="C142" s="67">
        <v>11058.85</v>
      </c>
      <c r="D142" s="68">
        <v>958</v>
      </c>
      <c r="E142" s="67">
        <v>10760.65</v>
      </c>
      <c r="F142" s="58" t="s">
        <v>243</v>
      </c>
    </row>
    <row r="143" spans="1:6" ht="15" x14ac:dyDescent="0.35">
      <c r="A143" s="58" t="s">
        <v>384</v>
      </c>
      <c r="B143" s="58" t="s">
        <v>558</v>
      </c>
      <c r="C143" s="67">
        <v>10770.83</v>
      </c>
      <c r="D143" s="68">
        <v>751</v>
      </c>
      <c r="E143" s="67">
        <v>10684.78</v>
      </c>
      <c r="F143" s="58" t="s">
        <v>244</v>
      </c>
    </row>
    <row r="144" spans="1:6" ht="15" x14ac:dyDescent="0.35">
      <c r="A144" s="58" t="s">
        <v>385</v>
      </c>
      <c r="B144" s="58" t="s">
        <v>559</v>
      </c>
      <c r="C144" s="67">
        <v>10811.73</v>
      </c>
      <c r="D144" s="68">
        <v>9396</v>
      </c>
      <c r="E144" s="67">
        <v>10610.2</v>
      </c>
      <c r="F144" s="58" t="s">
        <v>243</v>
      </c>
    </row>
    <row r="145" spans="1:6" ht="15" x14ac:dyDescent="0.35">
      <c r="A145" s="58" t="s">
        <v>386</v>
      </c>
      <c r="B145" s="58" t="s">
        <v>560</v>
      </c>
      <c r="C145" s="67">
        <v>10715.77</v>
      </c>
      <c r="D145" s="68">
        <v>13441</v>
      </c>
      <c r="E145" s="67">
        <v>10609.89</v>
      </c>
      <c r="F145" s="58" t="s">
        <v>243</v>
      </c>
    </row>
    <row r="146" spans="1:6" ht="15" x14ac:dyDescent="0.35">
      <c r="A146" s="58" t="s">
        <v>387</v>
      </c>
      <c r="B146" s="58" t="s">
        <v>561</v>
      </c>
      <c r="C146" s="67">
        <v>11418.06</v>
      </c>
      <c r="D146" s="68">
        <v>3141</v>
      </c>
      <c r="E146" s="67">
        <v>10585.71</v>
      </c>
      <c r="F146" s="58" t="s">
        <v>246</v>
      </c>
    </row>
    <row r="147" spans="1:6" ht="15" x14ac:dyDescent="0.35">
      <c r="A147" s="58" t="s">
        <v>388</v>
      </c>
      <c r="B147" s="58" t="s">
        <v>562</v>
      </c>
      <c r="C147" s="67">
        <v>10802.22</v>
      </c>
      <c r="D147" s="68">
        <v>3159</v>
      </c>
      <c r="E147" s="67">
        <v>10562.62</v>
      </c>
      <c r="F147" s="58" t="s">
        <v>246</v>
      </c>
    </row>
    <row r="148" spans="1:6" ht="15" x14ac:dyDescent="0.35">
      <c r="A148" s="58" t="s">
        <v>389</v>
      </c>
      <c r="B148" s="58" t="s">
        <v>563</v>
      </c>
      <c r="C148" s="67">
        <v>10435.799999999999</v>
      </c>
      <c r="D148" s="68">
        <v>2596</v>
      </c>
      <c r="E148" s="67">
        <v>10419.6</v>
      </c>
      <c r="F148" s="58" t="s">
        <v>244</v>
      </c>
    </row>
    <row r="149" spans="1:6" ht="15" x14ac:dyDescent="0.35">
      <c r="A149" s="58" t="s">
        <v>390</v>
      </c>
      <c r="B149" s="58" t="s">
        <v>564</v>
      </c>
      <c r="C149" s="67">
        <v>10508.32</v>
      </c>
      <c r="D149" s="68">
        <v>1995</v>
      </c>
      <c r="E149" s="67">
        <v>10393.52</v>
      </c>
      <c r="F149" s="58" t="s">
        <v>244</v>
      </c>
    </row>
    <row r="150" spans="1:6" ht="15" x14ac:dyDescent="0.35">
      <c r="A150" s="58" t="s">
        <v>391</v>
      </c>
      <c r="B150" s="58" t="s">
        <v>565</v>
      </c>
      <c r="C150" s="67">
        <v>10428.25</v>
      </c>
      <c r="D150" s="68">
        <v>16361</v>
      </c>
      <c r="E150" s="67">
        <v>10383.4</v>
      </c>
      <c r="F150" s="58" t="s">
        <v>243</v>
      </c>
    </row>
    <row r="151" spans="1:6" ht="15" x14ac:dyDescent="0.35">
      <c r="A151" s="58" t="s">
        <v>392</v>
      </c>
      <c r="B151" s="58" t="s">
        <v>566</v>
      </c>
      <c r="C151" s="67">
        <v>10363.89</v>
      </c>
      <c r="D151" s="68">
        <v>4866</v>
      </c>
      <c r="E151" s="67">
        <v>10290.59</v>
      </c>
      <c r="F151" s="58" t="s">
        <v>244</v>
      </c>
    </row>
    <row r="152" spans="1:6" ht="15" x14ac:dyDescent="0.35">
      <c r="A152" s="58" t="s">
        <v>393</v>
      </c>
      <c r="B152" s="58" t="s">
        <v>567</v>
      </c>
      <c r="C152" s="67">
        <v>10158.35</v>
      </c>
      <c r="D152" s="68">
        <v>1801</v>
      </c>
      <c r="E152" s="67">
        <v>10117.4</v>
      </c>
      <c r="F152" s="58" t="s">
        <v>246</v>
      </c>
    </row>
    <row r="153" spans="1:6" ht="15" x14ac:dyDescent="0.35">
      <c r="A153" s="58" t="s">
        <v>394</v>
      </c>
      <c r="B153" s="58" t="s">
        <v>568</v>
      </c>
      <c r="C153" s="67">
        <v>10158.39</v>
      </c>
      <c r="D153" s="68">
        <v>2107</v>
      </c>
      <c r="E153" s="67">
        <v>10006.34</v>
      </c>
      <c r="F153" s="58" t="s">
        <v>246</v>
      </c>
    </row>
    <row r="154" spans="1:6" ht="15" x14ac:dyDescent="0.35">
      <c r="A154" s="58" t="s">
        <v>395</v>
      </c>
      <c r="B154" s="58" t="s">
        <v>569</v>
      </c>
      <c r="C154" s="67">
        <v>10029.99</v>
      </c>
      <c r="D154" s="68">
        <v>7511</v>
      </c>
      <c r="E154" s="67">
        <v>9984.99</v>
      </c>
      <c r="F154" s="58" t="s">
        <v>244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A8A85"/>
  </sheetPr>
  <dimension ref="A1:E154"/>
  <sheetViews>
    <sheetView showGridLines="0" workbookViewId="0"/>
  </sheetViews>
  <sheetFormatPr defaultRowHeight="14.4" x14ac:dyDescent="0.3"/>
  <cols>
    <col min="1" max="1" width="11" customWidth="1"/>
    <col min="2" max="2" width="10" customWidth="1"/>
    <col min="3" max="5" width="13" customWidth="1"/>
  </cols>
  <sheetData>
    <row r="1" spans="1:5" ht="23.4" x14ac:dyDescent="0.55000000000000004">
      <c r="A1" s="1" t="s">
        <v>576</v>
      </c>
    </row>
    <row r="2" spans="1:5" x14ac:dyDescent="0.3">
      <c r="A2" s="2" t="s">
        <v>577</v>
      </c>
    </row>
    <row r="4" spans="1:5" ht="31.95" customHeight="1" x14ac:dyDescent="0.3">
      <c r="A4" s="8" t="s">
        <v>123</v>
      </c>
      <c r="B4" s="8" t="s">
        <v>578</v>
      </c>
      <c r="C4" s="8" t="s">
        <v>579</v>
      </c>
      <c r="D4" s="8" t="s">
        <v>580</v>
      </c>
      <c r="E4" s="8" t="s">
        <v>581</v>
      </c>
    </row>
    <row r="5" spans="1:5" ht="15" x14ac:dyDescent="0.35">
      <c r="A5" s="58" t="s">
        <v>236</v>
      </c>
      <c r="B5" s="58">
        <v>0.35</v>
      </c>
      <c r="C5" s="58">
        <v>0.3</v>
      </c>
      <c r="D5" s="58">
        <v>0</v>
      </c>
      <c r="E5" s="58">
        <v>0</v>
      </c>
    </row>
    <row r="6" spans="1:5" ht="15" x14ac:dyDescent="0.35">
      <c r="A6" s="58" t="s">
        <v>158</v>
      </c>
      <c r="B6" s="58">
        <v>0.5</v>
      </c>
      <c r="C6" s="58">
        <v>0.05</v>
      </c>
      <c r="D6" s="58">
        <v>0.05</v>
      </c>
      <c r="E6" s="58">
        <v>0</v>
      </c>
    </row>
    <row r="7" spans="1:5" ht="15" x14ac:dyDescent="0.35">
      <c r="A7" s="58" t="s">
        <v>245</v>
      </c>
      <c r="B7" s="58">
        <v>0.35</v>
      </c>
      <c r="C7" s="58">
        <v>0.1</v>
      </c>
      <c r="D7" s="58">
        <v>0.05</v>
      </c>
      <c r="E7" s="58">
        <v>0</v>
      </c>
    </row>
    <row r="8" spans="1:5" ht="15" x14ac:dyDescent="0.35">
      <c r="A8" s="58" t="s">
        <v>248</v>
      </c>
      <c r="B8" s="58">
        <v>0.15</v>
      </c>
      <c r="C8" s="58">
        <v>0.05</v>
      </c>
      <c r="D8" s="58">
        <v>0</v>
      </c>
      <c r="E8" s="58">
        <v>0</v>
      </c>
    </row>
    <row r="9" spans="1:5" ht="15" x14ac:dyDescent="0.35">
      <c r="A9" s="58" t="s">
        <v>250</v>
      </c>
      <c r="B9" s="58">
        <v>0.25</v>
      </c>
      <c r="C9" s="58">
        <v>0.05</v>
      </c>
      <c r="D9" s="58">
        <v>0</v>
      </c>
      <c r="E9" s="58">
        <v>0</v>
      </c>
    </row>
    <row r="10" spans="1:5" ht="15" x14ac:dyDescent="0.35">
      <c r="A10" s="58" t="s">
        <v>251</v>
      </c>
      <c r="B10" s="58">
        <v>0.95</v>
      </c>
      <c r="C10" s="58">
        <v>0.05</v>
      </c>
      <c r="D10" s="58">
        <v>0</v>
      </c>
      <c r="E10" s="58">
        <v>0</v>
      </c>
    </row>
    <row r="11" spans="1:5" ht="15" x14ac:dyDescent="0.35">
      <c r="A11" s="58" t="s">
        <v>252</v>
      </c>
      <c r="B11" s="58">
        <v>0.25</v>
      </c>
      <c r="C11" s="58">
        <v>0.2</v>
      </c>
      <c r="D11" s="58">
        <v>0</v>
      </c>
      <c r="E11" s="58">
        <v>0</v>
      </c>
    </row>
    <row r="12" spans="1:5" ht="15" x14ac:dyDescent="0.35">
      <c r="A12" s="58" t="s">
        <v>253</v>
      </c>
      <c r="B12" s="58">
        <v>0.35</v>
      </c>
      <c r="C12" s="58">
        <v>0.3</v>
      </c>
      <c r="D12" s="58">
        <v>0</v>
      </c>
      <c r="E12" s="58">
        <v>0</v>
      </c>
    </row>
    <row r="13" spans="1:5" ht="15" x14ac:dyDescent="0.35">
      <c r="A13" s="58" t="s">
        <v>254</v>
      </c>
      <c r="B13" s="58">
        <v>0.15</v>
      </c>
      <c r="C13" s="58">
        <v>0.05</v>
      </c>
      <c r="D13" s="58">
        <v>0.05</v>
      </c>
      <c r="E13" s="58">
        <v>0</v>
      </c>
    </row>
    <row r="14" spans="1:5" ht="15" x14ac:dyDescent="0.35">
      <c r="A14" s="58" t="s">
        <v>255</v>
      </c>
      <c r="B14" s="58">
        <v>0.25</v>
      </c>
      <c r="C14" s="58">
        <v>0.05</v>
      </c>
      <c r="D14" s="58">
        <v>0</v>
      </c>
      <c r="E14" s="58">
        <v>0</v>
      </c>
    </row>
    <row r="15" spans="1:5" ht="15" x14ac:dyDescent="0.35">
      <c r="A15" s="58" t="s">
        <v>256</v>
      </c>
      <c r="B15" s="58">
        <v>0.2</v>
      </c>
      <c r="C15" s="58">
        <v>0.05</v>
      </c>
      <c r="D15" s="58">
        <v>0</v>
      </c>
      <c r="E15" s="58">
        <v>0</v>
      </c>
    </row>
    <row r="16" spans="1:5" ht="15" x14ac:dyDescent="0.35">
      <c r="A16" s="58" t="s">
        <v>257</v>
      </c>
      <c r="B16" s="58">
        <v>0.15</v>
      </c>
      <c r="C16" s="58">
        <v>0.05</v>
      </c>
      <c r="D16" s="58">
        <v>0.05</v>
      </c>
      <c r="E16" s="58">
        <v>0</v>
      </c>
    </row>
    <row r="17" spans="1:5" ht="15" x14ac:dyDescent="0.35">
      <c r="A17" s="58" t="s">
        <v>258</v>
      </c>
      <c r="B17" s="58">
        <v>0.1</v>
      </c>
      <c r="C17" s="58">
        <v>0.05</v>
      </c>
      <c r="D17" s="58">
        <v>0</v>
      </c>
      <c r="E17" s="58">
        <v>0</v>
      </c>
    </row>
    <row r="18" spans="1:5" ht="15" x14ac:dyDescent="0.35">
      <c r="A18" s="58" t="s">
        <v>259</v>
      </c>
      <c r="B18" s="58">
        <v>0.05</v>
      </c>
      <c r="C18" s="58">
        <v>0.05</v>
      </c>
      <c r="D18" s="58">
        <v>0</v>
      </c>
      <c r="E18" s="58">
        <v>0</v>
      </c>
    </row>
    <row r="19" spans="1:5" ht="15" x14ac:dyDescent="0.35">
      <c r="A19" s="58" t="s">
        <v>260</v>
      </c>
      <c r="B19" s="58">
        <v>0.2</v>
      </c>
      <c r="C19" s="58">
        <v>0.3</v>
      </c>
      <c r="D19" s="58">
        <v>0</v>
      </c>
      <c r="E19" s="58">
        <v>0</v>
      </c>
    </row>
    <row r="20" spans="1:5" ht="15" x14ac:dyDescent="0.35">
      <c r="A20" s="58" t="s">
        <v>261</v>
      </c>
      <c r="B20" s="58">
        <v>0.3</v>
      </c>
      <c r="C20" s="58">
        <v>0.2</v>
      </c>
      <c r="D20" s="58">
        <v>0</v>
      </c>
      <c r="E20" s="58">
        <v>0</v>
      </c>
    </row>
    <row r="21" spans="1:5" ht="15" x14ac:dyDescent="0.35">
      <c r="A21" s="58" t="s">
        <v>262</v>
      </c>
      <c r="B21" s="58">
        <v>0.1</v>
      </c>
      <c r="C21" s="58">
        <v>0.05</v>
      </c>
      <c r="D21" s="58">
        <v>0.05</v>
      </c>
      <c r="E21" s="58">
        <v>0</v>
      </c>
    </row>
    <row r="22" spans="1:5" ht="15" x14ac:dyDescent="0.35">
      <c r="A22" s="58" t="s">
        <v>263</v>
      </c>
      <c r="B22" s="58">
        <v>0.95</v>
      </c>
      <c r="C22" s="58">
        <v>0.05</v>
      </c>
      <c r="D22" s="58">
        <v>0</v>
      </c>
      <c r="E22" s="58">
        <v>0</v>
      </c>
    </row>
    <row r="23" spans="1:5" ht="15" x14ac:dyDescent="0.35">
      <c r="A23" s="58" t="s">
        <v>264</v>
      </c>
      <c r="B23" s="58">
        <v>0.8</v>
      </c>
      <c r="C23" s="58">
        <v>0.05</v>
      </c>
      <c r="D23" s="58">
        <v>0</v>
      </c>
      <c r="E23" s="58">
        <v>0</v>
      </c>
    </row>
    <row r="24" spans="1:5" ht="15" x14ac:dyDescent="0.35">
      <c r="A24" s="58" t="s">
        <v>265</v>
      </c>
      <c r="B24" s="58">
        <v>0.15</v>
      </c>
      <c r="C24" s="58">
        <v>0.2</v>
      </c>
      <c r="D24" s="58">
        <v>0</v>
      </c>
      <c r="E24" s="58">
        <v>0</v>
      </c>
    </row>
    <row r="25" spans="1:5" ht="15" x14ac:dyDescent="0.35">
      <c r="A25" s="58" t="s">
        <v>266</v>
      </c>
      <c r="B25" s="58">
        <v>0.3</v>
      </c>
      <c r="C25" s="58">
        <v>0.3</v>
      </c>
      <c r="D25" s="58">
        <v>0</v>
      </c>
      <c r="E25" s="58">
        <v>0</v>
      </c>
    </row>
    <row r="26" spans="1:5" ht="15" x14ac:dyDescent="0.35">
      <c r="A26" s="58" t="s">
        <v>267</v>
      </c>
      <c r="B26" s="58">
        <v>0.2</v>
      </c>
      <c r="C26" s="58">
        <v>0.1</v>
      </c>
      <c r="D26" s="58">
        <v>0</v>
      </c>
      <c r="E26" s="58">
        <v>0</v>
      </c>
    </row>
    <row r="27" spans="1:5" ht="15" x14ac:dyDescent="0.35">
      <c r="A27" s="58" t="s">
        <v>268</v>
      </c>
      <c r="B27" s="58">
        <v>0.05</v>
      </c>
      <c r="C27" s="58">
        <v>0.2</v>
      </c>
      <c r="D27" s="58">
        <v>0</v>
      </c>
      <c r="E27" s="58">
        <v>0</v>
      </c>
    </row>
    <row r="28" spans="1:5" ht="15" x14ac:dyDescent="0.35">
      <c r="A28" s="58" t="s">
        <v>269</v>
      </c>
      <c r="B28" s="58">
        <v>0.35</v>
      </c>
      <c r="C28" s="58">
        <v>0.05</v>
      </c>
      <c r="D28" s="58">
        <v>0.05</v>
      </c>
      <c r="E28" s="58">
        <v>0</v>
      </c>
    </row>
    <row r="29" spans="1:5" ht="15" x14ac:dyDescent="0.35">
      <c r="A29" s="58" t="s">
        <v>270</v>
      </c>
      <c r="B29" s="58">
        <v>0.15</v>
      </c>
      <c r="C29" s="58">
        <v>0.2</v>
      </c>
      <c r="D29" s="58">
        <v>0</v>
      </c>
      <c r="E29" s="58">
        <v>0</v>
      </c>
    </row>
    <row r="30" spans="1:5" ht="15" x14ac:dyDescent="0.35">
      <c r="A30" s="58" t="s">
        <v>271</v>
      </c>
      <c r="B30" s="58">
        <v>0.45</v>
      </c>
      <c r="C30" s="58">
        <v>0.3</v>
      </c>
      <c r="D30" s="58">
        <v>0</v>
      </c>
      <c r="E30" s="58">
        <v>0</v>
      </c>
    </row>
    <row r="31" spans="1:5" ht="15" x14ac:dyDescent="0.35">
      <c r="A31" s="58" t="s">
        <v>272</v>
      </c>
      <c r="B31" s="58">
        <v>0.15</v>
      </c>
      <c r="C31" s="58">
        <v>0.05</v>
      </c>
      <c r="D31" s="58">
        <v>0</v>
      </c>
      <c r="E31" s="58">
        <v>0</v>
      </c>
    </row>
    <row r="32" spans="1:5" ht="15" x14ac:dyDescent="0.35">
      <c r="A32" s="58" t="s">
        <v>273</v>
      </c>
      <c r="B32" s="58">
        <v>0.2</v>
      </c>
      <c r="C32" s="58">
        <v>0.05</v>
      </c>
      <c r="D32" s="58">
        <v>0.05</v>
      </c>
      <c r="E32" s="58">
        <v>0</v>
      </c>
    </row>
    <row r="33" spans="1:5" ht="15" x14ac:dyDescent="0.35">
      <c r="A33" s="58" t="s">
        <v>274</v>
      </c>
      <c r="B33" s="58">
        <v>0.65</v>
      </c>
      <c r="C33" s="58">
        <v>0.05</v>
      </c>
      <c r="D33" s="58">
        <v>0</v>
      </c>
      <c r="E33" s="58">
        <v>0</v>
      </c>
    </row>
    <row r="34" spans="1:5" ht="15" x14ac:dyDescent="0.35">
      <c r="A34" s="58" t="s">
        <v>275</v>
      </c>
      <c r="B34" s="58">
        <v>0.2</v>
      </c>
      <c r="C34" s="58">
        <v>0.2</v>
      </c>
      <c r="D34" s="58">
        <v>0</v>
      </c>
      <c r="E34" s="58">
        <v>0</v>
      </c>
    </row>
    <row r="35" spans="1:5" ht="15" x14ac:dyDescent="0.35">
      <c r="A35" s="58" t="s">
        <v>276</v>
      </c>
      <c r="B35" s="58">
        <v>0.2</v>
      </c>
      <c r="C35" s="58">
        <v>0.2</v>
      </c>
      <c r="D35" s="58">
        <v>0</v>
      </c>
      <c r="E35" s="58">
        <v>0</v>
      </c>
    </row>
    <row r="36" spans="1:5" ht="15" x14ac:dyDescent="0.35">
      <c r="A36" s="58" t="s">
        <v>277</v>
      </c>
      <c r="B36" s="58">
        <v>0.15</v>
      </c>
      <c r="C36" s="58">
        <v>0.2</v>
      </c>
      <c r="D36" s="58">
        <v>0</v>
      </c>
      <c r="E36" s="58">
        <v>0</v>
      </c>
    </row>
    <row r="37" spans="1:5" ht="15" x14ac:dyDescent="0.35">
      <c r="A37" s="58" t="s">
        <v>278</v>
      </c>
      <c r="B37" s="58">
        <v>0.1</v>
      </c>
      <c r="C37" s="58">
        <v>0.05</v>
      </c>
      <c r="D37" s="58">
        <v>0</v>
      </c>
      <c r="E37" s="58">
        <v>0</v>
      </c>
    </row>
    <row r="38" spans="1:5" ht="15" x14ac:dyDescent="0.35">
      <c r="A38" s="58" t="s">
        <v>279</v>
      </c>
      <c r="B38" s="58">
        <v>0.15</v>
      </c>
      <c r="C38" s="58">
        <v>0.3</v>
      </c>
      <c r="D38" s="58">
        <v>0</v>
      </c>
      <c r="E38" s="58">
        <v>0</v>
      </c>
    </row>
    <row r="39" spans="1:5" ht="15" x14ac:dyDescent="0.35">
      <c r="A39" s="58" t="s">
        <v>280</v>
      </c>
      <c r="B39" s="58">
        <v>0.5</v>
      </c>
      <c r="C39" s="58">
        <v>0.3</v>
      </c>
      <c r="D39" s="58">
        <v>0</v>
      </c>
      <c r="E39" s="58">
        <v>0</v>
      </c>
    </row>
    <row r="40" spans="1:5" ht="15" x14ac:dyDescent="0.35">
      <c r="A40" s="58" t="s">
        <v>281</v>
      </c>
      <c r="B40" s="58">
        <v>0.2</v>
      </c>
      <c r="C40" s="58">
        <v>0.2</v>
      </c>
      <c r="D40" s="58">
        <v>0</v>
      </c>
      <c r="E40" s="58">
        <v>0</v>
      </c>
    </row>
    <row r="41" spans="1:5" ht="15" x14ac:dyDescent="0.35">
      <c r="A41" s="58" t="s">
        <v>282</v>
      </c>
      <c r="B41" s="58">
        <v>0.05</v>
      </c>
      <c r="C41" s="58">
        <v>0.05</v>
      </c>
      <c r="D41" s="58">
        <v>0</v>
      </c>
      <c r="E41" s="58">
        <v>0</v>
      </c>
    </row>
    <row r="42" spans="1:5" ht="15" x14ac:dyDescent="0.35">
      <c r="A42" s="58" t="s">
        <v>283</v>
      </c>
      <c r="B42" s="58">
        <v>0.25</v>
      </c>
      <c r="C42" s="58">
        <v>0.3</v>
      </c>
      <c r="D42" s="58">
        <v>0</v>
      </c>
      <c r="E42" s="58">
        <v>0</v>
      </c>
    </row>
    <row r="43" spans="1:5" ht="15" x14ac:dyDescent="0.35">
      <c r="A43" s="58" t="s">
        <v>284</v>
      </c>
      <c r="B43" s="58">
        <v>0.25</v>
      </c>
      <c r="C43" s="58">
        <v>0.3</v>
      </c>
      <c r="D43" s="58">
        <v>0</v>
      </c>
      <c r="E43" s="58">
        <v>0</v>
      </c>
    </row>
    <row r="44" spans="1:5" ht="15" x14ac:dyDescent="0.35">
      <c r="A44" s="58" t="s">
        <v>285</v>
      </c>
      <c r="B44" s="58">
        <v>0.85</v>
      </c>
      <c r="C44" s="58">
        <v>0.1</v>
      </c>
      <c r="D44" s="58">
        <v>0</v>
      </c>
      <c r="E44" s="58">
        <v>0</v>
      </c>
    </row>
    <row r="45" spans="1:5" ht="15" x14ac:dyDescent="0.35">
      <c r="A45" s="58" t="s">
        <v>286</v>
      </c>
      <c r="B45" s="58">
        <v>0.35</v>
      </c>
      <c r="C45" s="58">
        <v>0.3</v>
      </c>
      <c r="D45" s="58">
        <v>0</v>
      </c>
      <c r="E45" s="58">
        <v>0</v>
      </c>
    </row>
    <row r="46" spans="1:5" ht="15" x14ac:dyDescent="0.35">
      <c r="A46" s="58" t="s">
        <v>287</v>
      </c>
      <c r="B46" s="58">
        <v>0.15</v>
      </c>
      <c r="C46" s="58">
        <v>0.05</v>
      </c>
      <c r="D46" s="58">
        <v>0</v>
      </c>
      <c r="E46" s="58">
        <v>0</v>
      </c>
    </row>
    <row r="47" spans="1:5" ht="15" x14ac:dyDescent="0.35">
      <c r="A47" s="58" t="s">
        <v>288</v>
      </c>
      <c r="B47" s="58">
        <v>0.05</v>
      </c>
      <c r="C47" s="58">
        <v>0.05</v>
      </c>
      <c r="D47" s="58">
        <v>0</v>
      </c>
      <c r="E47" s="58">
        <v>0</v>
      </c>
    </row>
    <row r="48" spans="1:5" ht="15" x14ac:dyDescent="0.35">
      <c r="A48" s="58" t="s">
        <v>289</v>
      </c>
      <c r="B48" s="58">
        <v>0.25</v>
      </c>
      <c r="C48" s="58">
        <v>0.05</v>
      </c>
      <c r="D48" s="58">
        <v>0</v>
      </c>
      <c r="E48" s="58">
        <v>0</v>
      </c>
    </row>
    <row r="49" spans="1:5" ht="15" x14ac:dyDescent="0.35">
      <c r="A49" s="58" t="s">
        <v>290</v>
      </c>
      <c r="B49" s="58">
        <v>0.05</v>
      </c>
      <c r="C49" s="58">
        <v>0.05</v>
      </c>
      <c r="D49" s="58">
        <v>0</v>
      </c>
      <c r="E49" s="58">
        <v>0</v>
      </c>
    </row>
    <row r="50" spans="1:5" ht="15" x14ac:dyDescent="0.35">
      <c r="A50" s="58" t="s">
        <v>291</v>
      </c>
      <c r="B50" s="58">
        <v>0.25</v>
      </c>
      <c r="C50" s="58">
        <v>0.1</v>
      </c>
      <c r="D50" s="58">
        <v>0</v>
      </c>
      <c r="E50" s="58">
        <v>0</v>
      </c>
    </row>
    <row r="51" spans="1:5" ht="15" x14ac:dyDescent="0.35">
      <c r="A51" s="58" t="s">
        <v>292</v>
      </c>
      <c r="B51" s="58">
        <v>0.2</v>
      </c>
      <c r="C51" s="58">
        <v>0.2</v>
      </c>
      <c r="D51" s="58">
        <v>0</v>
      </c>
      <c r="E51" s="58">
        <v>0</v>
      </c>
    </row>
    <row r="52" spans="1:5" ht="15" x14ac:dyDescent="0.35">
      <c r="A52" s="58" t="s">
        <v>293</v>
      </c>
      <c r="B52" s="58">
        <v>0.05</v>
      </c>
      <c r="C52" s="58">
        <v>0.05</v>
      </c>
      <c r="D52" s="58">
        <v>0</v>
      </c>
      <c r="E52" s="58">
        <v>0</v>
      </c>
    </row>
    <row r="53" spans="1:5" ht="15" x14ac:dyDescent="0.35">
      <c r="A53" s="58" t="s">
        <v>294</v>
      </c>
      <c r="B53" s="58">
        <v>0.8</v>
      </c>
      <c r="C53" s="58">
        <v>0.3</v>
      </c>
      <c r="D53" s="58">
        <v>0</v>
      </c>
      <c r="E53" s="58">
        <v>0</v>
      </c>
    </row>
    <row r="54" spans="1:5" ht="15" x14ac:dyDescent="0.35">
      <c r="A54" s="58" t="s">
        <v>295</v>
      </c>
      <c r="B54" s="58">
        <v>0.1</v>
      </c>
      <c r="C54" s="58">
        <v>0.3</v>
      </c>
      <c r="D54" s="58">
        <v>0</v>
      </c>
      <c r="E54" s="58">
        <v>0</v>
      </c>
    </row>
    <row r="55" spans="1:5" ht="15" x14ac:dyDescent="0.35">
      <c r="A55" s="58" t="s">
        <v>296</v>
      </c>
      <c r="B55" s="58">
        <v>0.55000000000000004</v>
      </c>
      <c r="C55" s="58">
        <v>0.3</v>
      </c>
      <c r="D55" s="58">
        <v>0</v>
      </c>
      <c r="E55" s="58">
        <v>0</v>
      </c>
    </row>
    <row r="56" spans="1:5" ht="15" x14ac:dyDescent="0.35">
      <c r="A56" s="58" t="s">
        <v>297</v>
      </c>
      <c r="B56" s="58">
        <v>0.2</v>
      </c>
      <c r="C56" s="58">
        <v>0.3</v>
      </c>
      <c r="D56" s="58">
        <v>0</v>
      </c>
      <c r="E56" s="58">
        <v>0</v>
      </c>
    </row>
    <row r="57" spans="1:5" ht="15" x14ac:dyDescent="0.35">
      <c r="A57" s="58" t="s">
        <v>298</v>
      </c>
      <c r="B57" s="58">
        <v>0.15</v>
      </c>
      <c r="C57" s="58">
        <v>0.2</v>
      </c>
      <c r="D57" s="58">
        <v>0</v>
      </c>
      <c r="E57" s="58">
        <v>0</v>
      </c>
    </row>
    <row r="58" spans="1:5" ht="15" x14ac:dyDescent="0.35">
      <c r="A58" s="58" t="s">
        <v>299</v>
      </c>
      <c r="B58" s="58">
        <v>0.05</v>
      </c>
      <c r="C58" s="58">
        <v>0.05</v>
      </c>
      <c r="D58" s="58">
        <v>0</v>
      </c>
      <c r="E58" s="58">
        <v>0</v>
      </c>
    </row>
    <row r="59" spans="1:5" ht="15" x14ac:dyDescent="0.35">
      <c r="A59" s="58" t="s">
        <v>300</v>
      </c>
      <c r="B59" s="58">
        <v>0.1</v>
      </c>
      <c r="C59" s="58">
        <v>0.05</v>
      </c>
      <c r="D59" s="58">
        <v>0</v>
      </c>
      <c r="E59" s="58">
        <v>0</v>
      </c>
    </row>
    <row r="60" spans="1:5" ht="15" x14ac:dyDescent="0.35">
      <c r="A60" s="58" t="s">
        <v>301</v>
      </c>
      <c r="B60" s="58">
        <v>0.05</v>
      </c>
      <c r="C60" s="58">
        <v>0.05</v>
      </c>
      <c r="D60" s="58">
        <v>0</v>
      </c>
      <c r="E60" s="58">
        <v>0</v>
      </c>
    </row>
    <row r="61" spans="1:5" ht="15" x14ac:dyDescent="0.35">
      <c r="A61" s="58" t="s">
        <v>302</v>
      </c>
      <c r="B61" s="58">
        <v>0.15</v>
      </c>
      <c r="C61" s="58">
        <v>0.05</v>
      </c>
      <c r="D61" s="58">
        <v>0</v>
      </c>
      <c r="E61" s="58">
        <v>0</v>
      </c>
    </row>
    <row r="62" spans="1:5" ht="15" x14ac:dyDescent="0.35">
      <c r="A62" s="58" t="s">
        <v>303</v>
      </c>
      <c r="B62" s="58">
        <v>0.45</v>
      </c>
      <c r="C62" s="58">
        <v>0.3</v>
      </c>
      <c r="D62" s="58">
        <v>0</v>
      </c>
      <c r="E62" s="58">
        <v>0</v>
      </c>
    </row>
    <row r="63" spans="1:5" ht="15" x14ac:dyDescent="0.35">
      <c r="A63" s="58" t="s">
        <v>304</v>
      </c>
      <c r="B63" s="58">
        <v>0.1</v>
      </c>
      <c r="C63" s="58">
        <v>0.05</v>
      </c>
      <c r="D63" s="58">
        <v>0.05</v>
      </c>
      <c r="E63" s="58">
        <v>0</v>
      </c>
    </row>
    <row r="64" spans="1:5" ht="15" x14ac:dyDescent="0.35">
      <c r="A64" s="58" t="s">
        <v>305</v>
      </c>
      <c r="B64" s="58">
        <v>0.15</v>
      </c>
      <c r="C64" s="58">
        <v>0.2</v>
      </c>
      <c r="D64" s="58">
        <v>0</v>
      </c>
      <c r="E64" s="58">
        <v>0</v>
      </c>
    </row>
    <row r="65" spans="1:5" ht="15" x14ac:dyDescent="0.35">
      <c r="A65" s="58" t="s">
        <v>306</v>
      </c>
      <c r="B65" s="58">
        <v>0.35</v>
      </c>
      <c r="C65" s="58">
        <v>0.3</v>
      </c>
      <c r="D65" s="58">
        <v>0</v>
      </c>
      <c r="E65" s="58">
        <v>0</v>
      </c>
    </row>
    <row r="66" spans="1:5" ht="15" x14ac:dyDescent="0.35">
      <c r="A66" s="58" t="s">
        <v>307</v>
      </c>
      <c r="B66" s="58">
        <v>0.05</v>
      </c>
      <c r="C66" s="58">
        <v>0.05</v>
      </c>
      <c r="D66" s="58">
        <v>0</v>
      </c>
      <c r="E66" s="58">
        <v>0</v>
      </c>
    </row>
    <row r="67" spans="1:5" ht="15" x14ac:dyDescent="0.35">
      <c r="A67" s="58" t="s">
        <v>308</v>
      </c>
      <c r="B67" s="58">
        <v>0.15</v>
      </c>
      <c r="C67" s="58">
        <v>0.1</v>
      </c>
      <c r="D67" s="58">
        <v>0</v>
      </c>
      <c r="E67" s="58">
        <v>0</v>
      </c>
    </row>
    <row r="68" spans="1:5" ht="15" x14ac:dyDescent="0.35">
      <c r="A68" s="58" t="s">
        <v>309</v>
      </c>
      <c r="B68" s="58">
        <v>0.05</v>
      </c>
      <c r="C68" s="58">
        <v>0.05</v>
      </c>
      <c r="D68" s="58">
        <v>0</v>
      </c>
      <c r="E68" s="58">
        <v>0</v>
      </c>
    </row>
    <row r="69" spans="1:5" ht="15" x14ac:dyDescent="0.35">
      <c r="A69" s="58" t="s">
        <v>310</v>
      </c>
      <c r="B69" s="58">
        <v>0.05</v>
      </c>
      <c r="C69" s="58">
        <v>0.05</v>
      </c>
      <c r="D69" s="58">
        <v>0</v>
      </c>
      <c r="E69" s="58">
        <v>0</v>
      </c>
    </row>
    <row r="70" spans="1:5" ht="15" x14ac:dyDescent="0.35">
      <c r="A70" s="58" t="s">
        <v>311</v>
      </c>
      <c r="B70" s="58">
        <v>0.4</v>
      </c>
      <c r="C70" s="58">
        <v>0.3</v>
      </c>
      <c r="D70" s="58">
        <v>0</v>
      </c>
      <c r="E70" s="58">
        <v>0</v>
      </c>
    </row>
    <row r="71" spans="1:5" ht="15" x14ac:dyDescent="0.35">
      <c r="A71" s="58" t="s">
        <v>312</v>
      </c>
      <c r="B71" s="58">
        <v>0.1</v>
      </c>
      <c r="C71" s="58">
        <v>0.2</v>
      </c>
      <c r="D71" s="58">
        <v>0</v>
      </c>
      <c r="E71" s="58">
        <v>0</v>
      </c>
    </row>
    <row r="72" spans="1:5" ht="15" x14ac:dyDescent="0.35">
      <c r="A72" s="58" t="s">
        <v>313</v>
      </c>
      <c r="B72" s="58">
        <v>0.2</v>
      </c>
      <c r="C72" s="58">
        <v>0.05</v>
      </c>
      <c r="D72" s="58">
        <v>0</v>
      </c>
      <c r="E72" s="58">
        <v>0</v>
      </c>
    </row>
    <row r="73" spans="1:5" ht="15" x14ac:dyDescent="0.35">
      <c r="A73" s="58" t="s">
        <v>314</v>
      </c>
      <c r="B73" s="58">
        <v>0.05</v>
      </c>
      <c r="C73" s="58">
        <v>0.05</v>
      </c>
      <c r="D73" s="58">
        <v>0</v>
      </c>
      <c r="E73" s="58">
        <v>0</v>
      </c>
    </row>
    <row r="74" spans="1:5" ht="15" x14ac:dyDescent="0.35">
      <c r="A74" s="58" t="s">
        <v>315</v>
      </c>
      <c r="B74" s="58">
        <v>0.4</v>
      </c>
      <c r="C74" s="58">
        <v>0.3</v>
      </c>
      <c r="D74" s="58">
        <v>0</v>
      </c>
      <c r="E74" s="58">
        <v>0</v>
      </c>
    </row>
    <row r="75" spans="1:5" ht="15" x14ac:dyDescent="0.35">
      <c r="A75" s="58" t="s">
        <v>316</v>
      </c>
      <c r="B75" s="58">
        <v>0.35</v>
      </c>
      <c r="C75" s="58">
        <v>0.3</v>
      </c>
      <c r="D75" s="58">
        <v>0</v>
      </c>
      <c r="E75" s="58">
        <v>0</v>
      </c>
    </row>
    <row r="76" spans="1:5" ht="15" x14ac:dyDescent="0.35">
      <c r="A76" s="58" t="s">
        <v>317</v>
      </c>
      <c r="B76" s="58">
        <v>0.2</v>
      </c>
      <c r="C76" s="58">
        <v>0.3</v>
      </c>
      <c r="D76" s="58">
        <v>0</v>
      </c>
      <c r="E76" s="58">
        <v>0</v>
      </c>
    </row>
    <row r="77" spans="1:5" ht="15" x14ac:dyDescent="0.35">
      <c r="A77" s="58" t="s">
        <v>318</v>
      </c>
      <c r="B77" s="58">
        <v>0.1</v>
      </c>
      <c r="C77" s="58">
        <v>0.3</v>
      </c>
      <c r="D77" s="58">
        <v>0</v>
      </c>
      <c r="E77" s="58">
        <v>0</v>
      </c>
    </row>
    <row r="78" spans="1:5" ht="15" x14ac:dyDescent="0.35">
      <c r="A78" s="58" t="s">
        <v>319</v>
      </c>
      <c r="B78" s="58">
        <v>0.1</v>
      </c>
      <c r="C78" s="58">
        <v>0.05</v>
      </c>
      <c r="D78" s="58">
        <v>0</v>
      </c>
      <c r="E78" s="58">
        <v>0</v>
      </c>
    </row>
    <row r="79" spans="1:5" ht="15" x14ac:dyDescent="0.35">
      <c r="A79" s="58" t="s">
        <v>320</v>
      </c>
      <c r="B79" s="58">
        <v>0.7</v>
      </c>
      <c r="C79" s="58">
        <v>0.3</v>
      </c>
      <c r="D79" s="58">
        <v>0</v>
      </c>
      <c r="E79" s="58">
        <v>0</v>
      </c>
    </row>
    <row r="80" spans="1:5" ht="15" x14ac:dyDescent="0.35">
      <c r="A80" s="58" t="s">
        <v>321</v>
      </c>
      <c r="B80" s="58">
        <v>0.2</v>
      </c>
      <c r="C80" s="58">
        <v>0.2</v>
      </c>
      <c r="D80" s="58">
        <v>0</v>
      </c>
      <c r="E80" s="58">
        <v>0</v>
      </c>
    </row>
    <row r="81" spans="1:5" ht="15" x14ac:dyDescent="0.35">
      <c r="A81" s="58" t="s">
        <v>322</v>
      </c>
      <c r="B81" s="58">
        <v>0.25</v>
      </c>
      <c r="C81" s="58">
        <v>0.05</v>
      </c>
      <c r="D81" s="58">
        <v>0</v>
      </c>
      <c r="E81" s="58">
        <v>0</v>
      </c>
    </row>
    <row r="82" spans="1:5" ht="15" x14ac:dyDescent="0.35">
      <c r="A82" s="58" t="s">
        <v>323</v>
      </c>
      <c r="B82" s="58">
        <v>0.05</v>
      </c>
      <c r="C82" s="58">
        <v>0.05</v>
      </c>
      <c r="D82" s="58">
        <v>0</v>
      </c>
      <c r="E82" s="58">
        <v>0</v>
      </c>
    </row>
    <row r="83" spans="1:5" ht="15" x14ac:dyDescent="0.35">
      <c r="A83" s="58" t="s">
        <v>324</v>
      </c>
      <c r="B83" s="58">
        <v>0.15</v>
      </c>
      <c r="C83" s="58">
        <v>0.2</v>
      </c>
      <c r="D83" s="58">
        <v>0</v>
      </c>
      <c r="E83" s="58">
        <v>0</v>
      </c>
    </row>
    <row r="84" spans="1:5" ht="15" x14ac:dyDescent="0.35">
      <c r="A84" s="58" t="s">
        <v>325</v>
      </c>
      <c r="B84" s="58">
        <v>0.4</v>
      </c>
      <c r="C84" s="58">
        <v>0.1</v>
      </c>
      <c r="D84" s="58">
        <v>0.05</v>
      </c>
      <c r="E84" s="58">
        <v>0</v>
      </c>
    </row>
    <row r="85" spans="1:5" ht="15" x14ac:dyDescent="0.35">
      <c r="A85" s="58" t="s">
        <v>326</v>
      </c>
      <c r="B85" s="58">
        <v>0.35</v>
      </c>
      <c r="C85" s="58">
        <v>0.3</v>
      </c>
      <c r="D85" s="58">
        <v>0</v>
      </c>
      <c r="E85" s="58">
        <v>0</v>
      </c>
    </row>
    <row r="86" spans="1:5" ht="15" x14ac:dyDescent="0.35">
      <c r="A86" s="58" t="s">
        <v>327</v>
      </c>
      <c r="B86" s="58">
        <v>0.2</v>
      </c>
      <c r="C86" s="58">
        <v>0.05</v>
      </c>
      <c r="D86" s="58">
        <v>0</v>
      </c>
      <c r="E86" s="58">
        <v>0</v>
      </c>
    </row>
    <row r="87" spans="1:5" ht="15" x14ac:dyDescent="0.35">
      <c r="A87" s="58" t="s">
        <v>328</v>
      </c>
      <c r="B87" s="58">
        <v>0.05</v>
      </c>
      <c r="C87" s="58">
        <v>0.1</v>
      </c>
      <c r="D87" s="58">
        <v>0</v>
      </c>
      <c r="E87" s="58">
        <v>0</v>
      </c>
    </row>
    <row r="88" spans="1:5" ht="15" x14ac:dyDescent="0.35">
      <c r="A88" s="58" t="s">
        <v>329</v>
      </c>
      <c r="B88" s="58">
        <v>0.45</v>
      </c>
      <c r="C88" s="58">
        <v>0.3</v>
      </c>
      <c r="D88" s="58">
        <v>0</v>
      </c>
      <c r="E88" s="58">
        <v>0</v>
      </c>
    </row>
    <row r="89" spans="1:5" ht="15" x14ac:dyDescent="0.35">
      <c r="A89" s="58" t="s">
        <v>330</v>
      </c>
      <c r="B89" s="58">
        <v>0.05</v>
      </c>
      <c r="C89" s="58">
        <v>0.05</v>
      </c>
      <c r="D89" s="58">
        <v>0</v>
      </c>
      <c r="E89" s="58">
        <v>0</v>
      </c>
    </row>
    <row r="90" spans="1:5" ht="15" x14ac:dyDescent="0.35">
      <c r="A90" s="58" t="s">
        <v>331</v>
      </c>
      <c r="B90" s="58">
        <v>0.25</v>
      </c>
      <c r="C90" s="58">
        <v>0.3</v>
      </c>
      <c r="D90" s="58">
        <v>0</v>
      </c>
      <c r="E90" s="58">
        <v>0</v>
      </c>
    </row>
    <row r="91" spans="1:5" ht="15" x14ac:dyDescent="0.35">
      <c r="A91" s="58" t="s">
        <v>332</v>
      </c>
      <c r="B91" s="58">
        <v>0.45</v>
      </c>
      <c r="C91" s="58">
        <v>0.05</v>
      </c>
      <c r="D91" s="58">
        <v>0</v>
      </c>
      <c r="E91" s="58">
        <v>0</v>
      </c>
    </row>
    <row r="92" spans="1:5" ht="15" x14ac:dyDescent="0.35">
      <c r="A92" s="58" t="s">
        <v>333</v>
      </c>
      <c r="B92" s="58">
        <v>0.5</v>
      </c>
      <c r="C92" s="58">
        <v>0.3</v>
      </c>
      <c r="D92" s="58">
        <v>0</v>
      </c>
      <c r="E92" s="58">
        <v>0</v>
      </c>
    </row>
    <row r="93" spans="1:5" ht="15" x14ac:dyDescent="0.35">
      <c r="A93" s="58" t="s">
        <v>334</v>
      </c>
      <c r="B93" s="58">
        <v>0.15</v>
      </c>
      <c r="C93" s="58">
        <v>0.2</v>
      </c>
      <c r="D93" s="58">
        <v>0</v>
      </c>
      <c r="E93" s="58">
        <v>0</v>
      </c>
    </row>
    <row r="94" spans="1:5" ht="15" x14ac:dyDescent="0.35">
      <c r="A94" s="58" t="s">
        <v>335</v>
      </c>
      <c r="B94" s="58">
        <v>0.8</v>
      </c>
      <c r="C94" s="58">
        <v>0.05</v>
      </c>
      <c r="D94" s="58">
        <v>0</v>
      </c>
      <c r="E94" s="58">
        <v>0</v>
      </c>
    </row>
    <row r="95" spans="1:5" ht="15" x14ac:dyDescent="0.35">
      <c r="A95" s="58" t="s">
        <v>336</v>
      </c>
      <c r="B95" s="58">
        <v>0.35</v>
      </c>
      <c r="C95" s="58">
        <v>0.3</v>
      </c>
      <c r="D95" s="58">
        <v>0</v>
      </c>
      <c r="E95" s="58">
        <v>0</v>
      </c>
    </row>
    <row r="96" spans="1:5" ht="15" x14ac:dyDescent="0.35">
      <c r="A96" s="58" t="s">
        <v>337</v>
      </c>
      <c r="B96" s="58">
        <v>0.7</v>
      </c>
      <c r="C96" s="58">
        <v>0.3</v>
      </c>
      <c r="D96" s="58">
        <v>0</v>
      </c>
      <c r="E96" s="58">
        <v>0</v>
      </c>
    </row>
    <row r="97" spans="1:5" ht="15" x14ac:dyDescent="0.35">
      <c r="A97" s="58" t="s">
        <v>338</v>
      </c>
      <c r="B97" s="58">
        <v>0.05</v>
      </c>
      <c r="C97" s="58">
        <v>0.05</v>
      </c>
      <c r="D97" s="58">
        <v>0.05</v>
      </c>
      <c r="E97" s="58">
        <v>0</v>
      </c>
    </row>
    <row r="98" spans="1:5" ht="15" x14ac:dyDescent="0.35">
      <c r="A98" s="58" t="s">
        <v>339</v>
      </c>
      <c r="B98" s="58">
        <v>0.1</v>
      </c>
      <c r="C98" s="58">
        <v>0.05</v>
      </c>
      <c r="D98" s="58">
        <v>0</v>
      </c>
      <c r="E98" s="58">
        <v>0</v>
      </c>
    </row>
    <row r="99" spans="1:5" ht="15" x14ac:dyDescent="0.35">
      <c r="A99" s="58" t="s">
        <v>340</v>
      </c>
      <c r="B99" s="58">
        <v>0.05</v>
      </c>
      <c r="C99" s="58">
        <v>0.3</v>
      </c>
      <c r="D99" s="58">
        <v>0</v>
      </c>
      <c r="E99" s="58">
        <v>0</v>
      </c>
    </row>
    <row r="100" spans="1:5" ht="15" x14ac:dyDescent="0.35">
      <c r="A100" s="58" t="s">
        <v>341</v>
      </c>
      <c r="B100" s="58">
        <v>0.25</v>
      </c>
      <c r="C100" s="58">
        <v>0.1</v>
      </c>
      <c r="D100" s="58">
        <v>0</v>
      </c>
      <c r="E100" s="58">
        <v>0</v>
      </c>
    </row>
    <row r="101" spans="1:5" ht="15" x14ac:dyDescent="0.35">
      <c r="A101" s="58" t="s">
        <v>342</v>
      </c>
      <c r="B101" s="58">
        <v>0.1</v>
      </c>
      <c r="C101" s="58">
        <v>0.05</v>
      </c>
      <c r="D101" s="58">
        <v>0.05</v>
      </c>
      <c r="E101" s="58">
        <v>0</v>
      </c>
    </row>
    <row r="102" spans="1:5" ht="15" x14ac:dyDescent="0.35">
      <c r="A102" s="58" t="s">
        <v>343</v>
      </c>
      <c r="B102" s="58">
        <v>0.25</v>
      </c>
      <c r="C102" s="58">
        <v>0.3</v>
      </c>
      <c r="D102" s="58">
        <v>0</v>
      </c>
      <c r="E102" s="58">
        <v>0</v>
      </c>
    </row>
    <row r="103" spans="1:5" ht="15" x14ac:dyDescent="0.35">
      <c r="A103" s="58" t="s">
        <v>344</v>
      </c>
      <c r="B103" s="58">
        <v>0.1</v>
      </c>
      <c r="C103" s="58">
        <v>0.05</v>
      </c>
      <c r="D103" s="58">
        <v>0.05</v>
      </c>
      <c r="E103" s="58">
        <v>0</v>
      </c>
    </row>
    <row r="104" spans="1:5" ht="15" x14ac:dyDescent="0.35">
      <c r="A104" s="58" t="s">
        <v>345</v>
      </c>
      <c r="B104" s="58">
        <v>0.1</v>
      </c>
      <c r="C104" s="58">
        <v>0.3</v>
      </c>
      <c r="D104" s="58">
        <v>0</v>
      </c>
      <c r="E104" s="58">
        <v>0</v>
      </c>
    </row>
    <row r="105" spans="1:5" ht="15" x14ac:dyDescent="0.35">
      <c r="A105" s="58" t="s">
        <v>346</v>
      </c>
      <c r="B105" s="58">
        <v>0.25</v>
      </c>
      <c r="C105" s="58">
        <v>0.05</v>
      </c>
      <c r="D105" s="58">
        <v>0</v>
      </c>
      <c r="E105" s="58">
        <v>0</v>
      </c>
    </row>
    <row r="106" spans="1:5" ht="15" x14ac:dyDescent="0.35">
      <c r="A106" s="58" t="s">
        <v>347</v>
      </c>
      <c r="B106" s="58">
        <v>0.25</v>
      </c>
      <c r="C106" s="58">
        <v>0.3</v>
      </c>
      <c r="D106" s="58">
        <v>0</v>
      </c>
      <c r="E106" s="58">
        <v>0</v>
      </c>
    </row>
    <row r="107" spans="1:5" ht="15" x14ac:dyDescent="0.35">
      <c r="A107" s="58" t="s">
        <v>348</v>
      </c>
      <c r="B107" s="58">
        <v>0.05</v>
      </c>
      <c r="C107" s="58">
        <v>0.1</v>
      </c>
      <c r="D107" s="58">
        <v>0</v>
      </c>
      <c r="E107" s="58">
        <v>0</v>
      </c>
    </row>
    <row r="108" spans="1:5" ht="15" x14ac:dyDescent="0.35">
      <c r="A108" s="58" t="s">
        <v>349</v>
      </c>
      <c r="B108" s="58">
        <v>0.15</v>
      </c>
      <c r="C108" s="58">
        <v>0.3</v>
      </c>
      <c r="D108" s="58">
        <v>0</v>
      </c>
      <c r="E108" s="58">
        <v>0</v>
      </c>
    </row>
    <row r="109" spans="1:5" ht="15" x14ac:dyDescent="0.35">
      <c r="A109" s="58" t="s">
        <v>350</v>
      </c>
      <c r="B109" s="58">
        <v>0.15</v>
      </c>
      <c r="C109" s="58">
        <v>0.3</v>
      </c>
      <c r="D109" s="58">
        <v>0</v>
      </c>
      <c r="E109" s="58">
        <v>0</v>
      </c>
    </row>
    <row r="110" spans="1:5" ht="15" x14ac:dyDescent="0.35">
      <c r="A110" s="58" t="s">
        <v>351</v>
      </c>
      <c r="B110" s="58">
        <v>0.45</v>
      </c>
      <c r="C110" s="58">
        <v>0.3</v>
      </c>
      <c r="D110" s="58">
        <v>0</v>
      </c>
      <c r="E110" s="58">
        <v>0</v>
      </c>
    </row>
    <row r="111" spans="1:5" ht="15" x14ac:dyDescent="0.35">
      <c r="A111" s="58" t="s">
        <v>352</v>
      </c>
      <c r="B111" s="58">
        <v>0.05</v>
      </c>
      <c r="C111" s="58">
        <v>0.05</v>
      </c>
      <c r="D111" s="58">
        <v>0</v>
      </c>
      <c r="E111" s="58">
        <v>0</v>
      </c>
    </row>
    <row r="112" spans="1:5" ht="15" x14ac:dyDescent="0.35">
      <c r="A112" s="58" t="s">
        <v>353</v>
      </c>
      <c r="B112" s="58">
        <v>0.75</v>
      </c>
      <c r="C112" s="58">
        <v>0.3</v>
      </c>
      <c r="D112" s="58">
        <v>0</v>
      </c>
      <c r="E112" s="58">
        <v>0</v>
      </c>
    </row>
    <row r="113" spans="1:5" ht="15" x14ac:dyDescent="0.35">
      <c r="A113" s="58" t="s">
        <v>354</v>
      </c>
      <c r="B113" s="58">
        <v>0.3</v>
      </c>
      <c r="C113" s="58">
        <v>0.3</v>
      </c>
      <c r="D113" s="58">
        <v>0</v>
      </c>
      <c r="E113" s="58">
        <v>0</v>
      </c>
    </row>
    <row r="114" spans="1:5" ht="15" x14ac:dyDescent="0.35">
      <c r="A114" s="58" t="s">
        <v>355</v>
      </c>
      <c r="B114" s="58">
        <v>0.05</v>
      </c>
      <c r="C114" s="58">
        <v>0.05</v>
      </c>
      <c r="D114" s="58">
        <v>0</v>
      </c>
      <c r="E114" s="58">
        <v>0</v>
      </c>
    </row>
    <row r="115" spans="1:5" ht="15" x14ac:dyDescent="0.35">
      <c r="A115" s="58" t="s">
        <v>356</v>
      </c>
      <c r="B115" s="58">
        <v>0.5</v>
      </c>
      <c r="C115" s="58">
        <v>0.3</v>
      </c>
      <c r="D115" s="58">
        <v>0</v>
      </c>
      <c r="E115" s="58">
        <v>0</v>
      </c>
    </row>
    <row r="116" spans="1:5" ht="15" x14ac:dyDescent="0.35">
      <c r="A116" s="58" t="s">
        <v>357</v>
      </c>
      <c r="B116" s="58">
        <v>0.25</v>
      </c>
      <c r="C116" s="58">
        <v>0.2</v>
      </c>
      <c r="D116" s="58">
        <v>0</v>
      </c>
      <c r="E116" s="58">
        <v>0</v>
      </c>
    </row>
    <row r="117" spans="1:5" ht="15" x14ac:dyDescent="0.35">
      <c r="A117" s="58" t="s">
        <v>358</v>
      </c>
      <c r="B117" s="58">
        <v>0.6</v>
      </c>
      <c r="C117" s="58">
        <v>0.05</v>
      </c>
      <c r="D117" s="58">
        <v>0</v>
      </c>
      <c r="E117" s="58">
        <v>0</v>
      </c>
    </row>
    <row r="118" spans="1:5" ht="15" x14ac:dyDescent="0.35">
      <c r="A118" s="58" t="s">
        <v>359</v>
      </c>
      <c r="B118" s="58">
        <v>0.4</v>
      </c>
      <c r="C118" s="58">
        <v>0.05</v>
      </c>
      <c r="D118" s="58">
        <v>0</v>
      </c>
      <c r="E118" s="58">
        <v>0</v>
      </c>
    </row>
    <row r="119" spans="1:5" ht="15" x14ac:dyDescent="0.35">
      <c r="A119" s="58" t="s">
        <v>360</v>
      </c>
      <c r="B119" s="58">
        <v>0.05</v>
      </c>
      <c r="C119" s="58">
        <v>0.05</v>
      </c>
      <c r="D119" s="58">
        <v>0</v>
      </c>
      <c r="E119" s="58">
        <v>0</v>
      </c>
    </row>
    <row r="120" spans="1:5" ht="15" x14ac:dyDescent="0.35">
      <c r="A120" s="58" t="s">
        <v>361</v>
      </c>
      <c r="B120" s="58">
        <v>0.25</v>
      </c>
      <c r="C120" s="58">
        <v>0.3</v>
      </c>
      <c r="D120" s="58">
        <v>0</v>
      </c>
      <c r="E120" s="58">
        <v>0</v>
      </c>
    </row>
    <row r="121" spans="1:5" ht="15" x14ac:dyDescent="0.35">
      <c r="A121" s="58" t="s">
        <v>362</v>
      </c>
      <c r="B121" s="58">
        <v>0.05</v>
      </c>
      <c r="C121" s="58">
        <v>0.05</v>
      </c>
      <c r="D121" s="58">
        <v>0</v>
      </c>
      <c r="E121" s="58">
        <v>0</v>
      </c>
    </row>
    <row r="122" spans="1:5" ht="15" x14ac:dyDescent="0.35">
      <c r="A122" s="58" t="s">
        <v>363</v>
      </c>
      <c r="B122" s="58">
        <v>0.3</v>
      </c>
      <c r="C122" s="58">
        <v>0.05</v>
      </c>
      <c r="D122" s="58">
        <v>0</v>
      </c>
      <c r="E122" s="58">
        <v>0</v>
      </c>
    </row>
    <row r="123" spans="1:5" ht="15" x14ac:dyDescent="0.35">
      <c r="A123" s="58" t="s">
        <v>364</v>
      </c>
      <c r="B123" s="58">
        <v>0.55000000000000004</v>
      </c>
      <c r="C123" s="58">
        <v>0.3</v>
      </c>
      <c r="D123" s="58">
        <v>0</v>
      </c>
      <c r="E123" s="58">
        <v>0</v>
      </c>
    </row>
    <row r="124" spans="1:5" ht="15" x14ac:dyDescent="0.35">
      <c r="A124" s="58" t="s">
        <v>365</v>
      </c>
      <c r="B124" s="58">
        <v>0.4</v>
      </c>
      <c r="C124" s="58">
        <v>0.05</v>
      </c>
      <c r="D124" s="58">
        <v>0</v>
      </c>
      <c r="E124" s="58">
        <v>0</v>
      </c>
    </row>
    <row r="125" spans="1:5" ht="15" x14ac:dyDescent="0.35">
      <c r="A125" s="58" t="s">
        <v>366</v>
      </c>
      <c r="B125" s="58">
        <v>0.3</v>
      </c>
      <c r="C125" s="58">
        <v>0.05</v>
      </c>
      <c r="D125" s="58">
        <v>0</v>
      </c>
      <c r="E125" s="58">
        <v>0</v>
      </c>
    </row>
    <row r="126" spans="1:5" ht="15" x14ac:dyDescent="0.35">
      <c r="A126" s="58" t="s">
        <v>367</v>
      </c>
      <c r="B126" s="58">
        <v>0.15</v>
      </c>
      <c r="C126" s="58">
        <v>0.3</v>
      </c>
      <c r="D126" s="58">
        <v>0</v>
      </c>
      <c r="E126" s="58">
        <v>0</v>
      </c>
    </row>
    <row r="127" spans="1:5" ht="15" x14ac:dyDescent="0.35">
      <c r="A127" s="58" t="s">
        <v>368</v>
      </c>
      <c r="B127" s="58">
        <v>0.05</v>
      </c>
      <c r="C127" s="58">
        <v>0.05</v>
      </c>
      <c r="D127" s="58">
        <v>0</v>
      </c>
      <c r="E127" s="58">
        <v>0</v>
      </c>
    </row>
    <row r="128" spans="1:5" ht="15" x14ac:dyDescent="0.35">
      <c r="A128" s="58" t="s">
        <v>369</v>
      </c>
      <c r="B128" s="58">
        <v>0.15</v>
      </c>
      <c r="C128" s="58">
        <v>0.05</v>
      </c>
      <c r="D128" s="58">
        <v>0</v>
      </c>
      <c r="E128" s="58">
        <v>0</v>
      </c>
    </row>
    <row r="129" spans="1:5" ht="15" x14ac:dyDescent="0.35">
      <c r="A129" s="58" t="s">
        <v>370</v>
      </c>
      <c r="B129" s="58">
        <v>0.15</v>
      </c>
      <c r="C129" s="58">
        <v>0.1</v>
      </c>
      <c r="D129" s="58">
        <v>0</v>
      </c>
      <c r="E129" s="58">
        <v>0</v>
      </c>
    </row>
    <row r="130" spans="1:5" ht="15" x14ac:dyDescent="0.35">
      <c r="A130" s="58" t="s">
        <v>371</v>
      </c>
      <c r="B130" s="58">
        <v>0.15</v>
      </c>
      <c r="C130" s="58">
        <v>0.05</v>
      </c>
      <c r="D130" s="58">
        <v>0.05</v>
      </c>
      <c r="E130" s="58">
        <v>0</v>
      </c>
    </row>
    <row r="131" spans="1:5" ht="15" x14ac:dyDescent="0.35">
      <c r="A131" s="58" t="s">
        <v>372</v>
      </c>
      <c r="B131" s="58">
        <v>0.05</v>
      </c>
      <c r="C131" s="58">
        <v>0.05</v>
      </c>
      <c r="D131" s="58">
        <v>0</v>
      </c>
      <c r="E131" s="58">
        <v>0</v>
      </c>
    </row>
    <row r="132" spans="1:5" ht="15" x14ac:dyDescent="0.35">
      <c r="A132" s="58" t="s">
        <v>373</v>
      </c>
      <c r="B132" s="58">
        <v>0.25</v>
      </c>
      <c r="C132" s="58">
        <v>0.2</v>
      </c>
      <c r="D132" s="58">
        <v>0</v>
      </c>
      <c r="E132" s="58">
        <v>0</v>
      </c>
    </row>
    <row r="133" spans="1:5" ht="15" x14ac:dyDescent="0.35">
      <c r="A133" s="58" t="s">
        <v>374</v>
      </c>
      <c r="B133" s="58">
        <v>0.1</v>
      </c>
      <c r="C133" s="58">
        <v>0.2</v>
      </c>
      <c r="D133" s="58">
        <v>0</v>
      </c>
      <c r="E133" s="58">
        <v>0</v>
      </c>
    </row>
    <row r="134" spans="1:5" ht="15" x14ac:dyDescent="0.35">
      <c r="A134" s="58" t="s">
        <v>375</v>
      </c>
      <c r="B134" s="58">
        <v>0.2</v>
      </c>
      <c r="C134" s="58">
        <v>0.3</v>
      </c>
      <c r="D134" s="58">
        <v>0</v>
      </c>
      <c r="E134" s="58">
        <v>0</v>
      </c>
    </row>
    <row r="135" spans="1:5" ht="15" x14ac:dyDescent="0.35">
      <c r="A135" s="58" t="s">
        <v>376</v>
      </c>
      <c r="B135" s="58">
        <v>0.05</v>
      </c>
      <c r="C135" s="58">
        <v>0.05</v>
      </c>
      <c r="D135" s="58">
        <v>0</v>
      </c>
      <c r="E135" s="58">
        <v>0</v>
      </c>
    </row>
    <row r="136" spans="1:5" ht="15" x14ac:dyDescent="0.35">
      <c r="A136" s="58" t="s">
        <v>377</v>
      </c>
      <c r="B136" s="58">
        <v>0.05</v>
      </c>
      <c r="C136" s="58">
        <v>0.1</v>
      </c>
      <c r="D136" s="58">
        <v>0.05</v>
      </c>
      <c r="E136" s="58">
        <v>0</v>
      </c>
    </row>
    <row r="137" spans="1:5" ht="15" x14ac:dyDescent="0.35">
      <c r="A137" s="58" t="s">
        <v>378</v>
      </c>
      <c r="B137" s="58">
        <v>0.2</v>
      </c>
      <c r="C137" s="58">
        <v>0.1</v>
      </c>
      <c r="D137" s="58">
        <v>0</v>
      </c>
      <c r="E137" s="58">
        <v>0</v>
      </c>
    </row>
    <row r="138" spans="1:5" ht="15" x14ac:dyDescent="0.35">
      <c r="A138" s="58" t="s">
        <v>379</v>
      </c>
      <c r="B138" s="58">
        <v>0.3</v>
      </c>
      <c r="C138" s="58">
        <v>0.3</v>
      </c>
      <c r="D138" s="58">
        <v>0</v>
      </c>
      <c r="E138" s="58">
        <v>0</v>
      </c>
    </row>
    <row r="139" spans="1:5" ht="15" x14ac:dyDescent="0.35">
      <c r="A139" s="58" t="s">
        <v>380</v>
      </c>
      <c r="B139" s="58">
        <v>0.15</v>
      </c>
      <c r="C139" s="58">
        <v>0.3</v>
      </c>
      <c r="D139" s="58">
        <v>0</v>
      </c>
      <c r="E139" s="58">
        <v>0</v>
      </c>
    </row>
    <row r="140" spans="1:5" ht="15" x14ac:dyDescent="0.35">
      <c r="A140" s="58" t="s">
        <v>381</v>
      </c>
      <c r="B140" s="58">
        <v>0.6</v>
      </c>
      <c r="C140" s="58">
        <v>0.3</v>
      </c>
      <c r="D140" s="58">
        <v>0</v>
      </c>
      <c r="E140" s="58">
        <v>0</v>
      </c>
    </row>
    <row r="141" spans="1:5" ht="15" x14ac:dyDescent="0.35">
      <c r="A141" s="58" t="s">
        <v>382</v>
      </c>
      <c r="B141" s="58">
        <v>0.1</v>
      </c>
      <c r="C141" s="58">
        <v>0.1</v>
      </c>
      <c r="D141" s="58">
        <v>0</v>
      </c>
      <c r="E141" s="58">
        <v>0</v>
      </c>
    </row>
    <row r="142" spans="1:5" ht="15" x14ac:dyDescent="0.35">
      <c r="A142" s="58" t="s">
        <v>383</v>
      </c>
      <c r="B142" s="58">
        <v>0.35</v>
      </c>
      <c r="C142" s="58">
        <v>0.3</v>
      </c>
      <c r="D142" s="58">
        <v>0</v>
      </c>
      <c r="E142" s="58">
        <v>0</v>
      </c>
    </row>
    <row r="143" spans="1:5" ht="15" x14ac:dyDescent="0.35">
      <c r="A143" s="58" t="s">
        <v>384</v>
      </c>
      <c r="B143" s="58">
        <v>0.3</v>
      </c>
      <c r="C143" s="58">
        <v>0.3</v>
      </c>
      <c r="D143" s="58">
        <v>0</v>
      </c>
      <c r="E143" s="58">
        <v>0</v>
      </c>
    </row>
    <row r="144" spans="1:5" ht="15" x14ac:dyDescent="0.35">
      <c r="A144" s="58" t="s">
        <v>385</v>
      </c>
      <c r="B144" s="58">
        <v>0.1</v>
      </c>
      <c r="C144" s="58">
        <v>0.05</v>
      </c>
      <c r="D144" s="58">
        <v>0</v>
      </c>
      <c r="E144" s="58">
        <v>0</v>
      </c>
    </row>
    <row r="145" spans="1:5" ht="15" x14ac:dyDescent="0.35">
      <c r="A145" s="58" t="s">
        <v>386</v>
      </c>
      <c r="B145" s="58">
        <v>0.2</v>
      </c>
      <c r="C145" s="58">
        <v>0.1</v>
      </c>
      <c r="D145" s="58">
        <v>0.05</v>
      </c>
      <c r="E145" s="58">
        <v>0</v>
      </c>
    </row>
    <row r="146" spans="1:5" ht="15" x14ac:dyDescent="0.35">
      <c r="A146" s="58" t="s">
        <v>387</v>
      </c>
      <c r="B146" s="58">
        <v>0.15</v>
      </c>
      <c r="C146" s="58">
        <v>0.1</v>
      </c>
      <c r="D146" s="58">
        <v>0</v>
      </c>
      <c r="E146" s="58">
        <v>0</v>
      </c>
    </row>
    <row r="147" spans="1:5" ht="15" x14ac:dyDescent="0.35">
      <c r="A147" s="58" t="s">
        <v>388</v>
      </c>
      <c r="B147" s="58">
        <v>0.45</v>
      </c>
      <c r="C147" s="58">
        <v>0.05</v>
      </c>
      <c r="D147" s="58">
        <v>0</v>
      </c>
      <c r="E147" s="58">
        <v>0</v>
      </c>
    </row>
    <row r="148" spans="1:5" ht="15" x14ac:dyDescent="0.35">
      <c r="A148" s="58" t="s">
        <v>389</v>
      </c>
      <c r="B148" s="58">
        <v>0.05</v>
      </c>
      <c r="C148" s="58">
        <v>0.2</v>
      </c>
      <c r="D148" s="58">
        <v>0</v>
      </c>
      <c r="E148" s="58">
        <v>0</v>
      </c>
    </row>
    <row r="149" spans="1:5" ht="15" x14ac:dyDescent="0.35">
      <c r="A149" s="58" t="s">
        <v>390</v>
      </c>
      <c r="B149" s="58">
        <v>0.35</v>
      </c>
      <c r="C149" s="58">
        <v>0.3</v>
      </c>
      <c r="D149" s="58">
        <v>0</v>
      </c>
      <c r="E149" s="58">
        <v>0</v>
      </c>
    </row>
    <row r="150" spans="1:5" ht="15" x14ac:dyDescent="0.35">
      <c r="A150" s="58" t="s">
        <v>391</v>
      </c>
      <c r="B150" s="58">
        <v>0.3</v>
      </c>
      <c r="C150" s="58">
        <v>0.3</v>
      </c>
      <c r="D150" s="58">
        <v>0</v>
      </c>
      <c r="E150" s="58">
        <v>0</v>
      </c>
    </row>
    <row r="151" spans="1:5" ht="15" x14ac:dyDescent="0.35">
      <c r="A151" s="58" t="s">
        <v>392</v>
      </c>
      <c r="B151" s="58">
        <v>0.15</v>
      </c>
      <c r="C151" s="58">
        <v>0.05</v>
      </c>
      <c r="D151" s="58">
        <v>0</v>
      </c>
      <c r="E151" s="58">
        <v>0</v>
      </c>
    </row>
    <row r="152" spans="1:5" ht="15" x14ac:dyDescent="0.35">
      <c r="A152" s="58" t="s">
        <v>393</v>
      </c>
      <c r="B152" s="58">
        <v>0.05</v>
      </c>
      <c r="C152" s="58">
        <v>0.05</v>
      </c>
      <c r="D152" s="58">
        <v>0</v>
      </c>
      <c r="E152" s="58">
        <v>0</v>
      </c>
    </row>
    <row r="153" spans="1:5" ht="15" x14ac:dyDescent="0.35">
      <c r="A153" s="58" t="s">
        <v>394</v>
      </c>
      <c r="B153" s="58">
        <v>0.1</v>
      </c>
      <c r="C153" s="58">
        <v>0.3</v>
      </c>
      <c r="D153" s="58">
        <v>0</v>
      </c>
      <c r="E153" s="58">
        <v>0</v>
      </c>
    </row>
    <row r="154" spans="1:5" ht="15" x14ac:dyDescent="0.35">
      <c r="A154" s="58" t="s">
        <v>395</v>
      </c>
      <c r="B154" s="58">
        <v>0.3</v>
      </c>
      <c r="C154" s="58">
        <v>0.05</v>
      </c>
      <c r="D154" s="58">
        <v>0</v>
      </c>
      <c r="E154" s="58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A8A85"/>
  </sheetPr>
  <dimension ref="A1:E720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1" customWidth="1"/>
    <col min="2" max="2" width="16" customWidth="1"/>
    <col min="3" max="3" width="12" customWidth="1"/>
    <col min="4" max="4" width="10" customWidth="1"/>
    <col min="5" max="5" width="14" customWidth="1"/>
  </cols>
  <sheetData>
    <row r="1" spans="1:5" ht="23.4" x14ac:dyDescent="0.55000000000000004">
      <c r="A1" s="1" t="s">
        <v>582</v>
      </c>
    </row>
    <row r="2" spans="1:5" x14ac:dyDescent="0.3">
      <c r="A2" s="2" t="s">
        <v>583</v>
      </c>
    </row>
    <row r="4" spans="1:5" ht="31.95" customHeight="1" x14ac:dyDescent="0.3">
      <c r="A4" s="8" t="s">
        <v>123</v>
      </c>
      <c r="B4" s="8" t="s">
        <v>163</v>
      </c>
      <c r="C4" s="8" t="s">
        <v>584</v>
      </c>
      <c r="D4" s="8" t="s">
        <v>585</v>
      </c>
      <c r="E4" s="8" t="s">
        <v>586</v>
      </c>
    </row>
    <row r="5" spans="1:5" ht="15" x14ac:dyDescent="0.35">
      <c r="A5" s="58" t="s">
        <v>313</v>
      </c>
      <c r="B5" s="58" t="s">
        <v>182</v>
      </c>
      <c r="C5" s="58">
        <v>1</v>
      </c>
      <c r="D5" s="58">
        <v>104</v>
      </c>
      <c r="E5" s="59">
        <v>166.45189999999999</v>
      </c>
    </row>
    <row r="6" spans="1:5" ht="15" x14ac:dyDescent="0.35">
      <c r="A6" s="58" t="s">
        <v>313</v>
      </c>
      <c r="B6" s="58" t="s">
        <v>182</v>
      </c>
      <c r="C6" s="58">
        <v>2</v>
      </c>
      <c r="D6" s="58">
        <v>105</v>
      </c>
      <c r="E6" s="59">
        <v>58.318600000000004</v>
      </c>
    </row>
    <row r="7" spans="1:5" ht="15" x14ac:dyDescent="0.35">
      <c r="A7" s="58" t="s">
        <v>313</v>
      </c>
      <c r="B7" s="58" t="s">
        <v>182</v>
      </c>
      <c r="C7" s="58">
        <v>3</v>
      </c>
      <c r="D7" s="58">
        <v>106</v>
      </c>
      <c r="E7" s="59">
        <v>47.951900000000002</v>
      </c>
    </row>
    <row r="8" spans="1:5" ht="15" x14ac:dyDescent="0.35">
      <c r="A8" s="58" t="s">
        <v>313</v>
      </c>
      <c r="B8" s="58" t="s">
        <v>182</v>
      </c>
      <c r="C8" s="58">
        <v>4</v>
      </c>
      <c r="D8" s="58">
        <v>107</v>
      </c>
      <c r="E8" s="59">
        <v>53.118600000000001</v>
      </c>
    </row>
    <row r="9" spans="1:5" ht="15" x14ac:dyDescent="0.35">
      <c r="A9" s="58" t="s">
        <v>313</v>
      </c>
      <c r="B9" s="58" t="s">
        <v>182</v>
      </c>
      <c r="C9" s="58">
        <v>5</v>
      </c>
      <c r="D9" s="58">
        <v>108</v>
      </c>
      <c r="E9" s="59">
        <v>49.618600000000001</v>
      </c>
    </row>
    <row r="10" spans="1:5" ht="15" x14ac:dyDescent="0.35">
      <c r="A10" s="58" t="s">
        <v>313</v>
      </c>
      <c r="B10" s="58" t="s">
        <v>182</v>
      </c>
      <c r="C10" s="58">
        <v>6</v>
      </c>
      <c r="D10" s="58">
        <v>109</v>
      </c>
      <c r="E10" s="59">
        <v>44.340800000000002</v>
      </c>
    </row>
    <row r="11" spans="1:5" ht="15" x14ac:dyDescent="0.35">
      <c r="A11" s="58" t="s">
        <v>313</v>
      </c>
      <c r="B11" s="58" t="s">
        <v>182</v>
      </c>
      <c r="C11" s="58">
        <v>7</v>
      </c>
      <c r="D11" s="58">
        <v>110</v>
      </c>
      <c r="E11" s="59">
        <v>43.785299999999999</v>
      </c>
    </row>
    <row r="12" spans="1:5" ht="15" x14ac:dyDescent="0.35">
      <c r="A12" s="58" t="s">
        <v>313</v>
      </c>
      <c r="B12" s="58" t="s">
        <v>182</v>
      </c>
      <c r="C12" s="58">
        <v>8</v>
      </c>
      <c r="D12" s="58">
        <v>111</v>
      </c>
      <c r="E12" s="59">
        <v>60.563000000000002</v>
      </c>
    </row>
    <row r="13" spans="1:5" ht="15" x14ac:dyDescent="0.35">
      <c r="A13" s="58" t="s">
        <v>313</v>
      </c>
      <c r="B13" s="58" t="s">
        <v>182</v>
      </c>
      <c r="C13" s="58">
        <v>9</v>
      </c>
      <c r="D13" s="58">
        <v>112</v>
      </c>
      <c r="E13" s="59">
        <v>60.563000000000002</v>
      </c>
    </row>
    <row r="14" spans="1:5" ht="15" x14ac:dyDescent="0.35">
      <c r="A14" s="58" t="s">
        <v>313</v>
      </c>
      <c r="B14" s="58" t="s">
        <v>182</v>
      </c>
      <c r="C14" s="58">
        <v>10</v>
      </c>
      <c r="D14" s="58">
        <v>113</v>
      </c>
      <c r="E14" s="59">
        <v>82.118600000000001</v>
      </c>
    </row>
    <row r="15" spans="1:5" ht="15" x14ac:dyDescent="0.35">
      <c r="A15" s="58" t="s">
        <v>313</v>
      </c>
      <c r="B15" s="58" t="s">
        <v>182</v>
      </c>
      <c r="C15" s="58">
        <v>11</v>
      </c>
      <c r="D15" s="58">
        <v>114</v>
      </c>
      <c r="E15" s="59">
        <v>72.340800000000002</v>
      </c>
    </row>
    <row r="16" spans="1:5" ht="15" x14ac:dyDescent="0.35">
      <c r="A16" s="58" t="s">
        <v>313</v>
      </c>
      <c r="B16" s="58" t="s">
        <v>182</v>
      </c>
      <c r="C16" s="58">
        <v>12</v>
      </c>
      <c r="D16" s="58">
        <v>115</v>
      </c>
      <c r="E16" s="59">
        <v>152.00749999999999</v>
      </c>
    </row>
    <row r="17" spans="1:5" ht="15" x14ac:dyDescent="0.35">
      <c r="A17" s="58" t="s">
        <v>313</v>
      </c>
      <c r="B17" s="58" t="s">
        <v>176</v>
      </c>
      <c r="C17" s="58">
        <v>1</v>
      </c>
      <c r="D17" s="58">
        <v>104</v>
      </c>
      <c r="E17" s="59">
        <v>221.375</v>
      </c>
    </row>
    <row r="18" spans="1:5" ht="15" x14ac:dyDescent="0.35">
      <c r="A18" s="58" t="s">
        <v>313</v>
      </c>
      <c r="B18" s="58" t="s">
        <v>176</v>
      </c>
      <c r="C18" s="58">
        <v>2</v>
      </c>
      <c r="D18" s="58">
        <v>105</v>
      </c>
      <c r="E18" s="59">
        <v>221.375</v>
      </c>
    </row>
    <row r="19" spans="1:5" ht="15" x14ac:dyDescent="0.35">
      <c r="A19" s="58" t="s">
        <v>313</v>
      </c>
      <c r="B19" s="58" t="s">
        <v>176</v>
      </c>
      <c r="C19" s="58">
        <v>3</v>
      </c>
      <c r="D19" s="58">
        <v>106</v>
      </c>
      <c r="E19" s="59">
        <v>221.375</v>
      </c>
    </row>
    <row r="20" spans="1:5" ht="15" x14ac:dyDescent="0.35">
      <c r="A20" s="58" t="s">
        <v>313</v>
      </c>
      <c r="B20" s="58" t="s">
        <v>176</v>
      </c>
      <c r="C20" s="58">
        <v>4</v>
      </c>
      <c r="D20" s="58">
        <v>107</v>
      </c>
      <c r="E20" s="59">
        <v>221.375</v>
      </c>
    </row>
    <row r="21" spans="1:5" ht="15" x14ac:dyDescent="0.35">
      <c r="A21" s="58" t="s">
        <v>313</v>
      </c>
      <c r="B21" s="58" t="s">
        <v>176</v>
      </c>
      <c r="C21" s="58">
        <v>5</v>
      </c>
      <c r="D21" s="58">
        <v>108</v>
      </c>
      <c r="E21" s="59">
        <v>221.375</v>
      </c>
    </row>
    <row r="22" spans="1:5" ht="15" x14ac:dyDescent="0.35">
      <c r="A22" s="58" t="s">
        <v>313</v>
      </c>
      <c r="B22" s="58" t="s">
        <v>176</v>
      </c>
      <c r="C22" s="58">
        <v>6</v>
      </c>
      <c r="D22" s="58">
        <v>109</v>
      </c>
      <c r="E22" s="59">
        <v>221.375</v>
      </c>
    </row>
    <row r="23" spans="1:5" ht="15" x14ac:dyDescent="0.35">
      <c r="A23" s="58" t="s">
        <v>313</v>
      </c>
      <c r="B23" s="58" t="s">
        <v>176</v>
      </c>
      <c r="C23" s="58">
        <v>7</v>
      </c>
      <c r="D23" s="58">
        <v>110</v>
      </c>
      <c r="E23" s="59">
        <v>221.375</v>
      </c>
    </row>
    <row r="24" spans="1:5" ht="15" x14ac:dyDescent="0.35">
      <c r="A24" s="58" t="s">
        <v>313</v>
      </c>
      <c r="B24" s="58" t="s">
        <v>176</v>
      </c>
      <c r="C24" s="58">
        <v>8</v>
      </c>
      <c r="D24" s="58">
        <v>111</v>
      </c>
      <c r="E24" s="59">
        <v>221.375</v>
      </c>
    </row>
    <row r="25" spans="1:5" ht="15" x14ac:dyDescent="0.35">
      <c r="A25" s="58" t="s">
        <v>313</v>
      </c>
      <c r="B25" s="58" t="s">
        <v>176</v>
      </c>
      <c r="C25" s="58">
        <v>9</v>
      </c>
      <c r="D25" s="58">
        <v>112</v>
      </c>
      <c r="E25" s="59">
        <v>221.375</v>
      </c>
    </row>
    <row r="26" spans="1:5" ht="15" x14ac:dyDescent="0.35">
      <c r="A26" s="58" t="s">
        <v>313</v>
      </c>
      <c r="B26" s="58" t="s">
        <v>176</v>
      </c>
      <c r="C26" s="58">
        <v>10</v>
      </c>
      <c r="D26" s="58">
        <v>113</v>
      </c>
      <c r="E26" s="59">
        <v>221.375</v>
      </c>
    </row>
    <row r="27" spans="1:5" ht="15" x14ac:dyDescent="0.35">
      <c r="A27" s="58" t="s">
        <v>313</v>
      </c>
      <c r="B27" s="58" t="s">
        <v>176</v>
      </c>
      <c r="C27" s="58">
        <v>11</v>
      </c>
      <c r="D27" s="58">
        <v>114</v>
      </c>
      <c r="E27" s="59">
        <v>221.375</v>
      </c>
    </row>
    <row r="28" spans="1:5" ht="15" x14ac:dyDescent="0.35">
      <c r="A28" s="58" t="s">
        <v>313</v>
      </c>
      <c r="B28" s="58" t="s">
        <v>176</v>
      </c>
      <c r="C28" s="58">
        <v>12</v>
      </c>
      <c r="D28" s="58">
        <v>115</v>
      </c>
      <c r="E28" s="59">
        <v>221.375</v>
      </c>
    </row>
    <row r="29" spans="1:5" ht="15" x14ac:dyDescent="0.35">
      <c r="A29" s="58" t="s">
        <v>313</v>
      </c>
      <c r="B29" s="58" t="s">
        <v>172</v>
      </c>
      <c r="C29" s="58">
        <v>1</v>
      </c>
      <c r="D29" s="58">
        <v>104</v>
      </c>
      <c r="E29" s="59">
        <v>237</v>
      </c>
    </row>
    <row r="30" spans="1:5" ht="15" x14ac:dyDescent="0.35">
      <c r="A30" s="58" t="s">
        <v>313</v>
      </c>
      <c r="B30" s="58" t="s">
        <v>172</v>
      </c>
      <c r="C30" s="58">
        <v>2</v>
      </c>
      <c r="D30" s="58">
        <v>105</v>
      </c>
      <c r="E30" s="59">
        <v>237</v>
      </c>
    </row>
    <row r="31" spans="1:5" ht="15" x14ac:dyDescent="0.35">
      <c r="A31" s="58" t="s">
        <v>313</v>
      </c>
      <c r="B31" s="58" t="s">
        <v>172</v>
      </c>
      <c r="C31" s="58">
        <v>3</v>
      </c>
      <c r="D31" s="58">
        <v>106</v>
      </c>
      <c r="E31" s="59">
        <v>237</v>
      </c>
    </row>
    <row r="32" spans="1:5" ht="15" x14ac:dyDescent="0.35">
      <c r="A32" s="58" t="s">
        <v>313</v>
      </c>
      <c r="B32" s="58" t="s">
        <v>172</v>
      </c>
      <c r="C32" s="58">
        <v>4</v>
      </c>
      <c r="D32" s="58">
        <v>107</v>
      </c>
      <c r="E32" s="59">
        <v>237</v>
      </c>
    </row>
    <row r="33" spans="1:5" ht="15" x14ac:dyDescent="0.35">
      <c r="A33" s="58" t="s">
        <v>313</v>
      </c>
      <c r="B33" s="58" t="s">
        <v>172</v>
      </c>
      <c r="C33" s="58">
        <v>5</v>
      </c>
      <c r="D33" s="58">
        <v>108</v>
      </c>
      <c r="E33" s="59">
        <v>237</v>
      </c>
    </row>
    <row r="34" spans="1:5" ht="15" x14ac:dyDescent="0.35">
      <c r="A34" s="58" t="s">
        <v>313</v>
      </c>
      <c r="B34" s="58" t="s">
        <v>172</v>
      </c>
      <c r="C34" s="58">
        <v>6</v>
      </c>
      <c r="D34" s="58">
        <v>109</v>
      </c>
      <c r="E34" s="59">
        <v>237</v>
      </c>
    </row>
    <row r="35" spans="1:5" ht="15" x14ac:dyDescent="0.35">
      <c r="A35" s="58" t="s">
        <v>313</v>
      </c>
      <c r="B35" s="58" t="s">
        <v>172</v>
      </c>
      <c r="C35" s="58">
        <v>7</v>
      </c>
      <c r="D35" s="58">
        <v>110</v>
      </c>
      <c r="E35" s="59">
        <v>237</v>
      </c>
    </row>
    <row r="36" spans="1:5" ht="15" x14ac:dyDescent="0.35">
      <c r="A36" s="58" t="s">
        <v>313</v>
      </c>
      <c r="B36" s="58" t="s">
        <v>172</v>
      </c>
      <c r="C36" s="58">
        <v>8</v>
      </c>
      <c r="D36" s="58">
        <v>111</v>
      </c>
      <c r="E36" s="59">
        <v>237</v>
      </c>
    </row>
    <row r="37" spans="1:5" ht="15" x14ac:dyDescent="0.35">
      <c r="A37" s="58" t="s">
        <v>313</v>
      </c>
      <c r="B37" s="58" t="s">
        <v>172</v>
      </c>
      <c r="C37" s="58">
        <v>9</v>
      </c>
      <c r="D37" s="58">
        <v>112</v>
      </c>
      <c r="E37" s="59">
        <v>237</v>
      </c>
    </row>
    <row r="38" spans="1:5" ht="15" x14ac:dyDescent="0.35">
      <c r="A38" s="58" t="s">
        <v>313</v>
      </c>
      <c r="B38" s="58" t="s">
        <v>172</v>
      </c>
      <c r="C38" s="58">
        <v>10</v>
      </c>
      <c r="D38" s="58">
        <v>113</v>
      </c>
      <c r="E38" s="59">
        <v>237</v>
      </c>
    </row>
    <row r="39" spans="1:5" ht="15" x14ac:dyDescent="0.35">
      <c r="A39" s="58" t="s">
        <v>313</v>
      </c>
      <c r="B39" s="58" t="s">
        <v>172</v>
      </c>
      <c r="C39" s="58">
        <v>11</v>
      </c>
      <c r="D39" s="58">
        <v>114</v>
      </c>
      <c r="E39" s="59">
        <v>237</v>
      </c>
    </row>
    <row r="40" spans="1:5" ht="15" x14ac:dyDescent="0.35">
      <c r="A40" s="58" t="s">
        <v>313</v>
      </c>
      <c r="B40" s="58" t="s">
        <v>172</v>
      </c>
      <c r="C40" s="58">
        <v>12</v>
      </c>
      <c r="D40" s="58">
        <v>115</v>
      </c>
      <c r="E40" s="59">
        <v>237</v>
      </c>
    </row>
    <row r="41" spans="1:5" ht="15" x14ac:dyDescent="0.35">
      <c r="A41" s="58" t="s">
        <v>313</v>
      </c>
      <c r="B41" s="58" t="s">
        <v>180</v>
      </c>
      <c r="C41" s="58">
        <v>1</v>
      </c>
      <c r="D41" s="58">
        <v>104</v>
      </c>
      <c r="E41" s="59">
        <v>184.93960000000001</v>
      </c>
    </row>
    <row r="42" spans="1:5" ht="15" x14ac:dyDescent="0.35">
      <c r="A42" s="58" t="s">
        <v>313</v>
      </c>
      <c r="B42" s="58" t="s">
        <v>180</v>
      </c>
      <c r="C42" s="58">
        <v>2</v>
      </c>
      <c r="D42" s="58">
        <v>105</v>
      </c>
      <c r="E42" s="59">
        <v>184.93960000000001</v>
      </c>
    </row>
    <row r="43" spans="1:5" ht="15" x14ac:dyDescent="0.35">
      <c r="A43" s="58" t="s">
        <v>313</v>
      </c>
      <c r="B43" s="58" t="s">
        <v>180</v>
      </c>
      <c r="C43" s="58">
        <v>3</v>
      </c>
      <c r="D43" s="58">
        <v>106</v>
      </c>
      <c r="E43" s="59">
        <v>184.93960000000001</v>
      </c>
    </row>
    <row r="44" spans="1:5" ht="15" x14ac:dyDescent="0.35">
      <c r="A44" s="58" t="s">
        <v>313</v>
      </c>
      <c r="B44" s="58" t="s">
        <v>180</v>
      </c>
      <c r="C44" s="58">
        <v>4</v>
      </c>
      <c r="D44" s="58">
        <v>107</v>
      </c>
      <c r="E44" s="59">
        <v>184.93960000000001</v>
      </c>
    </row>
    <row r="45" spans="1:5" ht="15" x14ac:dyDescent="0.35">
      <c r="A45" s="58" t="s">
        <v>313</v>
      </c>
      <c r="B45" s="58" t="s">
        <v>180</v>
      </c>
      <c r="C45" s="58">
        <v>5</v>
      </c>
      <c r="D45" s="58">
        <v>108</v>
      </c>
      <c r="E45" s="59">
        <v>184.93960000000001</v>
      </c>
    </row>
    <row r="46" spans="1:5" ht="15" x14ac:dyDescent="0.35">
      <c r="A46" s="58" t="s">
        <v>313</v>
      </c>
      <c r="B46" s="58" t="s">
        <v>180</v>
      </c>
      <c r="C46" s="58">
        <v>6</v>
      </c>
      <c r="D46" s="58">
        <v>109</v>
      </c>
      <c r="E46" s="59">
        <v>184.93960000000001</v>
      </c>
    </row>
    <row r="47" spans="1:5" ht="15" x14ac:dyDescent="0.35">
      <c r="A47" s="58" t="s">
        <v>313</v>
      </c>
      <c r="B47" s="58" t="s">
        <v>180</v>
      </c>
      <c r="C47" s="58">
        <v>7</v>
      </c>
      <c r="D47" s="58">
        <v>110</v>
      </c>
      <c r="E47" s="59">
        <v>184.93960000000001</v>
      </c>
    </row>
    <row r="48" spans="1:5" ht="15" x14ac:dyDescent="0.35">
      <c r="A48" s="58" t="s">
        <v>313</v>
      </c>
      <c r="B48" s="58" t="s">
        <v>180</v>
      </c>
      <c r="C48" s="58">
        <v>8</v>
      </c>
      <c r="D48" s="58">
        <v>111</v>
      </c>
      <c r="E48" s="59">
        <v>184.93960000000001</v>
      </c>
    </row>
    <row r="49" spans="1:5" ht="15" x14ac:dyDescent="0.35">
      <c r="A49" s="58" t="s">
        <v>313</v>
      </c>
      <c r="B49" s="58" t="s">
        <v>180</v>
      </c>
      <c r="C49" s="58">
        <v>9</v>
      </c>
      <c r="D49" s="58">
        <v>112</v>
      </c>
      <c r="E49" s="59">
        <v>184.93960000000001</v>
      </c>
    </row>
    <row r="50" spans="1:5" ht="15" x14ac:dyDescent="0.35">
      <c r="A50" s="58" t="s">
        <v>313</v>
      </c>
      <c r="B50" s="58" t="s">
        <v>180</v>
      </c>
      <c r="C50" s="58">
        <v>10</v>
      </c>
      <c r="D50" s="58">
        <v>113</v>
      </c>
      <c r="E50" s="59">
        <v>184.93960000000001</v>
      </c>
    </row>
    <row r="51" spans="1:5" ht="15" x14ac:dyDescent="0.35">
      <c r="A51" s="58" t="s">
        <v>313</v>
      </c>
      <c r="B51" s="58" t="s">
        <v>180</v>
      </c>
      <c r="C51" s="58">
        <v>11</v>
      </c>
      <c r="D51" s="58">
        <v>114</v>
      </c>
      <c r="E51" s="59">
        <v>184.93960000000001</v>
      </c>
    </row>
    <row r="52" spans="1:5" ht="15" x14ac:dyDescent="0.35">
      <c r="A52" s="58" t="s">
        <v>313</v>
      </c>
      <c r="B52" s="58" t="s">
        <v>180</v>
      </c>
      <c r="C52" s="58">
        <v>12</v>
      </c>
      <c r="D52" s="58">
        <v>115</v>
      </c>
      <c r="E52" s="59">
        <v>184.93960000000001</v>
      </c>
    </row>
    <row r="53" spans="1:5" ht="15" x14ac:dyDescent="0.35">
      <c r="A53" s="58" t="s">
        <v>329</v>
      </c>
      <c r="B53" s="58" t="s">
        <v>182</v>
      </c>
      <c r="C53" s="58">
        <v>1</v>
      </c>
      <c r="D53" s="58">
        <v>104</v>
      </c>
      <c r="E53" s="59">
        <v>20.372499999999999</v>
      </c>
    </row>
    <row r="54" spans="1:5" ht="15" x14ac:dyDescent="0.35">
      <c r="A54" s="58" t="s">
        <v>329</v>
      </c>
      <c r="B54" s="58" t="s">
        <v>182</v>
      </c>
      <c r="C54" s="58">
        <v>2</v>
      </c>
      <c r="D54" s="58">
        <v>105</v>
      </c>
      <c r="E54" s="59">
        <v>367.55020000000002</v>
      </c>
    </row>
    <row r="55" spans="1:5" ht="15" x14ac:dyDescent="0.35">
      <c r="A55" s="58" t="s">
        <v>329</v>
      </c>
      <c r="B55" s="58" t="s">
        <v>182</v>
      </c>
      <c r="C55" s="58">
        <v>3</v>
      </c>
      <c r="D55" s="58">
        <v>106</v>
      </c>
      <c r="E55" s="59">
        <v>320.48360000000002</v>
      </c>
    </row>
    <row r="56" spans="1:5" ht="15" x14ac:dyDescent="0.35">
      <c r="A56" s="58" t="s">
        <v>329</v>
      </c>
      <c r="B56" s="58" t="s">
        <v>182</v>
      </c>
      <c r="C56" s="58">
        <v>4</v>
      </c>
      <c r="D56" s="58">
        <v>107</v>
      </c>
      <c r="E56" s="59">
        <v>275.15019999999998</v>
      </c>
    </row>
    <row r="57" spans="1:5" ht="15" x14ac:dyDescent="0.35">
      <c r="A57" s="58" t="s">
        <v>329</v>
      </c>
      <c r="B57" s="58" t="s">
        <v>182</v>
      </c>
      <c r="C57" s="58">
        <v>5</v>
      </c>
      <c r="D57" s="58">
        <v>108</v>
      </c>
      <c r="E57" s="59">
        <v>237.02520000000001</v>
      </c>
    </row>
    <row r="58" spans="1:5" ht="15" x14ac:dyDescent="0.35">
      <c r="A58" s="58" t="s">
        <v>329</v>
      </c>
      <c r="B58" s="58" t="s">
        <v>182</v>
      </c>
      <c r="C58" s="58">
        <v>6</v>
      </c>
      <c r="D58" s="58">
        <v>109</v>
      </c>
      <c r="E58" s="59">
        <v>208.26130000000001</v>
      </c>
    </row>
    <row r="59" spans="1:5" ht="15" x14ac:dyDescent="0.35">
      <c r="A59" s="58" t="s">
        <v>329</v>
      </c>
      <c r="B59" s="58" t="s">
        <v>182</v>
      </c>
      <c r="C59" s="58">
        <v>7</v>
      </c>
      <c r="D59" s="58">
        <v>110</v>
      </c>
      <c r="E59" s="59">
        <v>109.1502</v>
      </c>
    </row>
    <row r="60" spans="1:5" ht="15" x14ac:dyDescent="0.35">
      <c r="A60" s="58" t="s">
        <v>329</v>
      </c>
      <c r="B60" s="58" t="s">
        <v>182</v>
      </c>
      <c r="C60" s="58">
        <v>8</v>
      </c>
      <c r="D60" s="58">
        <v>111</v>
      </c>
      <c r="E60" s="59">
        <v>85.261300000000006</v>
      </c>
    </row>
    <row r="61" spans="1:5" ht="15" x14ac:dyDescent="0.35">
      <c r="A61" s="58" t="s">
        <v>329</v>
      </c>
      <c r="B61" s="58" t="s">
        <v>182</v>
      </c>
      <c r="C61" s="58">
        <v>9</v>
      </c>
      <c r="D61" s="58">
        <v>112</v>
      </c>
      <c r="E61" s="59">
        <v>113.26130000000001</v>
      </c>
    </row>
    <row r="62" spans="1:5" ht="15" x14ac:dyDescent="0.35">
      <c r="A62" s="58" t="s">
        <v>329</v>
      </c>
      <c r="B62" s="58" t="s">
        <v>182</v>
      </c>
      <c r="C62" s="58">
        <v>10</v>
      </c>
      <c r="D62" s="58">
        <v>113</v>
      </c>
      <c r="E62" s="59">
        <v>120.26130000000001</v>
      </c>
    </row>
    <row r="63" spans="1:5" ht="15" x14ac:dyDescent="0.35">
      <c r="A63" s="58" t="s">
        <v>329</v>
      </c>
      <c r="B63" s="58" t="s">
        <v>182</v>
      </c>
      <c r="C63" s="58">
        <v>11</v>
      </c>
      <c r="D63" s="58">
        <v>114</v>
      </c>
      <c r="E63" s="59">
        <v>21.7058</v>
      </c>
    </row>
    <row r="64" spans="1:5" ht="15" x14ac:dyDescent="0.35">
      <c r="A64" s="58" t="s">
        <v>329</v>
      </c>
      <c r="B64" s="58" t="s">
        <v>182</v>
      </c>
      <c r="C64" s="58">
        <v>12</v>
      </c>
      <c r="D64" s="58">
        <v>115</v>
      </c>
      <c r="E64" s="59">
        <v>16.039100000000001</v>
      </c>
    </row>
    <row r="65" spans="1:5" ht="15" x14ac:dyDescent="0.35">
      <c r="A65" s="58" t="s">
        <v>329</v>
      </c>
      <c r="B65" s="58" t="s">
        <v>176</v>
      </c>
      <c r="C65" s="58">
        <v>1</v>
      </c>
      <c r="D65" s="58">
        <v>104</v>
      </c>
      <c r="E65" s="59">
        <v>85.25</v>
      </c>
    </row>
    <row r="66" spans="1:5" ht="15" x14ac:dyDescent="0.35">
      <c r="A66" s="58" t="s">
        <v>329</v>
      </c>
      <c r="B66" s="58" t="s">
        <v>176</v>
      </c>
      <c r="C66" s="58">
        <v>2</v>
      </c>
      <c r="D66" s="58">
        <v>105</v>
      </c>
      <c r="E66" s="59">
        <v>85.25</v>
      </c>
    </row>
    <row r="67" spans="1:5" ht="15" x14ac:dyDescent="0.35">
      <c r="A67" s="58" t="s">
        <v>329</v>
      </c>
      <c r="B67" s="58" t="s">
        <v>176</v>
      </c>
      <c r="C67" s="58">
        <v>3</v>
      </c>
      <c r="D67" s="58">
        <v>106</v>
      </c>
      <c r="E67" s="59">
        <v>85.25</v>
      </c>
    </row>
    <row r="68" spans="1:5" ht="15" x14ac:dyDescent="0.35">
      <c r="A68" s="58" t="s">
        <v>329</v>
      </c>
      <c r="B68" s="58" t="s">
        <v>176</v>
      </c>
      <c r="C68" s="58">
        <v>4</v>
      </c>
      <c r="D68" s="58">
        <v>107</v>
      </c>
      <c r="E68" s="59">
        <v>85.25</v>
      </c>
    </row>
    <row r="69" spans="1:5" ht="15" x14ac:dyDescent="0.35">
      <c r="A69" s="58" t="s">
        <v>329</v>
      </c>
      <c r="B69" s="58" t="s">
        <v>176</v>
      </c>
      <c r="C69" s="58">
        <v>5</v>
      </c>
      <c r="D69" s="58">
        <v>108</v>
      </c>
      <c r="E69" s="59">
        <v>85.25</v>
      </c>
    </row>
    <row r="70" spans="1:5" ht="15" x14ac:dyDescent="0.35">
      <c r="A70" s="58" t="s">
        <v>329</v>
      </c>
      <c r="B70" s="58" t="s">
        <v>176</v>
      </c>
      <c r="C70" s="58">
        <v>6</v>
      </c>
      <c r="D70" s="58">
        <v>109</v>
      </c>
      <c r="E70" s="59">
        <v>85.25</v>
      </c>
    </row>
    <row r="71" spans="1:5" ht="15" x14ac:dyDescent="0.35">
      <c r="A71" s="58" t="s">
        <v>329</v>
      </c>
      <c r="B71" s="58" t="s">
        <v>176</v>
      </c>
      <c r="C71" s="58">
        <v>7</v>
      </c>
      <c r="D71" s="58">
        <v>110</v>
      </c>
      <c r="E71" s="59">
        <v>85.25</v>
      </c>
    </row>
    <row r="72" spans="1:5" ht="15" x14ac:dyDescent="0.35">
      <c r="A72" s="58" t="s">
        <v>329</v>
      </c>
      <c r="B72" s="58" t="s">
        <v>176</v>
      </c>
      <c r="C72" s="58">
        <v>8</v>
      </c>
      <c r="D72" s="58">
        <v>111</v>
      </c>
      <c r="E72" s="59">
        <v>85.25</v>
      </c>
    </row>
    <row r="73" spans="1:5" ht="15" x14ac:dyDescent="0.35">
      <c r="A73" s="58" t="s">
        <v>329</v>
      </c>
      <c r="B73" s="58" t="s">
        <v>176</v>
      </c>
      <c r="C73" s="58">
        <v>9</v>
      </c>
      <c r="D73" s="58">
        <v>112</v>
      </c>
      <c r="E73" s="59">
        <v>85.25</v>
      </c>
    </row>
    <row r="74" spans="1:5" ht="15" x14ac:dyDescent="0.35">
      <c r="A74" s="58" t="s">
        <v>329</v>
      </c>
      <c r="B74" s="58" t="s">
        <v>176</v>
      </c>
      <c r="C74" s="58">
        <v>10</v>
      </c>
      <c r="D74" s="58">
        <v>113</v>
      </c>
      <c r="E74" s="59">
        <v>85.25</v>
      </c>
    </row>
    <row r="75" spans="1:5" ht="15" x14ac:dyDescent="0.35">
      <c r="A75" s="58" t="s">
        <v>329</v>
      </c>
      <c r="B75" s="58" t="s">
        <v>176</v>
      </c>
      <c r="C75" s="58">
        <v>11</v>
      </c>
      <c r="D75" s="58">
        <v>114</v>
      </c>
      <c r="E75" s="59">
        <v>85.25</v>
      </c>
    </row>
    <row r="76" spans="1:5" ht="15" x14ac:dyDescent="0.35">
      <c r="A76" s="58" t="s">
        <v>329</v>
      </c>
      <c r="B76" s="58" t="s">
        <v>176</v>
      </c>
      <c r="C76" s="58">
        <v>12</v>
      </c>
      <c r="D76" s="58">
        <v>115</v>
      </c>
      <c r="E76" s="59">
        <v>85.25</v>
      </c>
    </row>
    <row r="77" spans="1:5" ht="15" x14ac:dyDescent="0.35">
      <c r="A77" s="58" t="s">
        <v>329</v>
      </c>
      <c r="B77" s="58" t="s">
        <v>172</v>
      </c>
      <c r="C77" s="58">
        <v>1</v>
      </c>
      <c r="D77" s="58">
        <v>104</v>
      </c>
      <c r="E77" s="59">
        <v>21</v>
      </c>
    </row>
    <row r="78" spans="1:5" ht="15" x14ac:dyDescent="0.35">
      <c r="A78" s="58" t="s">
        <v>329</v>
      </c>
      <c r="B78" s="58" t="s">
        <v>172</v>
      </c>
      <c r="C78" s="58">
        <v>2</v>
      </c>
      <c r="D78" s="58">
        <v>105</v>
      </c>
      <c r="E78" s="59">
        <v>21</v>
      </c>
    </row>
    <row r="79" spans="1:5" ht="15" x14ac:dyDescent="0.35">
      <c r="A79" s="58" t="s">
        <v>329</v>
      </c>
      <c r="B79" s="58" t="s">
        <v>172</v>
      </c>
      <c r="C79" s="58">
        <v>3</v>
      </c>
      <c r="D79" s="58">
        <v>106</v>
      </c>
      <c r="E79" s="59">
        <v>21</v>
      </c>
    </row>
    <row r="80" spans="1:5" ht="15" x14ac:dyDescent="0.35">
      <c r="A80" s="58" t="s">
        <v>329</v>
      </c>
      <c r="B80" s="58" t="s">
        <v>172</v>
      </c>
      <c r="C80" s="58">
        <v>4</v>
      </c>
      <c r="D80" s="58">
        <v>107</v>
      </c>
      <c r="E80" s="59">
        <v>21</v>
      </c>
    </row>
    <row r="81" spans="1:5" ht="15" x14ac:dyDescent="0.35">
      <c r="A81" s="58" t="s">
        <v>329</v>
      </c>
      <c r="B81" s="58" t="s">
        <v>172</v>
      </c>
      <c r="C81" s="58">
        <v>5</v>
      </c>
      <c r="D81" s="58">
        <v>108</v>
      </c>
      <c r="E81" s="59">
        <v>21</v>
      </c>
    </row>
    <row r="82" spans="1:5" ht="15" x14ac:dyDescent="0.35">
      <c r="A82" s="58" t="s">
        <v>329</v>
      </c>
      <c r="B82" s="58" t="s">
        <v>172</v>
      </c>
      <c r="C82" s="58">
        <v>6</v>
      </c>
      <c r="D82" s="58">
        <v>109</v>
      </c>
      <c r="E82" s="59">
        <v>21</v>
      </c>
    </row>
    <row r="83" spans="1:5" ht="15" x14ac:dyDescent="0.35">
      <c r="A83" s="58" t="s">
        <v>329</v>
      </c>
      <c r="B83" s="58" t="s">
        <v>172</v>
      </c>
      <c r="C83" s="58">
        <v>7</v>
      </c>
      <c r="D83" s="58">
        <v>110</v>
      </c>
      <c r="E83" s="59">
        <v>21</v>
      </c>
    </row>
    <row r="84" spans="1:5" ht="15" x14ac:dyDescent="0.35">
      <c r="A84" s="58" t="s">
        <v>329</v>
      </c>
      <c r="B84" s="58" t="s">
        <v>172</v>
      </c>
      <c r="C84" s="58">
        <v>8</v>
      </c>
      <c r="D84" s="58">
        <v>111</v>
      </c>
      <c r="E84" s="59">
        <v>21</v>
      </c>
    </row>
    <row r="85" spans="1:5" ht="15" x14ac:dyDescent="0.35">
      <c r="A85" s="58" t="s">
        <v>329</v>
      </c>
      <c r="B85" s="58" t="s">
        <v>172</v>
      </c>
      <c r="C85" s="58">
        <v>9</v>
      </c>
      <c r="D85" s="58">
        <v>112</v>
      </c>
      <c r="E85" s="59">
        <v>21</v>
      </c>
    </row>
    <row r="86" spans="1:5" ht="15" x14ac:dyDescent="0.35">
      <c r="A86" s="58" t="s">
        <v>329</v>
      </c>
      <c r="B86" s="58" t="s">
        <v>172</v>
      </c>
      <c r="C86" s="58">
        <v>10</v>
      </c>
      <c r="D86" s="58">
        <v>113</v>
      </c>
      <c r="E86" s="59">
        <v>21</v>
      </c>
    </row>
    <row r="87" spans="1:5" ht="15" x14ac:dyDescent="0.35">
      <c r="A87" s="58" t="s">
        <v>329</v>
      </c>
      <c r="B87" s="58" t="s">
        <v>172</v>
      </c>
      <c r="C87" s="58">
        <v>11</v>
      </c>
      <c r="D87" s="58">
        <v>114</v>
      </c>
      <c r="E87" s="59">
        <v>21</v>
      </c>
    </row>
    <row r="88" spans="1:5" ht="15" x14ac:dyDescent="0.35">
      <c r="A88" s="58" t="s">
        <v>329</v>
      </c>
      <c r="B88" s="58" t="s">
        <v>172</v>
      </c>
      <c r="C88" s="58">
        <v>12</v>
      </c>
      <c r="D88" s="58">
        <v>115</v>
      </c>
      <c r="E88" s="59">
        <v>21</v>
      </c>
    </row>
    <row r="89" spans="1:5" ht="15" x14ac:dyDescent="0.35">
      <c r="A89" s="58" t="s">
        <v>329</v>
      </c>
      <c r="B89" s="58" t="s">
        <v>180</v>
      </c>
      <c r="C89" s="58">
        <v>1</v>
      </c>
      <c r="D89" s="58">
        <v>104</v>
      </c>
      <c r="E89" s="59">
        <v>51.6342</v>
      </c>
    </row>
    <row r="90" spans="1:5" ht="15" x14ac:dyDescent="0.35">
      <c r="A90" s="58" t="s">
        <v>329</v>
      </c>
      <c r="B90" s="58" t="s">
        <v>180</v>
      </c>
      <c r="C90" s="58">
        <v>2</v>
      </c>
      <c r="D90" s="58">
        <v>105</v>
      </c>
      <c r="E90" s="59">
        <v>51.6342</v>
      </c>
    </row>
    <row r="91" spans="1:5" ht="15" x14ac:dyDescent="0.35">
      <c r="A91" s="58" t="s">
        <v>329</v>
      </c>
      <c r="B91" s="58" t="s">
        <v>180</v>
      </c>
      <c r="C91" s="58">
        <v>3</v>
      </c>
      <c r="D91" s="58">
        <v>106</v>
      </c>
      <c r="E91" s="59">
        <v>51.6342</v>
      </c>
    </row>
    <row r="92" spans="1:5" ht="15" x14ac:dyDescent="0.35">
      <c r="A92" s="58" t="s">
        <v>329</v>
      </c>
      <c r="B92" s="58" t="s">
        <v>180</v>
      </c>
      <c r="C92" s="58">
        <v>4</v>
      </c>
      <c r="D92" s="58">
        <v>107</v>
      </c>
      <c r="E92" s="59">
        <v>51.6342</v>
      </c>
    </row>
    <row r="93" spans="1:5" ht="15" x14ac:dyDescent="0.35">
      <c r="A93" s="58" t="s">
        <v>329</v>
      </c>
      <c r="B93" s="58" t="s">
        <v>180</v>
      </c>
      <c r="C93" s="58">
        <v>5</v>
      </c>
      <c r="D93" s="58">
        <v>108</v>
      </c>
      <c r="E93" s="59">
        <v>51.6342</v>
      </c>
    </row>
    <row r="94" spans="1:5" ht="15" x14ac:dyDescent="0.35">
      <c r="A94" s="58" t="s">
        <v>329</v>
      </c>
      <c r="B94" s="58" t="s">
        <v>180</v>
      </c>
      <c r="C94" s="58">
        <v>6</v>
      </c>
      <c r="D94" s="58">
        <v>109</v>
      </c>
      <c r="E94" s="59">
        <v>51.6342</v>
      </c>
    </row>
    <row r="95" spans="1:5" ht="15" x14ac:dyDescent="0.35">
      <c r="A95" s="58" t="s">
        <v>329</v>
      </c>
      <c r="B95" s="58" t="s">
        <v>180</v>
      </c>
      <c r="C95" s="58">
        <v>7</v>
      </c>
      <c r="D95" s="58">
        <v>110</v>
      </c>
      <c r="E95" s="59">
        <v>51.6342</v>
      </c>
    </row>
    <row r="96" spans="1:5" ht="15" x14ac:dyDescent="0.35">
      <c r="A96" s="58" t="s">
        <v>329</v>
      </c>
      <c r="B96" s="58" t="s">
        <v>180</v>
      </c>
      <c r="C96" s="58">
        <v>8</v>
      </c>
      <c r="D96" s="58">
        <v>111</v>
      </c>
      <c r="E96" s="59">
        <v>51.6342</v>
      </c>
    </row>
    <row r="97" spans="1:5" ht="15" x14ac:dyDescent="0.35">
      <c r="A97" s="58" t="s">
        <v>329</v>
      </c>
      <c r="B97" s="58" t="s">
        <v>180</v>
      </c>
      <c r="C97" s="58">
        <v>9</v>
      </c>
      <c r="D97" s="58">
        <v>112</v>
      </c>
      <c r="E97" s="59">
        <v>51.6342</v>
      </c>
    </row>
    <row r="98" spans="1:5" ht="15" x14ac:dyDescent="0.35">
      <c r="A98" s="58" t="s">
        <v>329</v>
      </c>
      <c r="B98" s="58" t="s">
        <v>180</v>
      </c>
      <c r="C98" s="58">
        <v>10</v>
      </c>
      <c r="D98" s="58">
        <v>113</v>
      </c>
      <c r="E98" s="59">
        <v>51.6342</v>
      </c>
    </row>
    <row r="99" spans="1:5" ht="15" x14ac:dyDescent="0.35">
      <c r="A99" s="58" t="s">
        <v>329</v>
      </c>
      <c r="B99" s="58" t="s">
        <v>180</v>
      </c>
      <c r="C99" s="58">
        <v>11</v>
      </c>
      <c r="D99" s="58">
        <v>114</v>
      </c>
      <c r="E99" s="59">
        <v>51.6342</v>
      </c>
    </row>
    <row r="100" spans="1:5" ht="15" x14ac:dyDescent="0.35">
      <c r="A100" s="58" t="s">
        <v>329</v>
      </c>
      <c r="B100" s="58" t="s">
        <v>180</v>
      </c>
      <c r="C100" s="58">
        <v>12</v>
      </c>
      <c r="D100" s="58">
        <v>115</v>
      </c>
      <c r="E100" s="59">
        <v>51.6342</v>
      </c>
    </row>
    <row r="101" spans="1:5" ht="15" x14ac:dyDescent="0.35">
      <c r="A101" s="58" t="s">
        <v>280</v>
      </c>
      <c r="B101" s="58" t="s">
        <v>182</v>
      </c>
      <c r="C101" s="58">
        <v>1</v>
      </c>
      <c r="D101" s="58">
        <v>104</v>
      </c>
      <c r="E101" s="59">
        <v>19.099</v>
      </c>
    </row>
    <row r="102" spans="1:5" ht="15" x14ac:dyDescent="0.35">
      <c r="A102" s="58" t="s">
        <v>280</v>
      </c>
      <c r="B102" s="58" t="s">
        <v>182</v>
      </c>
      <c r="C102" s="58">
        <v>2</v>
      </c>
      <c r="D102" s="58">
        <v>105</v>
      </c>
      <c r="E102" s="59">
        <v>264.34339999999997</v>
      </c>
    </row>
    <row r="103" spans="1:5" ht="15" x14ac:dyDescent="0.35">
      <c r="A103" s="58" t="s">
        <v>280</v>
      </c>
      <c r="B103" s="58" t="s">
        <v>182</v>
      </c>
      <c r="C103" s="58">
        <v>3</v>
      </c>
      <c r="D103" s="58">
        <v>106</v>
      </c>
      <c r="E103" s="59">
        <v>233.04339999999999</v>
      </c>
    </row>
    <row r="104" spans="1:5" ht="15" x14ac:dyDescent="0.35">
      <c r="A104" s="58" t="s">
        <v>280</v>
      </c>
      <c r="B104" s="58" t="s">
        <v>182</v>
      </c>
      <c r="C104" s="58">
        <v>4</v>
      </c>
      <c r="D104" s="58">
        <v>107</v>
      </c>
      <c r="E104" s="59">
        <v>197.1148</v>
      </c>
    </row>
    <row r="105" spans="1:5" ht="15" x14ac:dyDescent="0.35">
      <c r="A105" s="58" t="s">
        <v>280</v>
      </c>
      <c r="B105" s="58" t="s">
        <v>182</v>
      </c>
      <c r="C105" s="58">
        <v>5</v>
      </c>
      <c r="D105" s="58">
        <v>108</v>
      </c>
      <c r="E105" s="59">
        <v>168.91839999999999</v>
      </c>
    </row>
    <row r="106" spans="1:5" ht="15" x14ac:dyDescent="0.35">
      <c r="A106" s="58" t="s">
        <v>280</v>
      </c>
      <c r="B106" s="58" t="s">
        <v>182</v>
      </c>
      <c r="C106" s="58">
        <v>6</v>
      </c>
      <c r="D106" s="58">
        <v>109</v>
      </c>
      <c r="E106" s="59">
        <v>145.8767</v>
      </c>
    </row>
    <row r="107" spans="1:5" ht="15" x14ac:dyDescent="0.35">
      <c r="A107" s="58" t="s">
        <v>280</v>
      </c>
      <c r="B107" s="58" t="s">
        <v>182</v>
      </c>
      <c r="C107" s="58">
        <v>7</v>
      </c>
      <c r="D107" s="58">
        <v>110</v>
      </c>
      <c r="E107" s="59">
        <v>56.765599999999999</v>
      </c>
    </row>
    <row r="108" spans="1:5" ht="15" x14ac:dyDescent="0.35">
      <c r="A108" s="58" t="s">
        <v>280</v>
      </c>
      <c r="B108" s="58" t="s">
        <v>182</v>
      </c>
      <c r="C108" s="58">
        <v>8</v>
      </c>
      <c r="D108" s="58">
        <v>111</v>
      </c>
      <c r="E108" s="59">
        <v>47.432299999999998</v>
      </c>
    </row>
    <row r="109" spans="1:5" ht="15" x14ac:dyDescent="0.35">
      <c r="A109" s="58" t="s">
        <v>280</v>
      </c>
      <c r="B109" s="58" t="s">
        <v>182</v>
      </c>
      <c r="C109" s="58">
        <v>9</v>
      </c>
      <c r="D109" s="58">
        <v>112</v>
      </c>
      <c r="E109" s="59">
        <v>76.432299999999998</v>
      </c>
    </row>
    <row r="110" spans="1:5" ht="15" x14ac:dyDescent="0.35">
      <c r="A110" s="58" t="s">
        <v>280</v>
      </c>
      <c r="B110" s="58" t="s">
        <v>182</v>
      </c>
      <c r="C110" s="58">
        <v>10</v>
      </c>
      <c r="D110" s="58">
        <v>113</v>
      </c>
      <c r="E110" s="59">
        <v>97.321200000000005</v>
      </c>
    </row>
    <row r="111" spans="1:5" ht="15" x14ac:dyDescent="0.35">
      <c r="A111" s="58" t="s">
        <v>280</v>
      </c>
      <c r="B111" s="58" t="s">
        <v>182</v>
      </c>
      <c r="C111" s="58">
        <v>11</v>
      </c>
      <c r="D111" s="58">
        <v>114</v>
      </c>
      <c r="E111" s="59">
        <v>39.543399999999998</v>
      </c>
    </row>
    <row r="112" spans="1:5" ht="15" x14ac:dyDescent="0.35">
      <c r="A112" s="58" t="s">
        <v>280</v>
      </c>
      <c r="B112" s="58" t="s">
        <v>182</v>
      </c>
      <c r="C112" s="58">
        <v>12</v>
      </c>
      <c r="D112" s="58">
        <v>115</v>
      </c>
      <c r="E112" s="59">
        <v>34.654499999999999</v>
      </c>
    </row>
    <row r="113" spans="1:5" ht="15" x14ac:dyDescent="0.35">
      <c r="A113" s="58" t="s">
        <v>280</v>
      </c>
      <c r="B113" s="58" t="s">
        <v>176</v>
      </c>
      <c r="C113" s="58">
        <v>1</v>
      </c>
      <c r="D113" s="58">
        <v>104</v>
      </c>
      <c r="E113" s="59">
        <v>47.25</v>
      </c>
    </row>
    <row r="114" spans="1:5" ht="15" x14ac:dyDescent="0.35">
      <c r="A114" s="58" t="s">
        <v>280</v>
      </c>
      <c r="B114" s="58" t="s">
        <v>176</v>
      </c>
      <c r="C114" s="58">
        <v>2</v>
      </c>
      <c r="D114" s="58">
        <v>105</v>
      </c>
      <c r="E114" s="59">
        <v>47.25</v>
      </c>
    </row>
    <row r="115" spans="1:5" ht="15" x14ac:dyDescent="0.35">
      <c r="A115" s="58" t="s">
        <v>280</v>
      </c>
      <c r="B115" s="58" t="s">
        <v>176</v>
      </c>
      <c r="C115" s="58">
        <v>3</v>
      </c>
      <c r="D115" s="58">
        <v>106</v>
      </c>
      <c r="E115" s="59">
        <v>47.25</v>
      </c>
    </row>
    <row r="116" spans="1:5" ht="15" x14ac:dyDescent="0.35">
      <c r="A116" s="58" t="s">
        <v>280</v>
      </c>
      <c r="B116" s="58" t="s">
        <v>176</v>
      </c>
      <c r="C116" s="58">
        <v>4</v>
      </c>
      <c r="D116" s="58">
        <v>107</v>
      </c>
      <c r="E116" s="59">
        <v>47.25</v>
      </c>
    </row>
    <row r="117" spans="1:5" ht="15" x14ac:dyDescent="0.35">
      <c r="A117" s="58" t="s">
        <v>280</v>
      </c>
      <c r="B117" s="58" t="s">
        <v>176</v>
      </c>
      <c r="C117" s="58">
        <v>5</v>
      </c>
      <c r="D117" s="58">
        <v>108</v>
      </c>
      <c r="E117" s="59">
        <v>47.25</v>
      </c>
    </row>
    <row r="118" spans="1:5" ht="15" x14ac:dyDescent="0.35">
      <c r="A118" s="58" t="s">
        <v>280</v>
      </c>
      <c r="B118" s="58" t="s">
        <v>176</v>
      </c>
      <c r="C118" s="58">
        <v>6</v>
      </c>
      <c r="D118" s="58">
        <v>109</v>
      </c>
      <c r="E118" s="59">
        <v>47.25</v>
      </c>
    </row>
    <row r="119" spans="1:5" ht="15" x14ac:dyDescent="0.35">
      <c r="A119" s="58" t="s">
        <v>280</v>
      </c>
      <c r="B119" s="58" t="s">
        <v>176</v>
      </c>
      <c r="C119" s="58">
        <v>7</v>
      </c>
      <c r="D119" s="58">
        <v>110</v>
      </c>
      <c r="E119" s="59">
        <v>47.25</v>
      </c>
    </row>
    <row r="120" spans="1:5" ht="15" x14ac:dyDescent="0.35">
      <c r="A120" s="58" t="s">
        <v>280</v>
      </c>
      <c r="B120" s="58" t="s">
        <v>176</v>
      </c>
      <c r="C120" s="58">
        <v>8</v>
      </c>
      <c r="D120" s="58">
        <v>111</v>
      </c>
      <c r="E120" s="59">
        <v>47.25</v>
      </c>
    </row>
    <row r="121" spans="1:5" ht="15" x14ac:dyDescent="0.35">
      <c r="A121" s="58" t="s">
        <v>280</v>
      </c>
      <c r="B121" s="58" t="s">
        <v>176</v>
      </c>
      <c r="C121" s="58">
        <v>9</v>
      </c>
      <c r="D121" s="58">
        <v>112</v>
      </c>
      <c r="E121" s="59">
        <v>47.25</v>
      </c>
    </row>
    <row r="122" spans="1:5" ht="15" x14ac:dyDescent="0.35">
      <c r="A122" s="58" t="s">
        <v>280</v>
      </c>
      <c r="B122" s="58" t="s">
        <v>176</v>
      </c>
      <c r="C122" s="58">
        <v>10</v>
      </c>
      <c r="D122" s="58">
        <v>113</v>
      </c>
      <c r="E122" s="59">
        <v>47.25</v>
      </c>
    </row>
    <row r="123" spans="1:5" ht="15" x14ac:dyDescent="0.35">
      <c r="A123" s="58" t="s">
        <v>280</v>
      </c>
      <c r="B123" s="58" t="s">
        <v>176</v>
      </c>
      <c r="C123" s="58">
        <v>11</v>
      </c>
      <c r="D123" s="58">
        <v>114</v>
      </c>
      <c r="E123" s="59">
        <v>47.25</v>
      </c>
    </row>
    <row r="124" spans="1:5" ht="15" x14ac:dyDescent="0.35">
      <c r="A124" s="58" t="s">
        <v>280</v>
      </c>
      <c r="B124" s="58" t="s">
        <v>176</v>
      </c>
      <c r="C124" s="58">
        <v>12</v>
      </c>
      <c r="D124" s="58">
        <v>115</v>
      </c>
      <c r="E124" s="59">
        <v>47.25</v>
      </c>
    </row>
    <row r="125" spans="1:5" ht="15" x14ac:dyDescent="0.35">
      <c r="A125" s="58" t="s">
        <v>280</v>
      </c>
      <c r="B125" s="58" t="s">
        <v>172</v>
      </c>
      <c r="C125" s="58">
        <v>1</v>
      </c>
      <c r="D125" s="58">
        <v>104</v>
      </c>
      <c r="E125" s="59">
        <v>8</v>
      </c>
    </row>
    <row r="126" spans="1:5" ht="15" x14ac:dyDescent="0.35">
      <c r="A126" s="58" t="s">
        <v>280</v>
      </c>
      <c r="B126" s="58" t="s">
        <v>172</v>
      </c>
      <c r="C126" s="58">
        <v>2</v>
      </c>
      <c r="D126" s="58">
        <v>105</v>
      </c>
      <c r="E126" s="59">
        <v>8</v>
      </c>
    </row>
    <row r="127" spans="1:5" ht="15" x14ac:dyDescent="0.35">
      <c r="A127" s="58" t="s">
        <v>280</v>
      </c>
      <c r="B127" s="58" t="s">
        <v>172</v>
      </c>
      <c r="C127" s="58">
        <v>3</v>
      </c>
      <c r="D127" s="58">
        <v>106</v>
      </c>
      <c r="E127" s="59">
        <v>8</v>
      </c>
    </row>
    <row r="128" spans="1:5" ht="15" x14ac:dyDescent="0.35">
      <c r="A128" s="58" t="s">
        <v>280</v>
      </c>
      <c r="B128" s="58" t="s">
        <v>172</v>
      </c>
      <c r="C128" s="58">
        <v>4</v>
      </c>
      <c r="D128" s="58">
        <v>107</v>
      </c>
      <c r="E128" s="59">
        <v>8</v>
      </c>
    </row>
    <row r="129" spans="1:5" ht="15" x14ac:dyDescent="0.35">
      <c r="A129" s="58" t="s">
        <v>280</v>
      </c>
      <c r="B129" s="58" t="s">
        <v>172</v>
      </c>
      <c r="C129" s="58">
        <v>5</v>
      </c>
      <c r="D129" s="58">
        <v>108</v>
      </c>
      <c r="E129" s="59">
        <v>8</v>
      </c>
    </row>
    <row r="130" spans="1:5" ht="15" x14ac:dyDescent="0.35">
      <c r="A130" s="58" t="s">
        <v>280</v>
      </c>
      <c r="B130" s="58" t="s">
        <v>172</v>
      </c>
      <c r="C130" s="58">
        <v>6</v>
      </c>
      <c r="D130" s="58">
        <v>109</v>
      </c>
      <c r="E130" s="59">
        <v>8</v>
      </c>
    </row>
    <row r="131" spans="1:5" ht="15" x14ac:dyDescent="0.35">
      <c r="A131" s="58" t="s">
        <v>280</v>
      </c>
      <c r="B131" s="58" t="s">
        <v>172</v>
      </c>
      <c r="C131" s="58">
        <v>7</v>
      </c>
      <c r="D131" s="58">
        <v>110</v>
      </c>
      <c r="E131" s="59">
        <v>8</v>
      </c>
    </row>
    <row r="132" spans="1:5" ht="15" x14ac:dyDescent="0.35">
      <c r="A132" s="58" t="s">
        <v>280</v>
      </c>
      <c r="B132" s="58" t="s">
        <v>172</v>
      </c>
      <c r="C132" s="58">
        <v>8</v>
      </c>
      <c r="D132" s="58">
        <v>111</v>
      </c>
      <c r="E132" s="59">
        <v>8</v>
      </c>
    </row>
    <row r="133" spans="1:5" ht="15" x14ac:dyDescent="0.35">
      <c r="A133" s="58" t="s">
        <v>280</v>
      </c>
      <c r="B133" s="58" t="s">
        <v>172</v>
      </c>
      <c r="C133" s="58">
        <v>9</v>
      </c>
      <c r="D133" s="58">
        <v>112</v>
      </c>
      <c r="E133" s="59">
        <v>8</v>
      </c>
    </row>
    <row r="134" spans="1:5" ht="15" x14ac:dyDescent="0.35">
      <c r="A134" s="58" t="s">
        <v>280</v>
      </c>
      <c r="B134" s="58" t="s">
        <v>172</v>
      </c>
      <c r="C134" s="58">
        <v>10</v>
      </c>
      <c r="D134" s="58">
        <v>113</v>
      </c>
      <c r="E134" s="59">
        <v>8</v>
      </c>
    </row>
    <row r="135" spans="1:5" ht="15" x14ac:dyDescent="0.35">
      <c r="A135" s="58" t="s">
        <v>280</v>
      </c>
      <c r="B135" s="58" t="s">
        <v>172</v>
      </c>
      <c r="C135" s="58">
        <v>11</v>
      </c>
      <c r="D135" s="58">
        <v>114</v>
      </c>
      <c r="E135" s="59">
        <v>8</v>
      </c>
    </row>
    <row r="136" spans="1:5" ht="15" x14ac:dyDescent="0.35">
      <c r="A136" s="58" t="s">
        <v>280</v>
      </c>
      <c r="B136" s="58" t="s">
        <v>172</v>
      </c>
      <c r="C136" s="58">
        <v>12</v>
      </c>
      <c r="D136" s="58">
        <v>115</v>
      </c>
      <c r="E136" s="59">
        <v>8</v>
      </c>
    </row>
    <row r="137" spans="1:5" ht="15" x14ac:dyDescent="0.35">
      <c r="A137" s="58" t="s">
        <v>280</v>
      </c>
      <c r="B137" s="58" t="s">
        <v>180</v>
      </c>
      <c r="C137" s="58">
        <v>1</v>
      </c>
      <c r="D137" s="58">
        <v>104</v>
      </c>
      <c r="E137" s="59">
        <v>39.283000000000001</v>
      </c>
    </row>
    <row r="138" spans="1:5" ht="15" x14ac:dyDescent="0.35">
      <c r="A138" s="58" t="s">
        <v>280</v>
      </c>
      <c r="B138" s="58" t="s">
        <v>180</v>
      </c>
      <c r="C138" s="58">
        <v>2</v>
      </c>
      <c r="D138" s="58">
        <v>105</v>
      </c>
      <c r="E138" s="59">
        <v>39.283000000000001</v>
      </c>
    </row>
    <row r="139" spans="1:5" ht="15" x14ac:dyDescent="0.35">
      <c r="A139" s="58" t="s">
        <v>280</v>
      </c>
      <c r="B139" s="58" t="s">
        <v>180</v>
      </c>
      <c r="C139" s="58">
        <v>3</v>
      </c>
      <c r="D139" s="58">
        <v>106</v>
      </c>
      <c r="E139" s="59">
        <v>39.283000000000001</v>
      </c>
    </row>
    <row r="140" spans="1:5" ht="15" x14ac:dyDescent="0.35">
      <c r="A140" s="58" t="s">
        <v>280</v>
      </c>
      <c r="B140" s="58" t="s">
        <v>180</v>
      </c>
      <c r="C140" s="58">
        <v>4</v>
      </c>
      <c r="D140" s="58">
        <v>107</v>
      </c>
      <c r="E140" s="59">
        <v>39.283000000000001</v>
      </c>
    </row>
    <row r="141" spans="1:5" ht="15" x14ac:dyDescent="0.35">
      <c r="A141" s="58" t="s">
        <v>280</v>
      </c>
      <c r="B141" s="58" t="s">
        <v>180</v>
      </c>
      <c r="C141" s="58">
        <v>5</v>
      </c>
      <c r="D141" s="58">
        <v>108</v>
      </c>
      <c r="E141" s="59">
        <v>39.283000000000001</v>
      </c>
    </row>
    <row r="142" spans="1:5" ht="15" x14ac:dyDescent="0.35">
      <c r="A142" s="58" t="s">
        <v>280</v>
      </c>
      <c r="B142" s="58" t="s">
        <v>180</v>
      </c>
      <c r="C142" s="58">
        <v>6</v>
      </c>
      <c r="D142" s="58">
        <v>109</v>
      </c>
      <c r="E142" s="59">
        <v>39.283000000000001</v>
      </c>
    </row>
    <row r="143" spans="1:5" ht="15" x14ac:dyDescent="0.35">
      <c r="A143" s="58" t="s">
        <v>280</v>
      </c>
      <c r="B143" s="58" t="s">
        <v>180</v>
      </c>
      <c r="C143" s="58">
        <v>7</v>
      </c>
      <c r="D143" s="58">
        <v>110</v>
      </c>
      <c r="E143" s="59">
        <v>39.283000000000001</v>
      </c>
    </row>
    <row r="144" spans="1:5" ht="15" x14ac:dyDescent="0.35">
      <c r="A144" s="58" t="s">
        <v>280</v>
      </c>
      <c r="B144" s="58" t="s">
        <v>180</v>
      </c>
      <c r="C144" s="58">
        <v>8</v>
      </c>
      <c r="D144" s="58">
        <v>111</v>
      </c>
      <c r="E144" s="59">
        <v>39.283000000000001</v>
      </c>
    </row>
    <row r="145" spans="1:5" ht="15" x14ac:dyDescent="0.35">
      <c r="A145" s="58" t="s">
        <v>280</v>
      </c>
      <c r="B145" s="58" t="s">
        <v>180</v>
      </c>
      <c r="C145" s="58">
        <v>9</v>
      </c>
      <c r="D145" s="58">
        <v>112</v>
      </c>
      <c r="E145" s="59">
        <v>39.283000000000001</v>
      </c>
    </row>
    <row r="146" spans="1:5" ht="15" x14ac:dyDescent="0.35">
      <c r="A146" s="58" t="s">
        <v>280</v>
      </c>
      <c r="B146" s="58" t="s">
        <v>180</v>
      </c>
      <c r="C146" s="58">
        <v>10</v>
      </c>
      <c r="D146" s="58">
        <v>113</v>
      </c>
      <c r="E146" s="59">
        <v>39.283000000000001</v>
      </c>
    </row>
    <row r="147" spans="1:5" ht="15" x14ac:dyDescent="0.35">
      <c r="A147" s="58" t="s">
        <v>280</v>
      </c>
      <c r="B147" s="58" t="s">
        <v>180</v>
      </c>
      <c r="C147" s="58">
        <v>11</v>
      </c>
      <c r="D147" s="58">
        <v>114</v>
      </c>
      <c r="E147" s="59">
        <v>39.283000000000001</v>
      </c>
    </row>
    <row r="148" spans="1:5" ht="15" x14ac:dyDescent="0.35">
      <c r="A148" s="58" t="s">
        <v>280</v>
      </c>
      <c r="B148" s="58" t="s">
        <v>180</v>
      </c>
      <c r="C148" s="58">
        <v>12</v>
      </c>
      <c r="D148" s="58">
        <v>115</v>
      </c>
      <c r="E148" s="59">
        <v>39.283000000000001</v>
      </c>
    </row>
    <row r="149" spans="1:5" ht="15" x14ac:dyDescent="0.35">
      <c r="A149" s="58" t="s">
        <v>268</v>
      </c>
      <c r="B149" s="58" t="s">
        <v>182</v>
      </c>
      <c r="C149" s="58">
        <v>1</v>
      </c>
      <c r="D149" s="58">
        <v>104</v>
      </c>
      <c r="E149" s="59">
        <v>54.310099999999998</v>
      </c>
    </row>
    <row r="150" spans="1:5" ht="15" x14ac:dyDescent="0.35">
      <c r="A150" s="58" t="s">
        <v>268</v>
      </c>
      <c r="B150" s="58" t="s">
        <v>182</v>
      </c>
      <c r="C150" s="58">
        <v>2</v>
      </c>
      <c r="D150" s="58">
        <v>105</v>
      </c>
      <c r="E150" s="59">
        <v>76.332300000000004</v>
      </c>
    </row>
    <row r="151" spans="1:5" ht="15" x14ac:dyDescent="0.35">
      <c r="A151" s="58" t="s">
        <v>268</v>
      </c>
      <c r="B151" s="58" t="s">
        <v>182</v>
      </c>
      <c r="C151" s="58">
        <v>3</v>
      </c>
      <c r="D151" s="58">
        <v>106</v>
      </c>
      <c r="E151" s="59">
        <v>69.865700000000004</v>
      </c>
    </row>
    <row r="152" spans="1:5" ht="15" x14ac:dyDescent="0.35">
      <c r="A152" s="58" t="s">
        <v>268</v>
      </c>
      <c r="B152" s="58" t="s">
        <v>182</v>
      </c>
      <c r="C152" s="58">
        <v>4</v>
      </c>
      <c r="D152" s="58">
        <v>107</v>
      </c>
      <c r="E152" s="59">
        <v>60.1038</v>
      </c>
    </row>
    <row r="153" spans="1:5" ht="15" x14ac:dyDescent="0.35">
      <c r="A153" s="58" t="s">
        <v>268</v>
      </c>
      <c r="B153" s="58" t="s">
        <v>182</v>
      </c>
      <c r="C153" s="58">
        <v>5</v>
      </c>
      <c r="D153" s="58">
        <v>108</v>
      </c>
      <c r="E153" s="59">
        <v>64.032300000000006</v>
      </c>
    </row>
    <row r="154" spans="1:5" ht="15" x14ac:dyDescent="0.35">
      <c r="A154" s="58" t="s">
        <v>268</v>
      </c>
      <c r="B154" s="58" t="s">
        <v>182</v>
      </c>
      <c r="C154" s="58">
        <v>6</v>
      </c>
      <c r="D154" s="58">
        <v>109</v>
      </c>
      <c r="E154" s="59">
        <v>93.198999999999998</v>
      </c>
    </row>
    <row r="155" spans="1:5" ht="15" x14ac:dyDescent="0.35">
      <c r="A155" s="58" t="s">
        <v>268</v>
      </c>
      <c r="B155" s="58" t="s">
        <v>182</v>
      </c>
      <c r="C155" s="58">
        <v>7</v>
      </c>
      <c r="D155" s="58">
        <v>110</v>
      </c>
      <c r="E155" s="59">
        <v>91.754499999999993</v>
      </c>
    </row>
    <row r="156" spans="1:5" ht="15" x14ac:dyDescent="0.35">
      <c r="A156" s="58" t="s">
        <v>268</v>
      </c>
      <c r="B156" s="58" t="s">
        <v>182</v>
      </c>
      <c r="C156" s="58">
        <v>8</v>
      </c>
      <c r="D156" s="58">
        <v>111</v>
      </c>
      <c r="E156" s="59">
        <v>107.6434</v>
      </c>
    </row>
    <row r="157" spans="1:5" ht="15" x14ac:dyDescent="0.35">
      <c r="A157" s="58" t="s">
        <v>268</v>
      </c>
      <c r="B157" s="58" t="s">
        <v>182</v>
      </c>
      <c r="C157" s="58">
        <v>9</v>
      </c>
      <c r="D157" s="58">
        <v>112</v>
      </c>
      <c r="E157" s="59">
        <v>132.31010000000001</v>
      </c>
    </row>
    <row r="158" spans="1:5" ht="15" x14ac:dyDescent="0.35">
      <c r="A158" s="58" t="s">
        <v>268</v>
      </c>
      <c r="B158" s="58" t="s">
        <v>182</v>
      </c>
      <c r="C158" s="58">
        <v>10</v>
      </c>
      <c r="D158" s="58">
        <v>113</v>
      </c>
      <c r="E158" s="59">
        <v>146.53229999999999</v>
      </c>
    </row>
    <row r="159" spans="1:5" ht="15" x14ac:dyDescent="0.35">
      <c r="A159" s="58" t="s">
        <v>268</v>
      </c>
      <c r="B159" s="58" t="s">
        <v>182</v>
      </c>
      <c r="C159" s="58">
        <v>11</v>
      </c>
      <c r="D159" s="58">
        <v>114</v>
      </c>
      <c r="E159" s="59">
        <v>131.64340000000001</v>
      </c>
    </row>
    <row r="160" spans="1:5" ht="15" x14ac:dyDescent="0.35">
      <c r="A160" s="58" t="s">
        <v>268</v>
      </c>
      <c r="B160" s="58" t="s">
        <v>182</v>
      </c>
      <c r="C160" s="58">
        <v>12</v>
      </c>
      <c r="D160" s="58">
        <v>115</v>
      </c>
      <c r="E160" s="59">
        <v>136.9768</v>
      </c>
    </row>
    <row r="161" spans="1:5" ht="15" x14ac:dyDescent="0.35">
      <c r="A161" s="58" t="s">
        <v>268</v>
      </c>
      <c r="B161" s="58" t="s">
        <v>176</v>
      </c>
      <c r="C161" s="58">
        <v>1</v>
      </c>
      <c r="D161" s="58">
        <v>104</v>
      </c>
      <c r="E161" s="59">
        <v>53.25</v>
      </c>
    </row>
    <row r="162" spans="1:5" ht="15" x14ac:dyDescent="0.35">
      <c r="A162" s="58" t="s">
        <v>268</v>
      </c>
      <c r="B162" s="58" t="s">
        <v>176</v>
      </c>
      <c r="C162" s="58">
        <v>2</v>
      </c>
      <c r="D162" s="58">
        <v>105</v>
      </c>
      <c r="E162" s="59">
        <v>53.25</v>
      </c>
    </row>
    <row r="163" spans="1:5" ht="15" x14ac:dyDescent="0.35">
      <c r="A163" s="58" t="s">
        <v>268</v>
      </c>
      <c r="B163" s="58" t="s">
        <v>176</v>
      </c>
      <c r="C163" s="58">
        <v>3</v>
      </c>
      <c r="D163" s="58">
        <v>106</v>
      </c>
      <c r="E163" s="59">
        <v>53.25</v>
      </c>
    </row>
    <row r="164" spans="1:5" ht="15" x14ac:dyDescent="0.35">
      <c r="A164" s="58" t="s">
        <v>268</v>
      </c>
      <c r="B164" s="58" t="s">
        <v>176</v>
      </c>
      <c r="C164" s="58">
        <v>4</v>
      </c>
      <c r="D164" s="58">
        <v>107</v>
      </c>
      <c r="E164" s="59">
        <v>53.25</v>
      </c>
    </row>
    <row r="165" spans="1:5" ht="15" x14ac:dyDescent="0.35">
      <c r="A165" s="58" t="s">
        <v>268</v>
      </c>
      <c r="B165" s="58" t="s">
        <v>176</v>
      </c>
      <c r="C165" s="58">
        <v>5</v>
      </c>
      <c r="D165" s="58">
        <v>108</v>
      </c>
      <c r="E165" s="59">
        <v>53.25</v>
      </c>
    </row>
    <row r="166" spans="1:5" ht="15" x14ac:dyDescent="0.35">
      <c r="A166" s="58" t="s">
        <v>268</v>
      </c>
      <c r="B166" s="58" t="s">
        <v>176</v>
      </c>
      <c r="C166" s="58">
        <v>6</v>
      </c>
      <c r="D166" s="58">
        <v>109</v>
      </c>
      <c r="E166" s="59">
        <v>53.25</v>
      </c>
    </row>
    <row r="167" spans="1:5" ht="15" x14ac:dyDescent="0.35">
      <c r="A167" s="58" t="s">
        <v>268</v>
      </c>
      <c r="B167" s="58" t="s">
        <v>176</v>
      </c>
      <c r="C167" s="58">
        <v>7</v>
      </c>
      <c r="D167" s="58">
        <v>110</v>
      </c>
      <c r="E167" s="59">
        <v>53.25</v>
      </c>
    </row>
    <row r="168" spans="1:5" ht="15" x14ac:dyDescent="0.35">
      <c r="A168" s="58" t="s">
        <v>268</v>
      </c>
      <c r="B168" s="58" t="s">
        <v>176</v>
      </c>
      <c r="C168" s="58">
        <v>8</v>
      </c>
      <c r="D168" s="58">
        <v>111</v>
      </c>
      <c r="E168" s="59">
        <v>53.25</v>
      </c>
    </row>
    <row r="169" spans="1:5" ht="15" x14ac:dyDescent="0.35">
      <c r="A169" s="58" t="s">
        <v>268</v>
      </c>
      <c r="B169" s="58" t="s">
        <v>176</v>
      </c>
      <c r="C169" s="58">
        <v>9</v>
      </c>
      <c r="D169" s="58">
        <v>112</v>
      </c>
      <c r="E169" s="59">
        <v>53.25</v>
      </c>
    </row>
    <row r="170" spans="1:5" ht="15" x14ac:dyDescent="0.35">
      <c r="A170" s="58" t="s">
        <v>268</v>
      </c>
      <c r="B170" s="58" t="s">
        <v>176</v>
      </c>
      <c r="C170" s="58">
        <v>10</v>
      </c>
      <c r="D170" s="58">
        <v>113</v>
      </c>
      <c r="E170" s="59">
        <v>53.25</v>
      </c>
    </row>
    <row r="171" spans="1:5" ht="15" x14ac:dyDescent="0.35">
      <c r="A171" s="58" t="s">
        <v>268</v>
      </c>
      <c r="B171" s="58" t="s">
        <v>176</v>
      </c>
      <c r="C171" s="58">
        <v>11</v>
      </c>
      <c r="D171" s="58">
        <v>114</v>
      </c>
      <c r="E171" s="59">
        <v>53.25</v>
      </c>
    </row>
    <row r="172" spans="1:5" ht="15" x14ac:dyDescent="0.35">
      <c r="A172" s="58" t="s">
        <v>268</v>
      </c>
      <c r="B172" s="58" t="s">
        <v>176</v>
      </c>
      <c r="C172" s="58">
        <v>12</v>
      </c>
      <c r="D172" s="58">
        <v>115</v>
      </c>
      <c r="E172" s="59">
        <v>53.25</v>
      </c>
    </row>
    <row r="173" spans="1:5" ht="15" x14ac:dyDescent="0.35">
      <c r="A173" s="58" t="s">
        <v>268</v>
      </c>
      <c r="B173" s="58" t="s">
        <v>172</v>
      </c>
      <c r="C173" s="58">
        <v>1</v>
      </c>
      <c r="D173" s="58">
        <v>104</v>
      </c>
      <c r="E173" s="59">
        <v>102</v>
      </c>
    </row>
    <row r="174" spans="1:5" ht="15" x14ac:dyDescent="0.35">
      <c r="A174" s="58" t="s">
        <v>268</v>
      </c>
      <c r="B174" s="58" t="s">
        <v>172</v>
      </c>
      <c r="C174" s="58">
        <v>2</v>
      </c>
      <c r="D174" s="58">
        <v>105</v>
      </c>
      <c r="E174" s="59">
        <v>102</v>
      </c>
    </row>
    <row r="175" spans="1:5" ht="15" x14ac:dyDescent="0.35">
      <c r="A175" s="58" t="s">
        <v>268</v>
      </c>
      <c r="B175" s="58" t="s">
        <v>172</v>
      </c>
      <c r="C175" s="58">
        <v>3</v>
      </c>
      <c r="D175" s="58">
        <v>106</v>
      </c>
      <c r="E175" s="59">
        <v>102</v>
      </c>
    </row>
    <row r="176" spans="1:5" ht="15" x14ac:dyDescent="0.35">
      <c r="A176" s="58" t="s">
        <v>268</v>
      </c>
      <c r="B176" s="58" t="s">
        <v>172</v>
      </c>
      <c r="C176" s="58">
        <v>4</v>
      </c>
      <c r="D176" s="58">
        <v>107</v>
      </c>
      <c r="E176" s="59">
        <v>102</v>
      </c>
    </row>
    <row r="177" spans="1:5" ht="15" x14ac:dyDescent="0.35">
      <c r="A177" s="58" t="s">
        <v>268</v>
      </c>
      <c r="B177" s="58" t="s">
        <v>172</v>
      </c>
      <c r="C177" s="58">
        <v>5</v>
      </c>
      <c r="D177" s="58">
        <v>108</v>
      </c>
      <c r="E177" s="59">
        <v>102</v>
      </c>
    </row>
    <row r="178" spans="1:5" ht="15" x14ac:dyDescent="0.35">
      <c r="A178" s="58" t="s">
        <v>268</v>
      </c>
      <c r="B178" s="58" t="s">
        <v>172</v>
      </c>
      <c r="C178" s="58">
        <v>6</v>
      </c>
      <c r="D178" s="58">
        <v>109</v>
      </c>
      <c r="E178" s="59">
        <v>102</v>
      </c>
    </row>
    <row r="179" spans="1:5" ht="15" x14ac:dyDescent="0.35">
      <c r="A179" s="58" t="s">
        <v>268</v>
      </c>
      <c r="B179" s="58" t="s">
        <v>172</v>
      </c>
      <c r="C179" s="58">
        <v>7</v>
      </c>
      <c r="D179" s="58">
        <v>110</v>
      </c>
      <c r="E179" s="59">
        <v>102</v>
      </c>
    </row>
    <row r="180" spans="1:5" ht="15" x14ac:dyDescent="0.35">
      <c r="A180" s="58" t="s">
        <v>268</v>
      </c>
      <c r="B180" s="58" t="s">
        <v>172</v>
      </c>
      <c r="C180" s="58">
        <v>8</v>
      </c>
      <c r="D180" s="58">
        <v>111</v>
      </c>
      <c r="E180" s="59">
        <v>102</v>
      </c>
    </row>
    <row r="181" spans="1:5" ht="15" x14ac:dyDescent="0.35">
      <c r="A181" s="58" t="s">
        <v>268</v>
      </c>
      <c r="B181" s="58" t="s">
        <v>172</v>
      </c>
      <c r="C181" s="58">
        <v>9</v>
      </c>
      <c r="D181" s="58">
        <v>112</v>
      </c>
      <c r="E181" s="59">
        <v>102</v>
      </c>
    </row>
    <row r="182" spans="1:5" ht="15" x14ac:dyDescent="0.35">
      <c r="A182" s="58" t="s">
        <v>268</v>
      </c>
      <c r="B182" s="58" t="s">
        <v>172</v>
      </c>
      <c r="C182" s="58">
        <v>10</v>
      </c>
      <c r="D182" s="58">
        <v>113</v>
      </c>
      <c r="E182" s="59">
        <v>102</v>
      </c>
    </row>
    <row r="183" spans="1:5" ht="15" x14ac:dyDescent="0.35">
      <c r="A183" s="58" t="s">
        <v>268</v>
      </c>
      <c r="B183" s="58" t="s">
        <v>172</v>
      </c>
      <c r="C183" s="58">
        <v>11</v>
      </c>
      <c r="D183" s="58">
        <v>114</v>
      </c>
      <c r="E183" s="59">
        <v>102</v>
      </c>
    </row>
    <row r="184" spans="1:5" ht="15" x14ac:dyDescent="0.35">
      <c r="A184" s="58" t="s">
        <v>268</v>
      </c>
      <c r="B184" s="58" t="s">
        <v>172</v>
      </c>
      <c r="C184" s="58">
        <v>12</v>
      </c>
      <c r="D184" s="58">
        <v>115</v>
      </c>
      <c r="E184" s="59">
        <v>102</v>
      </c>
    </row>
    <row r="185" spans="1:5" ht="15" x14ac:dyDescent="0.35">
      <c r="A185" s="58" t="s">
        <v>268</v>
      </c>
      <c r="B185" s="58" t="s">
        <v>180</v>
      </c>
      <c r="C185" s="58">
        <v>1</v>
      </c>
      <c r="D185" s="58">
        <v>104</v>
      </c>
      <c r="E185" s="59">
        <v>70.444699999999997</v>
      </c>
    </row>
    <row r="186" spans="1:5" ht="15" x14ac:dyDescent="0.35">
      <c r="A186" s="58" t="s">
        <v>268</v>
      </c>
      <c r="B186" s="58" t="s">
        <v>180</v>
      </c>
      <c r="C186" s="58">
        <v>2</v>
      </c>
      <c r="D186" s="58">
        <v>105</v>
      </c>
      <c r="E186" s="59">
        <v>70.444699999999997</v>
      </c>
    </row>
    <row r="187" spans="1:5" ht="15" x14ac:dyDescent="0.35">
      <c r="A187" s="58" t="s">
        <v>268</v>
      </c>
      <c r="B187" s="58" t="s">
        <v>180</v>
      </c>
      <c r="C187" s="58">
        <v>3</v>
      </c>
      <c r="D187" s="58">
        <v>106</v>
      </c>
      <c r="E187" s="59">
        <v>70.444699999999997</v>
      </c>
    </row>
    <row r="188" spans="1:5" ht="15" x14ac:dyDescent="0.35">
      <c r="A188" s="58" t="s">
        <v>268</v>
      </c>
      <c r="B188" s="58" t="s">
        <v>180</v>
      </c>
      <c r="C188" s="58">
        <v>4</v>
      </c>
      <c r="D188" s="58">
        <v>107</v>
      </c>
      <c r="E188" s="59">
        <v>70.444699999999997</v>
      </c>
    </row>
    <row r="189" spans="1:5" ht="15" x14ac:dyDescent="0.35">
      <c r="A189" s="58" t="s">
        <v>268</v>
      </c>
      <c r="B189" s="58" t="s">
        <v>180</v>
      </c>
      <c r="C189" s="58">
        <v>5</v>
      </c>
      <c r="D189" s="58">
        <v>108</v>
      </c>
      <c r="E189" s="59">
        <v>70.444699999999997</v>
      </c>
    </row>
    <row r="190" spans="1:5" ht="15" x14ac:dyDescent="0.35">
      <c r="A190" s="58" t="s">
        <v>268</v>
      </c>
      <c r="B190" s="58" t="s">
        <v>180</v>
      </c>
      <c r="C190" s="58">
        <v>6</v>
      </c>
      <c r="D190" s="58">
        <v>109</v>
      </c>
      <c r="E190" s="59">
        <v>70.444699999999997</v>
      </c>
    </row>
    <row r="191" spans="1:5" ht="15" x14ac:dyDescent="0.35">
      <c r="A191" s="58" t="s">
        <v>268</v>
      </c>
      <c r="B191" s="58" t="s">
        <v>180</v>
      </c>
      <c r="C191" s="58">
        <v>7</v>
      </c>
      <c r="D191" s="58">
        <v>110</v>
      </c>
      <c r="E191" s="59">
        <v>70.444699999999997</v>
      </c>
    </row>
    <row r="192" spans="1:5" ht="15" x14ac:dyDescent="0.35">
      <c r="A192" s="58" t="s">
        <v>268</v>
      </c>
      <c r="B192" s="58" t="s">
        <v>180</v>
      </c>
      <c r="C192" s="58">
        <v>8</v>
      </c>
      <c r="D192" s="58">
        <v>111</v>
      </c>
      <c r="E192" s="59">
        <v>70.444699999999997</v>
      </c>
    </row>
    <row r="193" spans="1:5" ht="15" x14ac:dyDescent="0.35">
      <c r="A193" s="58" t="s">
        <v>268</v>
      </c>
      <c r="B193" s="58" t="s">
        <v>180</v>
      </c>
      <c r="C193" s="58">
        <v>9</v>
      </c>
      <c r="D193" s="58">
        <v>112</v>
      </c>
      <c r="E193" s="59">
        <v>70.444699999999997</v>
      </c>
    </row>
    <row r="194" spans="1:5" ht="15" x14ac:dyDescent="0.35">
      <c r="A194" s="58" t="s">
        <v>268</v>
      </c>
      <c r="B194" s="58" t="s">
        <v>180</v>
      </c>
      <c r="C194" s="58">
        <v>10</v>
      </c>
      <c r="D194" s="58">
        <v>113</v>
      </c>
      <c r="E194" s="59">
        <v>70.444699999999997</v>
      </c>
    </row>
    <row r="195" spans="1:5" ht="15" x14ac:dyDescent="0.35">
      <c r="A195" s="58" t="s">
        <v>268</v>
      </c>
      <c r="B195" s="58" t="s">
        <v>180</v>
      </c>
      <c r="C195" s="58">
        <v>11</v>
      </c>
      <c r="D195" s="58">
        <v>114</v>
      </c>
      <c r="E195" s="59">
        <v>70.444699999999997</v>
      </c>
    </row>
    <row r="196" spans="1:5" ht="15" x14ac:dyDescent="0.35">
      <c r="A196" s="58" t="s">
        <v>268</v>
      </c>
      <c r="B196" s="58" t="s">
        <v>180</v>
      </c>
      <c r="C196" s="58">
        <v>12</v>
      </c>
      <c r="D196" s="58">
        <v>115</v>
      </c>
      <c r="E196" s="59">
        <v>70.444699999999997</v>
      </c>
    </row>
    <row r="197" spans="1:5" ht="15" x14ac:dyDescent="0.35">
      <c r="A197" s="58" t="s">
        <v>377</v>
      </c>
      <c r="B197" s="58" t="s">
        <v>182</v>
      </c>
      <c r="C197" s="58">
        <v>1</v>
      </c>
      <c r="D197" s="58">
        <v>104</v>
      </c>
      <c r="E197" s="59">
        <v>52.713700000000003</v>
      </c>
    </row>
    <row r="198" spans="1:5" ht="15" x14ac:dyDescent="0.35">
      <c r="A198" s="58" t="s">
        <v>377</v>
      </c>
      <c r="B198" s="58" t="s">
        <v>182</v>
      </c>
      <c r="C198" s="58">
        <v>2</v>
      </c>
      <c r="D198" s="58">
        <v>105</v>
      </c>
      <c r="E198" s="59">
        <v>0</v>
      </c>
    </row>
    <row r="199" spans="1:5" ht="15" x14ac:dyDescent="0.35">
      <c r="A199" s="58" t="s">
        <v>377</v>
      </c>
      <c r="B199" s="58" t="s">
        <v>182</v>
      </c>
      <c r="C199" s="58">
        <v>3</v>
      </c>
      <c r="D199" s="58">
        <v>106</v>
      </c>
      <c r="E199" s="59">
        <v>0</v>
      </c>
    </row>
    <row r="200" spans="1:5" ht="15" x14ac:dyDescent="0.35">
      <c r="A200" s="58" t="s">
        <v>377</v>
      </c>
      <c r="B200" s="58" t="s">
        <v>182</v>
      </c>
      <c r="C200" s="58">
        <v>4</v>
      </c>
      <c r="D200" s="58">
        <v>107</v>
      </c>
      <c r="E200" s="59">
        <v>0</v>
      </c>
    </row>
    <row r="201" spans="1:5" ht="15" x14ac:dyDescent="0.35">
      <c r="A201" s="58" t="s">
        <v>377</v>
      </c>
      <c r="B201" s="58" t="s">
        <v>182</v>
      </c>
      <c r="C201" s="58">
        <v>5</v>
      </c>
      <c r="D201" s="58">
        <v>108</v>
      </c>
      <c r="E201" s="59">
        <v>0</v>
      </c>
    </row>
    <row r="202" spans="1:5" ht="15" x14ac:dyDescent="0.35">
      <c r="A202" s="58" t="s">
        <v>377</v>
      </c>
      <c r="B202" s="58" t="s">
        <v>182</v>
      </c>
      <c r="C202" s="58">
        <v>6</v>
      </c>
      <c r="D202" s="58">
        <v>109</v>
      </c>
      <c r="E202" s="59">
        <v>0</v>
      </c>
    </row>
    <row r="203" spans="1:5" ht="15" x14ac:dyDescent="0.35">
      <c r="A203" s="58" t="s">
        <v>377</v>
      </c>
      <c r="B203" s="58" t="s">
        <v>182</v>
      </c>
      <c r="C203" s="58">
        <v>7</v>
      </c>
      <c r="D203" s="58">
        <v>110</v>
      </c>
      <c r="E203" s="59">
        <v>0</v>
      </c>
    </row>
    <row r="204" spans="1:5" ht="15" x14ac:dyDescent="0.35">
      <c r="A204" s="58" t="s">
        <v>377</v>
      </c>
      <c r="B204" s="58" t="s">
        <v>182</v>
      </c>
      <c r="C204" s="58">
        <v>8</v>
      </c>
      <c r="D204" s="58">
        <v>111</v>
      </c>
      <c r="E204" s="59">
        <v>0</v>
      </c>
    </row>
    <row r="205" spans="1:5" ht="15" x14ac:dyDescent="0.35">
      <c r="A205" s="58" t="s">
        <v>377</v>
      </c>
      <c r="B205" s="58" t="s">
        <v>182</v>
      </c>
      <c r="C205" s="58">
        <v>9</v>
      </c>
      <c r="D205" s="58">
        <v>112</v>
      </c>
      <c r="E205" s="59">
        <v>0</v>
      </c>
    </row>
    <row r="206" spans="1:5" ht="15" x14ac:dyDescent="0.35">
      <c r="A206" s="58" t="s">
        <v>377</v>
      </c>
      <c r="B206" s="58" t="s">
        <v>182</v>
      </c>
      <c r="C206" s="58">
        <v>10</v>
      </c>
      <c r="D206" s="58">
        <v>113</v>
      </c>
      <c r="E206" s="59">
        <v>0</v>
      </c>
    </row>
    <row r="207" spans="1:5" ht="15" x14ac:dyDescent="0.35">
      <c r="A207" s="58" t="s">
        <v>377</v>
      </c>
      <c r="B207" s="58" t="s">
        <v>182</v>
      </c>
      <c r="C207" s="58">
        <v>11</v>
      </c>
      <c r="D207" s="58">
        <v>114</v>
      </c>
      <c r="E207" s="59">
        <v>0</v>
      </c>
    </row>
    <row r="208" spans="1:5" ht="15" x14ac:dyDescent="0.35">
      <c r="A208" s="58" t="s">
        <v>377</v>
      </c>
      <c r="B208" s="58" t="s">
        <v>182</v>
      </c>
      <c r="C208" s="58">
        <v>12</v>
      </c>
      <c r="D208" s="58">
        <v>115</v>
      </c>
      <c r="E208" s="59">
        <v>0</v>
      </c>
    </row>
    <row r="209" spans="1:5" ht="15" x14ac:dyDescent="0.35">
      <c r="A209" s="58" t="s">
        <v>377</v>
      </c>
      <c r="B209" s="58" t="s">
        <v>176</v>
      </c>
      <c r="C209" s="58">
        <v>1</v>
      </c>
      <c r="D209" s="58">
        <v>104</v>
      </c>
      <c r="E209" s="59">
        <v>79.375</v>
      </c>
    </row>
    <row r="210" spans="1:5" ht="15" x14ac:dyDescent="0.35">
      <c r="A210" s="58" t="s">
        <v>377</v>
      </c>
      <c r="B210" s="58" t="s">
        <v>176</v>
      </c>
      <c r="C210" s="58">
        <v>2</v>
      </c>
      <c r="D210" s="58">
        <v>105</v>
      </c>
      <c r="E210" s="59">
        <v>79.375</v>
      </c>
    </row>
    <row r="211" spans="1:5" ht="15" x14ac:dyDescent="0.35">
      <c r="A211" s="58" t="s">
        <v>377</v>
      </c>
      <c r="B211" s="58" t="s">
        <v>176</v>
      </c>
      <c r="C211" s="58">
        <v>3</v>
      </c>
      <c r="D211" s="58">
        <v>106</v>
      </c>
      <c r="E211" s="59">
        <v>79.375</v>
      </c>
    </row>
    <row r="212" spans="1:5" ht="15" x14ac:dyDescent="0.35">
      <c r="A212" s="58" t="s">
        <v>377</v>
      </c>
      <c r="B212" s="58" t="s">
        <v>176</v>
      </c>
      <c r="C212" s="58">
        <v>4</v>
      </c>
      <c r="D212" s="58">
        <v>107</v>
      </c>
      <c r="E212" s="59">
        <v>79.375</v>
      </c>
    </row>
    <row r="213" spans="1:5" ht="15" x14ac:dyDescent="0.35">
      <c r="A213" s="58" t="s">
        <v>377</v>
      </c>
      <c r="B213" s="58" t="s">
        <v>176</v>
      </c>
      <c r="C213" s="58">
        <v>5</v>
      </c>
      <c r="D213" s="58">
        <v>108</v>
      </c>
      <c r="E213" s="59">
        <v>79.375</v>
      </c>
    </row>
    <row r="214" spans="1:5" ht="15" x14ac:dyDescent="0.35">
      <c r="A214" s="58" t="s">
        <v>377</v>
      </c>
      <c r="B214" s="58" t="s">
        <v>176</v>
      </c>
      <c r="C214" s="58">
        <v>6</v>
      </c>
      <c r="D214" s="58">
        <v>109</v>
      </c>
      <c r="E214" s="59">
        <v>79.375</v>
      </c>
    </row>
    <row r="215" spans="1:5" ht="15" x14ac:dyDescent="0.35">
      <c r="A215" s="58" t="s">
        <v>377</v>
      </c>
      <c r="B215" s="58" t="s">
        <v>176</v>
      </c>
      <c r="C215" s="58">
        <v>7</v>
      </c>
      <c r="D215" s="58">
        <v>110</v>
      </c>
      <c r="E215" s="59">
        <v>79.375</v>
      </c>
    </row>
    <row r="216" spans="1:5" ht="15" x14ac:dyDescent="0.35">
      <c r="A216" s="58" t="s">
        <v>377</v>
      </c>
      <c r="B216" s="58" t="s">
        <v>176</v>
      </c>
      <c r="C216" s="58">
        <v>8</v>
      </c>
      <c r="D216" s="58">
        <v>111</v>
      </c>
      <c r="E216" s="59">
        <v>79.375</v>
      </c>
    </row>
    <row r="217" spans="1:5" ht="15" x14ac:dyDescent="0.35">
      <c r="A217" s="58" t="s">
        <v>377</v>
      </c>
      <c r="B217" s="58" t="s">
        <v>176</v>
      </c>
      <c r="C217" s="58">
        <v>9</v>
      </c>
      <c r="D217" s="58">
        <v>112</v>
      </c>
      <c r="E217" s="59">
        <v>79.375</v>
      </c>
    </row>
    <row r="218" spans="1:5" ht="15" x14ac:dyDescent="0.35">
      <c r="A218" s="58" t="s">
        <v>377</v>
      </c>
      <c r="B218" s="58" t="s">
        <v>176</v>
      </c>
      <c r="C218" s="58">
        <v>10</v>
      </c>
      <c r="D218" s="58">
        <v>113</v>
      </c>
      <c r="E218" s="59">
        <v>79.375</v>
      </c>
    </row>
    <row r="219" spans="1:5" ht="15" x14ac:dyDescent="0.35">
      <c r="A219" s="58" t="s">
        <v>377</v>
      </c>
      <c r="B219" s="58" t="s">
        <v>176</v>
      </c>
      <c r="C219" s="58">
        <v>11</v>
      </c>
      <c r="D219" s="58">
        <v>114</v>
      </c>
      <c r="E219" s="59">
        <v>79.375</v>
      </c>
    </row>
    <row r="220" spans="1:5" ht="15" x14ac:dyDescent="0.35">
      <c r="A220" s="58" t="s">
        <v>377</v>
      </c>
      <c r="B220" s="58" t="s">
        <v>176</v>
      </c>
      <c r="C220" s="58">
        <v>12</v>
      </c>
      <c r="D220" s="58">
        <v>115</v>
      </c>
      <c r="E220" s="59">
        <v>79.375</v>
      </c>
    </row>
    <row r="221" spans="1:5" ht="15" x14ac:dyDescent="0.35">
      <c r="A221" s="58" t="s">
        <v>377</v>
      </c>
      <c r="B221" s="58" t="s">
        <v>172</v>
      </c>
      <c r="C221" s="58">
        <v>1</v>
      </c>
      <c r="D221" s="58">
        <v>104</v>
      </c>
      <c r="E221" s="59">
        <v>142</v>
      </c>
    </row>
    <row r="222" spans="1:5" ht="15" x14ac:dyDescent="0.35">
      <c r="A222" s="58" t="s">
        <v>377</v>
      </c>
      <c r="B222" s="58" t="s">
        <v>172</v>
      </c>
      <c r="C222" s="58">
        <v>2</v>
      </c>
      <c r="D222" s="58">
        <v>105</v>
      </c>
      <c r="E222" s="59">
        <v>142</v>
      </c>
    </row>
    <row r="223" spans="1:5" ht="15" x14ac:dyDescent="0.35">
      <c r="A223" s="58" t="s">
        <v>377</v>
      </c>
      <c r="B223" s="58" t="s">
        <v>172</v>
      </c>
      <c r="C223" s="58">
        <v>3</v>
      </c>
      <c r="D223" s="58">
        <v>106</v>
      </c>
      <c r="E223" s="59">
        <v>142</v>
      </c>
    </row>
    <row r="224" spans="1:5" ht="15" x14ac:dyDescent="0.35">
      <c r="A224" s="58" t="s">
        <v>377</v>
      </c>
      <c r="B224" s="58" t="s">
        <v>172</v>
      </c>
      <c r="C224" s="58">
        <v>4</v>
      </c>
      <c r="D224" s="58">
        <v>107</v>
      </c>
      <c r="E224" s="59">
        <v>142</v>
      </c>
    </row>
    <row r="225" spans="1:5" ht="15" x14ac:dyDescent="0.35">
      <c r="A225" s="58" t="s">
        <v>377</v>
      </c>
      <c r="B225" s="58" t="s">
        <v>172</v>
      </c>
      <c r="C225" s="58">
        <v>5</v>
      </c>
      <c r="D225" s="58">
        <v>108</v>
      </c>
      <c r="E225" s="59">
        <v>142</v>
      </c>
    </row>
    <row r="226" spans="1:5" ht="15" x14ac:dyDescent="0.35">
      <c r="A226" s="58" t="s">
        <v>377</v>
      </c>
      <c r="B226" s="58" t="s">
        <v>172</v>
      </c>
      <c r="C226" s="58">
        <v>6</v>
      </c>
      <c r="D226" s="58">
        <v>109</v>
      </c>
      <c r="E226" s="59">
        <v>142</v>
      </c>
    </row>
    <row r="227" spans="1:5" ht="15" x14ac:dyDescent="0.35">
      <c r="A227" s="58" t="s">
        <v>377</v>
      </c>
      <c r="B227" s="58" t="s">
        <v>172</v>
      </c>
      <c r="C227" s="58">
        <v>7</v>
      </c>
      <c r="D227" s="58">
        <v>110</v>
      </c>
      <c r="E227" s="59">
        <v>142</v>
      </c>
    </row>
    <row r="228" spans="1:5" ht="15" x14ac:dyDescent="0.35">
      <c r="A228" s="58" t="s">
        <v>377</v>
      </c>
      <c r="B228" s="58" t="s">
        <v>172</v>
      </c>
      <c r="C228" s="58">
        <v>8</v>
      </c>
      <c r="D228" s="58">
        <v>111</v>
      </c>
      <c r="E228" s="59">
        <v>142</v>
      </c>
    </row>
    <row r="229" spans="1:5" ht="15" x14ac:dyDescent="0.35">
      <c r="A229" s="58" t="s">
        <v>377</v>
      </c>
      <c r="B229" s="58" t="s">
        <v>172</v>
      </c>
      <c r="C229" s="58">
        <v>9</v>
      </c>
      <c r="D229" s="58">
        <v>112</v>
      </c>
      <c r="E229" s="59">
        <v>142</v>
      </c>
    </row>
    <row r="230" spans="1:5" ht="15" x14ac:dyDescent="0.35">
      <c r="A230" s="58" t="s">
        <v>377</v>
      </c>
      <c r="B230" s="58" t="s">
        <v>172</v>
      </c>
      <c r="C230" s="58">
        <v>10</v>
      </c>
      <c r="D230" s="58">
        <v>113</v>
      </c>
      <c r="E230" s="59">
        <v>142</v>
      </c>
    </row>
    <row r="231" spans="1:5" ht="15" x14ac:dyDescent="0.35">
      <c r="A231" s="58" t="s">
        <v>377</v>
      </c>
      <c r="B231" s="58" t="s">
        <v>172</v>
      </c>
      <c r="C231" s="58">
        <v>11</v>
      </c>
      <c r="D231" s="58">
        <v>114</v>
      </c>
      <c r="E231" s="59">
        <v>142</v>
      </c>
    </row>
    <row r="232" spans="1:5" ht="15" x14ac:dyDescent="0.35">
      <c r="A232" s="58" t="s">
        <v>377</v>
      </c>
      <c r="B232" s="58" t="s">
        <v>172</v>
      </c>
      <c r="C232" s="58">
        <v>12</v>
      </c>
      <c r="D232" s="58">
        <v>115</v>
      </c>
      <c r="E232" s="59">
        <v>142</v>
      </c>
    </row>
    <row r="233" spans="1:5" ht="15" x14ac:dyDescent="0.35">
      <c r="A233" s="58" t="s">
        <v>377</v>
      </c>
      <c r="B233" s="58" t="s">
        <v>180</v>
      </c>
      <c r="C233" s="58">
        <v>1</v>
      </c>
      <c r="D233" s="58">
        <v>104</v>
      </c>
      <c r="E233" s="59">
        <v>91.804699999999997</v>
      </c>
    </row>
    <row r="234" spans="1:5" ht="15" x14ac:dyDescent="0.35">
      <c r="A234" s="58" t="s">
        <v>377</v>
      </c>
      <c r="B234" s="58" t="s">
        <v>180</v>
      </c>
      <c r="C234" s="58">
        <v>2</v>
      </c>
      <c r="D234" s="58">
        <v>105</v>
      </c>
      <c r="E234" s="59">
        <v>91.804699999999997</v>
      </c>
    </row>
    <row r="235" spans="1:5" ht="15" x14ac:dyDescent="0.35">
      <c r="A235" s="58" t="s">
        <v>377</v>
      </c>
      <c r="B235" s="58" t="s">
        <v>180</v>
      </c>
      <c r="C235" s="58">
        <v>3</v>
      </c>
      <c r="D235" s="58">
        <v>106</v>
      </c>
      <c r="E235" s="59">
        <v>91.804699999999997</v>
      </c>
    </row>
    <row r="236" spans="1:5" ht="15" x14ac:dyDescent="0.35">
      <c r="A236" s="58" t="s">
        <v>377</v>
      </c>
      <c r="B236" s="58" t="s">
        <v>180</v>
      </c>
      <c r="C236" s="58">
        <v>4</v>
      </c>
      <c r="D236" s="58">
        <v>107</v>
      </c>
      <c r="E236" s="59">
        <v>91.804699999999997</v>
      </c>
    </row>
    <row r="237" spans="1:5" ht="15" x14ac:dyDescent="0.35">
      <c r="A237" s="58" t="s">
        <v>377</v>
      </c>
      <c r="B237" s="58" t="s">
        <v>180</v>
      </c>
      <c r="C237" s="58">
        <v>5</v>
      </c>
      <c r="D237" s="58">
        <v>108</v>
      </c>
      <c r="E237" s="59">
        <v>91.804699999999997</v>
      </c>
    </row>
    <row r="238" spans="1:5" ht="15" x14ac:dyDescent="0.35">
      <c r="A238" s="58" t="s">
        <v>377</v>
      </c>
      <c r="B238" s="58" t="s">
        <v>180</v>
      </c>
      <c r="C238" s="58">
        <v>6</v>
      </c>
      <c r="D238" s="58">
        <v>109</v>
      </c>
      <c r="E238" s="59">
        <v>91.804699999999997</v>
      </c>
    </row>
    <row r="239" spans="1:5" ht="15" x14ac:dyDescent="0.35">
      <c r="A239" s="58" t="s">
        <v>377</v>
      </c>
      <c r="B239" s="58" t="s">
        <v>180</v>
      </c>
      <c r="C239" s="58">
        <v>7</v>
      </c>
      <c r="D239" s="58">
        <v>110</v>
      </c>
      <c r="E239" s="59">
        <v>91.804699999999997</v>
      </c>
    </row>
    <row r="240" spans="1:5" ht="15" x14ac:dyDescent="0.35">
      <c r="A240" s="58" t="s">
        <v>377</v>
      </c>
      <c r="B240" s="58" t="s">
        <v>180</v>
      </c>
      <c r="C240" s="58">
        <v>8</v>
      </c>
      <c r="D240" s="58">
        <v>111</v>
      </c>
      <c r="E240" s="59">
        <v>91.804699999999997</v>
      </c>
    </row>
    <row r="241" spans="1:5" ht="15" x14ac:dyDescent="0.35">
      <c r="A241" s="58" t="s">
        <v>377</v>
      </c>
      <c r="B241" s="58" t="s">
        <v>180</v>
      </c>
      <c r="C241" s="58">
        <v>9</v>
      </c>
      <c r="D241" s="58">
        <v>112</v>
      </c>
      <c r="E241" s="59">
        <v>91.804699999999997</v>
      </c>
    </row>
    <row r="242" spans="1:5" ht="15" x14ac:dyDescent="0.35">
      <c r="A242" s="58" t="s">
        <v>377</v>
      </c>
      <c r="B242" s="58" t="s">
        <v>180</v>
      </c>
      <c r="C242" s="58">
        <v>10</v>
      </c>
      <c r="D242" s="58">
        <v>113</v>
      </c>
      <c r="E242" s="59">
        <v>91.804699999999997</v>
      </c>
    </row>
    <row r="243" spans="1:5" ht="15" x14ac:dyDescent="0.35">
      <c r="A243" s="58" t="s">
        <v>377</v>
      </c>
      <c r="B243" s="58" t="s">
        <v>180</v>
      </c>
      <c r="C243" s="58">
        <v>11</v>
      </c>
      <c r="D243" s="58">
        <v>114</v>
      </c>
      <c r="E243" s="59">
        <v>91.804699999999997</v>
      </c>
    </row>
    <row r="244" spans="1:5" ht="15" x14ac:dyDescent="0.35">
      <c r="A244" s="58" t="s">
        <v>377</v>
      </c>
      <c r="B244" s="58" t="s">
        <v>180</v>
      </c>
      <c r="C244" s="58">
        <v>12</v>
      </c>
      <c r="D244" s="58">
        <v>115</v>
      </c>
      <c r="E244" s="59">
        <v>91.804699999999997</v>
      </c>
    </row>
    <row r="245" spans="1:5" ht="15" x14ac:dyDescent="0.35">
      <c r="A245" s="58" t="s">
        <v>300</v>
      </c>
      <c r="B245" s="58" t="s">
        <v>182</v>
      </c>
      <c r="C245" s="58">
        <v>1</v>
      </c>
      <c r="D245" s="58">
        <v>104</v>
      </c>
      <c r="E245" s="59">
        <v>151.06819999999999</v>
      </c>
    </row>
    <row r="246" spans="1:5" ht="15" x14ac:dyDescent="0.35">
      <c r="A246" s="58" t="s">
        <v>300</v>
      </c>
      <c r="B246" s="58" t="s">
        <v>182</v>
      </c>
      <c r="C246" s="58">
        <v>2</v>
      </c>
      <c r="D246" s="58">
        <v>105</v>
      </c>
      <c r="E246" s="59">
        <v>80.912599999999998</v>
      </c>
    </row>
    <row r="247" spans="1:5" ht="15" x14ac:dyDescent="0.35">
      <c r="A247" s="58" t="s">
        <v>300</v>
      </c>
      <c r="B247" s="58" t="s">
        <v>182</v>
      </c>
      <c r="C247" s="58">
        <v>3</v>
      </c>
      <c r="D247" s="58">
        <v>106</v>
      </c>
      <c r="E247" s="59">
        <v>125.01260000000001</v>
      </c>
    </row>
    <row r="248" spans="1:5" ht="15" x14ac:dyDescent="0.35">
      <c r="A248" s="58" t="s">
        <v>300</v>
      </c>
      <c r="B248" s="58" t="s">
        <v>182</v>
      </c>
      <c r="C248" s="58">
        <v>4</v>
      </c>
      <c r="D248" s="58">
        <v>107</v>
      </c>
      <c r="E248" s="59">
        <v>137.65549999999999</v>
      </c>
    </row>
    <row r="249" spans="1:5" ht="15" x14ac:dyDescent="0.35">
      <c r="A249" s="58" t="s">
        <v>300</v>
      </c>
      <c r="B249" s="58" t="s">
        <v>182</v>
      </c>
      <c r="C249" s="58">
        <v>5</v>
      </c>
      <c r="D249" s="58">
        <v>108</v>
      </c>
      <c r="E249" s="59">
        <v>193.88759999999999</v>
      </c>
    </row>
    <row r="250" spans="1:5" ht="15" x14ac:dyDescent="0.35">
      <c r="A250" s="58" t="s">
        <v>300</v>
      </c>
      <c r="B250" s="58" t="s">
        <v>182</v>
      </c>
      <c r="C250" s="58">
        <v>6</v>
      </c>
      <c r="D250" s="58">
        <v>109</v>
      </c>
      <c r="E250" s="59">
        <v>188.29040000000001</v>
      </c>
    </row>
    <row r="251" spans="1:5" ht="15" x14ac:dyDescent="0.35">
      <c r="A251" s="58" t="s">
        <v>300</v>
      </c>
      <c r="B251" s="58" t="s">
        <v>182</v>
      </c>
      <c r="C251" s="58">
        <v>7</v>
      </c>
      <c r="D251" s="58">
        <v>110</v>
      </c>
      <c r="E251" s="59">
        <v>191.9571</v>
      </c>
    </row>
    <row r="252" spans="1:5" ht="15" x14ac:dyDescent="0.35">
      <c r="A252" s="58" t="s">
        <v>300</v>
      </c>
      <c r="B252" s="58" t="s">
        <v>182</v>
      </c>
      <c r="C252" s="58">
        <v>8</v>
      </c>
      <c r="D252" s="58">
        <v>111</v>
      </c>
      <c r="E252" s="59">
        <v>191.846</v>
      </c>
    </row>
    <row r="253" spans="1:5" ht="15" x14ac:dyDescent="0.35">
      <c r="A253" s="58" t="s">
        <v>300</v>
      </c>
      <c r="B253" s="58" t="s">
        <v>182</v>
      </c>
      <c r="C253" s="58">
        <v>9</v>
      </c>
      <c r="D253" s="58">
        <v>112</v>
      </c>
      <c r="E253" s="59">
        <v>203.73480000000001</v>
      </c>
    </row>
    <row r="254" spans="1:5" ht="15" x14ac:dyDescent="0.35">
      <c r="A254" s="58" t="s">
        <v>300</v>
      </c>
      <c r="B254" s="58" t="s">
        <v>182</v>
      </c>
      <c r="C254" s="58">
        <v>10</v>
      </c>
      <c r="D254" s="58">
        <v>113</v>
      </c>
      <c r="E254" s="59">
        <v>216.9571</v>
      </c>
    </row>
    <row r="255" spans="1:5" ht="15" x14ac:dyDescent="0.35">
      <c r="A255" s="58" t="s">
        <v>300</v>
      </c>
      <c r="B255" s="58" t="s">
        <v>182</v>
      </c>
      <c r="C255" s="58">
        <v>11</v>
      </c>
      <c r="D255" s="58">
        <v>114</v>
      </c>
      <c r="E255" s="59">
        <v>232.73480000000001</v>
      </c>
    </row>
    <row r="256" spans="1:5" ht="15" x14ac:dyDescent="0.35">
      <c r="A256" s="58" t="s">
        <v>300</v>
      </c>
      <c r="B256" s="58" t="s">
        <v>182</v>
      </c>
      <c r="C256" s="58">
        <v>12</v>
      </c>
      <c r="D256" s="58">
        <v>115</v>
      </c>
      <c r="E256" s="59">
        <v>224.51259999999999</v>
      </c>
    </row>
    <row r="257" spans="1:5" ht="15" x14ac:dyDescent="0.35">
      <c r="A257" s="58" t="s">
        <v>300</v>
      </c>
      <c r="B257" s="58" t="s">
        <v>176</v>
      </c>
      <c r="C257" s="58">
        <v>1</v>
      </c>
      <c r="D257" s="58">
        <v>104</v>
      </c>
      <c r="E257" s="59">
        <v>210.25</v>
      </c>
    </row>
    <row r="258" spans="1:5" ht="15" x14ac:dyDescent="0.35">
      <c r="A258" s="58" t="s">
        <v>300</v>
      </c>
      <c r="B258" s="58" t="s">
        <v>176</v>
      </c>
      <c r="C258" s="58">
        <v>2</v>
      </c>
      <c r="D258" s="58">
        <v>105</v>
      </c>
      <c r="E258" s="59">
        <v>210.25</v>
      </c>
    </row>
    <row r="259" spans="1:5" ht="15" x14ac:dyDescent="0.35">
      <c r="A259" s="58" t="s">
        <v>300</v>
      </c>
      <c r="B259" s="58" t="s">
        <v>176</v>
      </c>
      <c r="C259" s="58">
        <v>3</v>
      </c>
      <c r="D259" s="58">
        <v>106</v>
      </c>
      <c r="E259" s="59">
        <v>210.25</v>
      </c>
    </row>
    <row r="260" spans="1:5" ht="15" x14ac:dyDescent="0.35">
      <c r="A260" s="58" t="s">
        <v>300</v>
      </c>
      <c r="B260" s="58" t="s">
        <v>176</v>
      </c>
      <c r="C260" s="58">
        <v>4</v>
      </c>
      <c r="D260" s="58">
        <v>107</v>
      </c>
      <c r="E260" s="59">
        <v>210.25</v>
      </c>
    </row>
    <row r="261" spans="1:5" ht="15" x14ac:dyDescent="0.35">
      <c r="A261" s="58" t="s">
        <v>300</v>
      </c>
      <c r="B261" s="58" t="s">
        <v>176</v>
      </c>
      <c r="C261" s="58">
        <v>5</v>
      </c>
      <c r="D261" s="58">
        <v>108</v>
      </c>
      <c r="E261" s="59">
        <v>210.25</v>
      </c>
    </row>
    <row r="262" spans="1:5" ht="15" x14ac:dyDescent="0.35">
      <c r="A262" s="58" t="s">
        <v>300</v>
      </c>
      <c r="B262" s="58" t="s">
        <v>176</v>
      </c>
      <c r="C262" s="58">
        <v>6</v>
      </c>
      <c r="D262" s="58">
        <v>109</v>
      </c>
      <c r="E262" s="59">
        <v>210.25</v>
      </c>
    </row>
    <row r="263" spans="1:5" ht="15" x14ac:dyDescent="0.35">
      <c r="A263" s="58" t="s">
        <v>300</v>
      </c>
      <c r="B263" s="58" t="s">
        <v>176</v>
      </c>
      <c r="C263" s="58">
        <v>7</v>
      </c>
      <c r="D263" s="58">
        <v>110</v>
      </c>
      <c r="E263" s="59">
        <v>210.25</v>
      </c>
    </row>
    <row r="264" spans="1:5" ht="15" x14ac:dyDescent="0.35">
      <c r="A264" s="58" t="s">
        <v>300</v>
      </c>
      <c r="B264" s="58" t="s">
        <v>176</v>
      </c>
      <c r="C264" s="58">
        <v>8</v>
      </c>
      <c r="D264" s="58">
        <v>111</v>
      </c>
      <c r="E264" s="59">
        <v>210.25</v>
      </c>
    </row>
    <row r="265" spans="1:5" ht="15" x14ac:dyDescent="0.35">
      <c r="A265" s="58" t="s">
        <v>300</v>
      </c>
      <c r="B265" s="58" t="s">
        <v>176</v>
      </c>
      <c r="C265" s="58">
        <v>9</v>
      </c>
      <c r="D265" s="58">
        <v>112</v>
      </c>
      <c r="E265" s="59">
        <v>210.25</v>
      </c>
    </row>
    <row r="266" spans="1:5" ht="15" x14ac:dyDescent="0.35">
      <c r="A266" s="58" t="s">
        <v>300</v>
      </c>
      <c r="B266" s="58" t="s">
        <v>176</v>
      </c>
      <c r="C266" s="58">
        <v>10</v>
      </c>
      <c r="D266" s="58">
        <v>113</v>
      </c>
      <c r="E266" s="59">
        <v>210.25</v>
      </c>
    </row>
    <row r="267" spans="1:5" ht="15" x14ac:dyDescent="0.35">
      <c r="A267" s="58" t="s">
        <v>300</v>
      </c>
      <c r="B267" s="58" t="s">
        <v>176</v>
      </c>
      <c r="C267" s="58">
        <v>11</v>
      </c>
      <c r="D267" s="58">
        <v>114</v>
      </c>
      <c r="E267" s="59">
        <v>210.25</v>
      </c>
    </row>
    <row r="268" spans="1:5" ht="15" x14ac:dyDescent="0.35">
      <c r="A268" s="58" t="s">
        <v>300</v>
      </c>
      <c r="B268" s="58" t="s">
        <v>176</v>
      </c>
      <c r="C268" s="58">
        <v>12</v>
      </c>
      <c r="D268" s="58">
        <v>115</v>
      </c>
      <c r="E268" s="59">
        <v>210.25</v>
      </c>
    </row>
    <row r="269" spans="1:5" ht="15" x14ac:dyDescent="0.35">
      <c r="A269" s="58" t="s">
        <v>300</v>
      </c>
      <c r="B269" s="58" t="s">
        <v>172</v>
      </c>
      <c r="C269" s="58">
        <v>1</v>
      </c>
      <c r="D269" s="58">
        <v>104</v>
      </c>
      <c r="E269" s="59">
        <v>220</v>
      </c>
    </row>
    <row r="270" spans="1:5" ht="15" x14ac:dyDescent="0.35">
      <c r="A270" s="58" t="s">
        <v>300</v>
      </c>
      <c r="B270" s="58" t="s">
        <v>172</v>
      </c>
      <c r="C270" s="58">
        <v>2</v>
      </c>
      <c r="D270" s="58">
        <v>105</v>
      </c>
      <c r="E270" s="59">
        <v>220</v>
      </c>
    </row>
    <row r="271" spans="1:5" ht="15" x14ac:dyDescent="0.35">
      <c r="A271" s="58" t="s">
        <v>300</v>
      </c>
      <c r="B271" s="58" t="s">
        <v>172</v>
      </c>
      <c r="C271" s="58">
        <v>3</v>
      </c>
      <c r="D271" s="58">
        <v>106</v>
      </c>
      <c r="E271" s="59">
        <v>220</v>
      </c>
    </row>
    <row r="272" spans="1:5" ht="15" x14ac:dyDescent="0.35">
      <c r="A272" s="58" t="s">
        <v>300</v>
      </c>
      <c r="B272" s="58" t="s">
        <v>172</v>
      </c>
      <c r="C272" s="58">
        <v>4</v>
      </c>
      <c r="D272" s="58">
        <v>107</v>
      </c>
      <c r="E272" s="59">
        <v>220</v>
      </c>
    </row>
    <row r="273" spans="1:5" ht="15" x14ac:dyDescent="0.35">
      <c r="A273" s="58" t="s">
        <v>300</v>
      </c>
      <c r="B273" s="58" t="s">
        <v>172</v>
      </c>
      <c r="C273" s="58">
        <v>5</v>
      </c>
      <c r="D273" s="58">
        <v>108</v>
      </c>
      <c r="E273" s="59">
        <v>220</v>
      </c>
    </row>
    <row r="274" spans="1:5" ht="15" x14ac:dyDescent="0.35">
      <c r="A274" s="58" t="s">
        <v>300</v>
      </c>
      <c r="B274" s="58" t="s">
        <v>172</v>
      </c>
      <c r="C274" s="58">
        <v>6</v>
      </c>
      <c r="D274" s="58">
        <v>109</v>
      </c>
      <c r="E274" s="59">
        <v>220</v>
      </c>
    </row>
    <row r="275" spans="1:5" ht="15" x14ac:dyDescent="0.35">
      <c r="A275" s="58" t="s">
        <v>300</v>
      </c>
      <c r="B275" s="58" t="s">
        <v>172</v>
      </c>
      <c r="C275" s="58">
        <v>7</v>
      </c>
      <c r="D275" s="58">
        <v>110</v>
      </c>
      <c r="E275" s="59">
        <v>220</v>
      </c>
    </row>
    <row r="276" spans="1:5" ht="15" x14ac:dyDescent="0.35">
      <c r="A276" s="58" t="s">
        <v>300</v>
      </c>
      <c r="B276" s="58" t="s">
        <v>172</v>
      </c>
      <c r="C276" s="58">
        <v>8</v>
      </c>
      <c r="D276" s="58">
        <v>111</v>
      </c>
      <c r="E276" s="59">
        <v>220</v>
      </c>
    </row>
    <row r="277" spans="1:5" ht="15" x14ac:dyDescent="0.35">
      <c r="A277" s="58" t="s">
        <v>300</v>
      </c>
      <c r="B277" s="58" t="s">
        <v>172</v>
      </c>
      <c r="C277" s="58">
        <v>9</v>
      </c>
      <c r="D277" s="58">
        <v>112</v>
      </c>
      <c r="E277" s="59">
        <v>220</v>
      </c>
    </row>
    <row r="278" spans="1:5" ht="15" x14ac:dyDescent="0.35">
      <c r="A278" s="58" t="s">
        <v>300</v>
      </c>
      <c r="B278" s="58" t="s">
        <v>172</v>
      </c>
      <c r="C278" s="58">
        <v>10</v>
      </c>
      <c r="D278" s="58">
        <v>113</v>
      </c>
      <c r="E278" s="59">
        <v>220</v>
      </c>
    </row>
    <row r="279" spans="1:5" ht="15" x14ac:dyDescent="0.35">
      <c r="A279" s="58" t="s">
        <v>300</v>
      </c>
      <c r="B279" s="58" t="s">
        <v>172</v>
      </c>
      <c r="C279" s="58">
        <v>11</v>
      </c>
      <c r="D279" s="58">
        <v>114</v>
      </c>
      <c r="E279" s="59">
        <v>220</v>
      </c>
    </row>
    <row r="280" spans="1:5" ht="15" x14ac:dyDescent="0.35">
      <c r="A280" s="58" t="s">
        <v>300</v>
      </c>
      <c r="B280" s="58" t="s">
        <v>172</v>
      </c>
      <c r="C280" s="58">
        <v>12</v>
      </c>
      <c r="D280" s="58">
        <v>115</v>
      </c>
      <c r="E280" s="59">
        <v>220</v>
      </c>
    </row>
    <row r="281" spans="1:5" ht="15" x14ac:dyDescent="0.35">
      <c r="A281" s="58" t="s">
        <v>300</v>
      </c>
      <c r="B281" s="58" t="s">
        <v>180</v>
      </c>
      <c r="C281" s="58">
        <v>1</v>
      </c>
      <c r="D281" s="58">
        <v>104</v>
      </c>
      <c r="E281" s="59">
        <v>211.92140000000001</v>
      </c>
    </row>
    <row r="282" spans="1:5" ht="15" x14ac:dyDescent="0.35">
      <c r="A282" s="58" t="s">
        <v>300</v>
      </c>
      <c r="B282" s="58" t="s">
        <v>180</v>
      </c>
      <c r="C282" s="58">
        <v>2</v>
      </c>
      <c r="D282" s="58">
        <v>105</v>
      </c>
      <c r="E282" s="59">
        <v>211.92140000000001</v>
      </c>
    </row>
    <row r="283" spans="1:5" ht="15" x14ac:dyDescent="0.35">
      <c r="A283" s="58" t="s">
        <v>300</v>
      </c>
      <c r="B283" s="58" t="s">
        <v>180</v>
      </c>
      <c r="C283" s="58">
        <v>3</v>
      </c>
      <c r="D283" s="58">
        <v>106</v>
      </c>
      <c r="E283" s="59">
        <v>211.92140000000001</v>
      </c>
    </row>
    <row r="284" spans="1:5" ht="15" x14ac:dyDescent="0.35">
      <c r="A284" s="58" t="s">
        <v>300</v>
      </c>
      <c r="B284" s="58" t="s">
        <v>180</v>
      </c>
      <c r="C284" s="58">
        <v>4</v>
      </c>
      <c r="D284" s="58">
        <v>107</v>
      </c>
      <c r="E284" s="59">
        <v>211.92140000000001</v>
      </c>
    </row>
    <row r="285" spans="1:5" ht="15" x14ac:dyDescent="0.35">
      <c r="A285" s="58" t="s">
        <v>300</v>
      </c>
      <c r="B285" s="58" t="s">
        <v>180</v>
      </c>
      <c r="C285" s="58">
        <v>5</v>
      </c>
      <c r="D285" s="58">
        <v>108</v>
      </c>
      <c r="E285" s="59">
        <v>211.92140000000001</v>
      </c>
    </row>
    <row r="286" spans="1:5" ht="15" x14ac:dyDescent="0.35">
      <c r="A286" s="58" t="s">
        <v>300</v>
      </c>
      <c r="B286" s="58" t="s">
        <v>180</v>
      </c>
      <c r="C286" s="58">
        <v>6</v>
      </c>
      <c r="D286" s="58">
        <v>109</v>
      </c>
      <c r="E286" s="59">
        <v>211.92140000000001</v>
      </c>
    </row>
    <row r="287" spans="1:5" ht="15" x14ac:dyDescent="0.35">
      <c r="A287" s="58" t="s">
        <v>300</v>
      </c>
      <c r="B287" s="58" t="s">
        <v>180</v>
      </c>
      <c r="C287" s="58">
        <v>7</v>
      </c>
      <c r="D287" s="58">
        <v>110</v>
      </c>
      <c r="E287" s="59">
        <v>211.92140000000001</v>
      </c>
    </row>
    <row r="288" spans="1:5" ht="15" x14ac:dyDescent="0.35">
      <c r="A288" s="58" t="s">
        <v>300</v>
      </c>
      <c r="B288" s="58" t="s">
        <v>180</v>
      </c>
      <c r="C288" s="58">
        <v>8</v>
      </c>
      <c r="D288" s="58">
        <v>111</v>
      </c>
      <c r="E288" s="59">
        <v>211.92140000000001</v>
      </c>
    </row>
    <row r="289" spans="1:5" ht="15" x14ac:dyDescent="0.35">
      <c r="A289" s="58" t="s">
        <v>300</v>
      </c>
      <c r="B289" s="58" t="s">
        <v>180</v>
      </c>
      <c r="C289" s="58">
        <v>9</v>
      </c>
      <c r="D289" s="58">
        <v>112</v>
      </c>
      <c r="E289" s="59">
        <v>211.92140000000001</v>
      </c>
    </row>
    <row r="290" spans="1:5" ht="15" x14ac:dyDescent="0.35">
      <c r="A290" s="58" t="s">
        <v>300</v>
      </c>
      <c r="B290" s="58" t="s">
        <v>180</v>
      </c>
      <c r="C290" s="58">
        <v>10</v>
      </c>
      <c r="D290" s="58">
        <v>113</v>
      </c>
      <c r="E290" s="59">
        <v>211.92140000000001</v>
      </c>
    </row>
    <row r="291" spans="1:5" ht="15" x14ac:dyDescent="0.35">
      <c r="A291" s="58" t="s">
        <v>300</v>
      </c>
      <c r="B291" s="58" t="s">
        <v>180</v>
      </c>
      <c r="C291" s="58">
        <v>11</v>
      </c>
      <c r="D291" s="58">
        <v>114</v>
      </c>
      <c r="E291" s="59">
        <v>211.92140000000001</v>
      </c>
    </row>
    <row r="292" spans="1:5" ht="15" x14ac:dyDescent="0.35">
      <c r="A292" s="58" t="s">
        <v>300</v>
      </c>
      <c r="B292" s="58" t="s">
        <v>180</v>
      </c>
      <c r="C292" s="58">
        <v>12</v>
      </c>
      <c r="D292" s="58">
        <v>115</v>
      </c>
      <c r="E292" s="59">
        <v>211.92140000000001</v>
      </c>
    </row>
    <row r="293" spans="1:5" ht="15" x14ac:dyDescent="0.35">
      <c r="A293" s="58" t="s">
        <v>297</v>
      </c>
      <c r="B293" s="58" t="s">
        <v>182</v>
      </c>
      <c r="C293" s="58">
        <v>1</v>
      </c>
      <c r="D293" s="58">
        <v>104</v>
      </c>
      <c r="E293" s="59">
        <v>122.9837</v>
      </c>
    </row>
    <row r="294" spans="1:5" ht="15" x14ac:dyDescent="0.35">
      <c r="A294" s="58" t="s">
        <v>297</v>
      </c>
      <c r="B294" s="58" t="s">
        <v>182</v>
      </c>
      <c r="C294" s="58">
        <v>2</v>
      </c>
      <c r="D294" s="58">
        <v>105</v>
      </c>
      <c r="E294" s="59">
        <v>26.072600000000001</v>
      </c>
    </row>
    <row r="295" spans="1:5" ht="15" x14ac:dyDescent="0.35">
      <c r="A295" s="58" t="s">
        <v>297</v>
      </c>
      <c r="B295" s="58" t="s">
        <v>182</v>
      </c>
      <c r="C295" s="58">
        <v>3</v>
      </c>
      <c r="D295" s="58">
        <v>106</v>
      </c>
      <c r="E295" s="59">
        <v>55.372599999999998</v>
      </c>
    </row>
    <row r="296" spans="1:5" ht="15" x14ac:dyDescent="0.35">
      <c r="A296" s="58" t="s">
        <v>297</v>
      </c>
      <c r="B296" s="58" t="s">
        <v>182</v>
      </c>
      <c r="C296" s="58">
        <v>4</v>
      </c>
      <c r="D296" s="58">
        <v>107</v>
      </c>
      <c r="E296" s="59">
        <v>60.444000000000003</v>
      </c>
    </row>
    <row r="297" spans="1:5" ht="15" x14ac:dyDescent="0.35">
      <c r="A297" s="58" t="s">
        <v>297</v>
      </c>
      <c r="B297" s="58" t="s">
        <v>182</v>
      </c>
      <c r="C297" s="58">
        <v>5</v>
      </c>
      <c r="D297" s="58">
        <v>108</v>
      </c>
      <c r="E297" s="59">
        <v>66.372600000000006</v>
      </c>
    </row>
    <row r="298" spans="1:5" ht="15" x14ac:dyDescent="0.35">
      <c r="A298" s="58" t="s">
        <v>297</v>
      </c>
      <c r="B298" s="58" t="s">
        <v>182</v>
      </c>
      <c r="C298" s="58">
        <v>6</v>
      </c>
      <c r="D298" s="58">
        <v>109</v>
      </c>
      <c r="E298" s="59">
        <v>59.094799999999999</v>
      </c>
    </row>
    <row r="299" spans="1:5" ht="15" x14ac:dyDescent="0.35">
      <c r="A299" s="58" t="s">
        <v>297</v>
      </c>
      <c r="B299" s="58" t="s">
        <v>182</v>
      </c>
      <c r="C299" s="58">
        <v>7</v>
      </c>
      <c r="D299" s="58">
        <v>110</v>
      </c>
      <c r="E299" s="59">
        <v>45.2059</v>
      </c>
    </row>
    <row r="300" spans="1:5" ht="15" x14ac:dyDescent="0.35">
      <c r="A300" s="58" t="s">
        <v>297</v>
      </c>
      <c r="B300" s="58" t="s">
        <v>182</v>
      </c>
      <c r="C300" s="58">
        <v>8</v>
      </c>
      <c r="D300" s="58">
        <v>111</v>
      </c>
      <c r="E300" s="59">
        <v>56.539200000000001</v>
      </c>
    </row>
    <row r="301" spans="1:5" ht="15" x14ac:dyDescent="0.35">
      <c r="A301" s="58" t="s">
        <v>297</v>
      </c>
      <c r="B301" s="58" t="s">
        <v>182</v>
      </c>
      <c r="C301" s="58">
        <v>9</v>
      </c>
      <c r="D301" s="58">
        <v>112</v>
      </c>
      <c r="E301" s="59">
        <v>66.983699999999999</v>
      </c>
    </row>
    <row r="302" spans="1:5" ht="15" x14ac:dyDescent="0.35">
      <c r="A302" s="58" t="s">
        <v>297</v>
      </c>
      <c r="B302" s="58" t="s">
        <v>182</v>
      </c>
      <c r="C302" s="58">
        <v>10</v>
      </c>
      <c r="D302" s="58">
        <v>113</v>
      </c>
      <c r="E302" s="59">
        <v>95.316999999999993</v>
      </c>
    </row>
    <row r="303" spans="1:5" ht="15" x14ac:dyDescent="0.35">
      <c r="A303" s="58" t="s">
        <v>297</v>
      </c>
      <c r="B303" s="58" t="s">
        <v>182</v>
      </c>
      <c r="C303" s="58">
        <v>11</v>
      </c>
      <c r="D303" s="58">
        <v>114</v>
      </c>
      <c r="E303" s="59">
        <v>95.650300000000001</v>
      </c>
    </row>
    <row r="304" spans="1:5" ht="15" x14ac:dyDescent="0.35">
      <c r="A304" s="58" t="s">
        <v>297</v>
      </c>
      <c r="B304" s="58" t="s">
        <v>182</v>
      </c>
      <c r="C304" s="58">
        <v>12</v>
      </c>
      <c r="D304" s="58">
        <v>115</v>
      </c>
      <c r="E304" s="59">
        <v>81.983699999999999</v>
      </c>
    </row>
    <row r="305" spans="1:5" ht="15" x14ac:dyDescent="0.35">
      <c r="A305" s="58" t="s">
        <v>297</v>
      </c>
      <c r="B305" s="58" t="s">
        <v>176</v>
      </c>
      <c r="C305" s="58">
        <v>1</v>
      </c>
      <c r="D305" s="58">
        <v>104</v>
      </c>
      <c r="E305" s="59">
        <v>188.625</v>
      </c>
    </row>
    <row r="306" spans="1:5" ht="15" x14ac:dyDescent="0.35">
      <c r="A306" s="58" t="s">
        <v>297</v>
      </c>
      <c r="B306" s="58" t="s">
        <v>176</v>
      </c>
      <c r="C306" s="58">
        <v>2</v>
      </c>
      <c r="D306" s="58">
        <v>105</v>
      </c>
      <c r="E306" s="59">
        <v>188.625</v>
      </c>
    </row>
    <row r="307" spans="1:5" ht="15" x14ac:dyDescent="0.35">
      <c r="A307" s="58" t="s">
        <v>297</v>
      </c>
      <c r="B307" s="58" t="s">
        <v>176</v>
      </c>
      <c r="C307" s="58">
        <v>3</v>
      </c>
      <c r="D307" s="58">
        <v>106</v>
      </c>
      <c r="E307" s="59">
        <v>188.625</v>
      </c>
    </row>
    <row r="308" spans="1:5" ht="15" x14ac:dyDescent="0.35">
      <c r="A308" s="58" t="s">
        <v>297</v>
      </c>
      <c r="B308" s="58" t="s">
        <v>176</v>
      </c>
      <c r="C308" s="58">
        <v>4</v>
      </c>
      <c r="D308" s="58">
        <v>107</v>
      </c>
      <c r="E308" s="59">
        <v>188.625</v>
      </c>
    </row>
    <row r="309" spans="1:5" ht="15" x14ac:dyDescent="0.35">
      <c r="A309" s="58" t="s">
        <v>297</v>
      </c>
      <c r="B309" s="58" t="s">
        <v>176</v>
      </c>
      <c r="C309" s="58">
        <v>5</v>
      </c>
      <c r="D309" s="58">
        <v>108</v>
      </c>
      <c r="E309" s="59">
        <v>188.625</v>
      </c>
    </row>
    <row r="310" spans="1:5" ht="15" x14ac:dyDescent="0.35">
      <c r="A310" s="58" t="s">
        <v>297</v>
      </c>
      <c r="B310" s="58" t="s">
        <v>176</v>
      </c>
      <c r="C310" s="58">
        <v>6</v>
      </c>
      <c r="D310" s="58">
        <v>109</v>
      </c>
      <c r="E310" s="59">
        <v>188.625</v>
      </c>
    </row>
    <row r="311" spans="1:5" ht="15" x14ac:dyDescent="0.35">
      <c r="A311" s="58" t="s">
        <v>297</v>
      </c>
      <c r="B311" s="58" t="s">
        <v>176</v>
      </c>
      <c r="C311" s="58">
        <v>7</v>
      </c>
      <c r="D311" s="58">
        <v>110</v>
      </c>
      <c r="E311" s="59">
        <v>188.625</v>
      </c>
    </row>
    <row r="312" spans="1:5" ht="15" x14ac:dyDescent="0.35">
      <c r="A312" s="58" t="s">
        <v>297</v>
      </c>
      <c r="B312" s="58" t="s">
        <v>176</v>
      </c>
      <c r="C312" s="58">
        <v>8</v>
      </c>
      <c r="D312" s="58">
        <v>111</v>
      </c>
      <c r="E312" s="59">
        <v>188.625</v>
      </c>
    </row>
    <row r="313" spans="1:5" ht="15" x14ac:dyDescent="0.35">
      <c r="A313" s="58" t="s">
        <v>297</v>
      </c>
      <c r="B313" s="58" t="s">
        <v>176</v>
      </c>
      <c r="C313" s="58">
        <v>9</v>
      </c>
      <c r="D313" s="58">
        <v>112</v>
      </c>
      <c r="E313" s="59">
        <v>188.625</v>
      </c>
    </row>
    <row r="314" spans="1:5" ht="15" x14ac:dyDescent="0.35">
      <c r="A314" s="58" t="s">
        <v>297</v>
      </c>
      <c r="B314" s="58" t="s">
        <v>176</v>
      </c>
      <c r="C314" s="58">
        <v>10</v>
      </c>
      <c r="D314" s="58">
        <v>113</v>
      </c>
      <c r="E314" s="59">
        <v>188.625</v>
      </c>
    </row>
    <row r="315" spans="1:5" ht="15" x14ac:dyDescent="0.35">
      <c r="A315" s="58" t="s">
        <v>297</v>
      </c>
      <c r="B315" s="58" t="s">
        <v>176</v>
      </c>
      <c r="C315" s="58">
        <v>11</v>
      </c>
      <c r="D315" s="58">
        <v>114</v>
      </c>
      <c r="E315" s="59">
        <v>188.625</v>
      </c>
    </row>
    <row r="316" spans="1:5" ht="15" x14ac:dyDescent="0.35">
      <c r="A316" s="58" t="s">
        <v>297</v>
      </c>
      <c r="B316" s="58" t="s">
        <v>176</v>
      </c>
      <c r="C316" s="58">
        <v>12</v>
      </c>
      <c r="D316" s="58">
        <v>115</v>
      </c>
      <c r="E316" s="59">
        <v>188.625</v>
      </c>
    </row>
    <row r="317" spans="1:5" ht="15" x14ac:dyDescent="0.35">
      <c r="A317" s="58" t="s">
        <v>297</v>
      </c>
      <c r="B317" s="58" t="s">
        <v>172</v>
      </c>
      <c r="C317" s="58">
        <v>1</v>
      </c>
      <c r="D317" s="58">
        <v>104</v>
      </c>
      <c r="E317" s="59">
        <v>50</v>
      </c>
    </row>
    <row r="318" spans="1:5" ht="15" x14ac:dyDescent="0.35">
      <c r="A318" s="58" t="s">
        <v>297</v>
      </c>
      <c r="B318" s="58" t="s">
        <v>172</v>
      </c>
      <c r="C318" s="58">
        <v>2</v>
      </c>
      <c r="D318" s="58">
        <v>105</v>
      </c>
      <c r="E318" s="59">
        <v>50</v>
      </c>
    </row>
    <row r="319" spans="1:5" ht="15" x14ac:dyDescent="0.35">
      <c r="A319" s="58" t="s">
        <v>297</v>
      </c>
      <c r="B319" s="58" t="s">
        <v>172</v>
      </c>
      <c r="C319" s="58">
        <v>3</v>
      </c>
      <c r="D319" s="58">
        <v>106</v>
      </c>
      <c r="E319" s="59">
        <v>50</v>
      </c>
    </row>
    <row r="320" spans="1:5" ht="15" x14ac:dyDescent="0.35">
      <c r="A320" s="58" t="s">
        <v>297</v>
      </c>
      <c r="B320" s="58" t="s">
        <v>172</v>
      </c>
      <c r="C320" s="58">
        <v>4</v>
      </c>
      <c r="D320" s="58">
        <v>107</v>
      </c>
      <c r="E320" s="59">
        <v>50</v>
      </c>
    </row>
    <row r="321" spans="1:5" ht="15" x14ac:dyDescent="0.35">
      <c r="A321" s="58" t="s">
        <v>297</v>
      </c>
      <c r="B321" s="58" t="s">
        <v>172</v>
      </c>
      <c r="C321" s="58">
        <v>5</v>
      </c>
      <c r="D321" s="58">
        <v>108</v>
      </c>
      <c r="E321" s="59">
        <v>50</v>
      </c>
    </row>
    <row r="322" spans="1:5" ht="15" x14ac:dyDescent="0.35">
      <c r="A322" s="58" t="s">
        <v>297</v>
      </c>
      <c r="B322" s="58" t="s">
        <v>172</v>
      </c>
      <c r="C322" s="58">
        <v>6</v>
      </c>
      <c r="D322" s="58">
        <v>109</v>
      </c>
      <c r="E322" s="59">
        <v>50</v>
      </c>
    </row>
    <row r="323" spans="1:5" ht="15" x14ac:dyDescent="0.35">
      <c r="A323" s="58" t="s">
        <v>297</v>
      </c>
      <c r="B323" s="58" t="s">
        <v>172</v>
      </c>
      <c r="C323" s="58">
        <v>7</v>
      </c>
      <c r="D323" s="58">
        <v>110</v>
      </c>
      <c r="E323" s="59">
        <v>50</v>
      </c>
    </row>
    <row r="324" spans="1:5" ht="15" x14ac:dyDescent="0.35">
      <c r="A324" s="58" t="s">
        <v>297</v>
      </c>
      <c r="B324" s="58" t="s">
        <v>172</v>
      </c>
      <c r="C324" s="58">
        <v>8</v>
      </c>
      <c r="D324" s="58">
        <v>111</v>
      </c>
      <c r="E324" s="59">
        <v>50</v>
      </c>
    </row>
    <row r="325" spans="1:5" ht="15" x14ac:dyDescent="0.35">
      <c r="A325" s="58" t="s">
        <v>297</v>
      </c>
      <c r="B325" s="58" t="s">
        <v>172</v>
      </c>
      <c r="C325" s="58">
        <v>9</v>
      </c>
      <c r="D325" s="58">
        <v>112</v>
      </c>
      <c r="E325" s="59">
        <v>50</v>
      </c>
    </row>
    <row r="326" spans="1:5" ht="15" x14ac:dyDescent="0.35">
      <c r="A326" s="58" t="s">
        <v>297</v>
      </c>
      <c r="B326" s="58" t="s">
        <v>172</v>
      </c>
      <c r="C326" s="58">
        <v>10</v>
      </c>
      <c r="D326" s="58">
        <v>113</v>
      </c>
      <c r="E326" s="59">
        <v>50</v>
      </c>
    </row>
    <row r="327" spans="1:5" ht="15" x14ac:dyDescent="0.35">
      <c r="A327" s="58" t="s">
        <v>297</v>
      </c>
      <c r="B327" s="58" t="s">
        <v>172</v>
      </c>
      <c r="C327" s="58">
        <v>11</v>
      </c>
      <c r="D327" s="58">
        <v>114</v>
      </c>
      <c r="E327" s="59">
        <v>50</v>
      </c>
    </row>
    <row r="328" spans="1:5" ht="15" x14ac:dyDescent="0.35">
      <c r="A328" s="58" t="s">
        <v>297</v>
      </c>
      <c r="B328" s="58" t="s">
        <v>172</v>
      </c>
      <c r="C328" s="58">
        <v>12</v>
      </c>
      <c r="D328" s="58">
        <v>115</v>
      </c>
      <c r="E328" s="59">
        <v>50</v>
      </c>
    </row>
    <row r="329" spans="1:5" ht="15" x14ac:dyDescent="0.35">
      <c r="A329" s="58" t="s">
        <v>297</v>
      </c>
      <c r="B329" s="58" t="s">
        <v>180</v>
      </c>
      <c r="C329" s="58">
        <v>1</v>
      </c>
      <c r="D329" s="58">
        <v>104</v>
      </c>
      <c r="E329" s="59">
        <v>197.40989999999999</v>
      </c>
    </row>
    <row r="330" spans="1:5" ht="15" x14ac:dyDescent="0.35">
      <c r="A330" s="58" t="s">
        <v>297</v>
      </c>
      <c r="B330" s="58" t="s">
        <v>180</v>
      </c>
      <c r="C330" s="58">
        <v>2</v>
      </c>
      <c r="D330" s="58">
        <v>105</v>
      </c>
      <c r="E330" s="59">
        <v>197.40989999999999</v>
      </c>
    </row>
    <row r="331" spans="1:5" ht="15" x14ac:dyDescent="0.35">
      <c r="A331" s="58" t="s">
        <v>297</v>
      </c>
      <c r="B331" s="58" t="s">
        <v>180</v>
      </c>
      <c r="C331" s="58">
        <v>3</v>
      </c>
      <c r="D331" s="58">
        <v>106</v>
      </c>
      <c r="E331" s="59">
        <v>197.40989999999999</v>
      </c>
    </row>
    <row r="332" spans="1:5" ht="15" x14ac:dyDescent="0.35">
      <c r="A332" s="58" t="s">
        <v>297</v>
      </c>
      <c r="B332" s="58" t="s">
        <v>180</v>
      </c>
      <c r="C332" s="58">
        <v>4</v>
      </c>
      <c r="D332" s="58">
        <v>107</v>
      </c>
      <c r="E332" s="59">
        <v>197.40989999999999</v>
      </c>
    </row>
    <row r="333" spans="1:5" ht="15" x14ac:dyDescent="0.35">
      <c r="A333" s="58" t="s">
        <v>297</v>
      </c>
      <c r="B333" s="58" t="s">
        <v>180</v>
      </c>
      <c r="C333" s="58">
        <v>5</v>
      </c>
      <c r="D333" s="58">
        <v>108</v>
      </c>
      <c r="E333" s="59">
        <v>197.40989999999999</v>
      </c>
    </row>
    <row r="334" spans="1:5" ht="15" x14ac:dyDescent="0.35">
      <c r="A334" s="58" t="s">
        <v>297</v>
      </c>
      <c r="B334" s="58" t="s">
        <v>180</v>
      </c>
      <c r="C334" s="58">
        <v>6</v>
      </c>
      <c r="D334" s="58">
        <v>109</v>
      </c>
      <c r="E334" s="59">
        <v>197.40989999999999</v>
      </c>
    </row>
    <row r="335" spans="1:5" ht="15" x14ac:dyDescent="0.35">
      <c r="A335" s="58" t="s">
        <v>297</v>
      </c>
      <c r="B335" s="58" t="s">
        <v>180</v>
      </c>
      <c r="C335" s="58">
        <v>7</v>
      </c>
      <c r="D335" s="58">
        <v>110</v>
      </c>
      <c r="E335" s="59">
        <v>197.40989999999999</v>
      </c>
    </row>
    <row r="336" spans="1:5" ht="15" x14ac:dyDescent="0.35">
      <c r="A336" s="58" t="s">
        <v>297</v>
      </c>
      <c r="B336" s="58" t="s">
        <v>180</v>
      </c>
      <c r="C336" s="58">
        <v>8</v>
      </c>
      <c r="D336" s="58">
        <v>111</v>
      </c>
      <c r="E336" s="59">
        <v>197.40989999999999</v>
      </c>
    </row>
    <row r="337" spans="1:5" ht="15" x14ac:dyDescent="0.35">
      <c r="A337" s="58" t="s">
        <v>297</v>
      </c>
      <c r="B337" s="58" t="s">
        <v>180</v>
      </c>
      <c r="C337" s="58">
        <v>9</v>
      </c>
      <c r="D337" s="58">
        <v>112</v>
      </c>
      <c r="E337" s="59">
        <v>197.40989999999999</v>
      </c>
    </row>
    <row r="338" spans="1:5" ht="15" x14ac:dyDescent="0.35">
      <c r="A338" s="58" t="s">
        <v>297</v>
      </c>
      <c r="B338" s="58" t="s">
        <v>180</v>
      </c>
      <c r="C338" s="58">
        <v>10</v>
      </c>
      <c r="D338" s="58">
        <v>113</v>
      </c>
      <c r="E338" s="59">
        <v>197.40989999999999</v>
      </c>
    </row>
    <row r="339" spans="1:5" ht="15" x14ac:dyDescent="0.35">
      <c r="A339" s="58" t="s">
        <v>297</v>
      </c>
      <c r="B339" s="58" t="s">
        <v>180</v>
      </c>
      <c r="C339" s="58">
        <v>11</v>
      </c>
      <c r="D339" s="58">
        <v>114</v>
      </c>
      <c r="E339" s="59">
        <v>197.40989999999999</v>
      </c>
    </row>
    <row r="340" spans="1:5" ht="15" x14ac:dyDescent="0.35">
      <c r="A340" s="58" t="s">
        <v>297</v>
      </c>
      <c r="B340" s="58" t="s">
        <v>180</v>
      </c>
      <c r="C340" s="58">
        <v>12</v>
      </c>
      <c r="D340" s="58">
        <v>115</v>
      </c>
      <c r="E340" s="59">
        <v>197.40989999999999</v>
      </c>
    </row>
    <row r="341" spans="1:5" ht="15" x14ac:dyDescent="0.35">
      <c r="A341" s="58" t="s">
        <v>330</v>
      </c>
      <c r="B341" s="58" t="s">
        <v>182</v>
      </c>
      <c r="C341" s="58">
        <v>1</v>
      </c>
      <c r="D341" s="58">
        <v>104</v>
      </c>
      <c r="E341" s="59">
        <v>238.25020000000001</v>
      </c>
    </row>
    <row r="342" spans="1:5" ht="15" x14ac:dyDescent="0.35">
      <c r="A342" s="58" t="s">
        <v>330</v>
      </c>
      <c r="B342" s="58" t="s">
        <v>182</v>
      </c>
      <c r="C342" s="58">
        <v>2</v>
      </c>
      <c r="D342" s="58">
        <v>105</v>
      </c>
      <c r="E342" s="59">
        <v>107.8724</v>
      </c>
    </row>
    <row r="343" spans="1:5" ht="15" x14ac:dyDescent="0.35">
      <c r="A343" s="58" t="s">
        <v>330</v>
      </c>
      <c r="B343" s="58" t="s">
        <v>182</v>
      </c>
      <c r="C343" s="58">
        <v>3</v>
      </c>
      <c r="D343" s="58">
        <v>106</v>
      </c>
      <c r="E343" s="59">
        <v>103.47239999999999</v>
      </c>
    </row>
    <row r="344" spans="1:5" ht="15" x14ac:dyDescent="0.35">
      <c r="A344" s="58" t="s">
        <v>330</v>
      </c>
      <c r="B344" s="58" t="s">
        <v>182</v>
      </c>
      <c r="C344" s="58">
        <v>4</v>
      </c>
      <c r="D344" s="58">
        <v>107</v>
      </c>
      <c r="E344" s="59">
        <v>131.90100000000001</v>
      </c>
    </row>
    <row r="345" spans="1:5" ht="15" x14ac:dyDescent="0.35">
      <c r="A345" s="58" t="s">
        <v>330</v>
      </c>
      <c r="B345" s="58" t="s">
        <v>182</v>
      </c>
      <c r="C345" s="58">
        <v>5</v>
      </c>
      <c r="D345" s="58">
        <v>108</v>
      </c>
      <c r="E345" s="59">
        <v>167.47239999999999</v>
      </c>
    </row>
    <row r="346" spans="1:5" ht="15" x14ac:dyDescent="0.35">
      <c r="A346" s="58" t="s">
        <v>330</v>
      </c>
      <c r="B346" s="58" t="s">
        <v>182</v>
      </c>
      <c r="C346" s="58">
        <v>6</v>
      </c>
      <c r="D346" s="58">
        <v>109</v>
      </c>
      <c r="E346" s="59">
        <v>170.69470000000001</v>
      </c>
    </row>
    <row r="347" spans="1:5" ht="15" x14ac:dyDescent="0.35">
      <c r="A347" s="58" t="s">
        <v>330</v>
      </c>
      <c r="B347" s="58" t="s">
        <v>182</v>
      </c>
      <c r="C347" s="58">
        <v>7</v>
      </c>
      <c r="D347" s="58">
        <v>110</v>
      </c>
      <c r="E347" s="59">
        <v>167.47239999999999</v>
      </c>
    </row>
    <row r="348" spans="1:5" ht="15" x14ac:dyDescent="0.35">
      <c r="A348" s="58" t="s">
        <v>330</v>
      </c>
      <c r="B348" s="58" t="s">
        <v>182</v>
      </c>
      <c r="C348" s="58">
        <v>8</v>
      </c>
      <c r="D348" s="58">
        <v>111</v>
      </c>
      <c r="E348" s="59">
        <v>155.8058</v>
      </c>
    </row>
    <row r="349" spans="1:5" ht="15" x14ac:dyDescent="0.35">
      <c r="A349" s="58" t="s">
        <v>330</v>
      </c>
      <c r="B349" s="58" t="s">
        <v>182</v>
      </c>
      <c r="C349" s="58">
        <v>9</v>
      </c>
      <c r="D349" s="58">
        <v>112</v>
      </c>
      <c r="E349" s="59">
        <v>163.58359999999999</v>
      </c>
    </row>
    <row r="350" spans="1:5" ht="15" x14ac:dyDescent="0.35">
      <c r="A350" s="58" t="s">
        <v>330</v>
      </c>
      <c r="B350" s="58" t="s">
        <v>182</v>
      </c>
      <c r="C350" s="58">
        <v>10</v>
      </c>
      <c r="D350" s="58">
        <v>113</v>
      </c>
      <c r="E350" s="59">
        <v>171.8058</v>
      </c>
    </row>
    <row r="351" spans="1:5" ht="15" x14ac:dyDescent="0.35">
      <c r="A351" s="58" t="s">
        <v>330</v>
      </c>
      <c r="B351" s="58" t="s">
        <v>182</v>
      </c>
      <c r="C351" s="58">
        <v>11</v>
      </c>
      <c r="D351" s="58">
        <v>114</v>
      </c>
      <c r="E351" s="59">
        <v>201.58359999999999</v>
      </c>
    </row>
    <row r="352" spans="1:5" ht="15" x14ac:dyDescent="0.35">
      <c r="A352" s="58" t="s">
        <v>330</v>
      </c>
      <c r="B352" s="58" t="s">
        <v>182</v>
      </c>
      <c r="C352" s="58">
        <v>12</v>
      </c>
      <c r="D352" s="58">
        <v>115</v>
      </c>
      <c r="E352" s="59">
        <v>209.25020000000001</v>
      </c>
    </row>
    <row r="353" spans="1:5" ht="15" x14ac:dyDescent="0.35">
      <c r="A353" s="58" t="s">
        <v>330</v>
      </c>
      <c r="B353" s="58" t="s">
        <v>176</v>
      </c>
      <c r="C353" s="58">
        <v>1</v>
      </c>
      <c r="D353" s="58">
        <v>104</v>
      </c>
      <c r="E353" s="59">
        <v>227.625</v>
      </c>
    </row>
    <row r="354" spans="1:5" ht="15" x14ac:dyDescent="0.35">
      <c r="A354" s="58" t="s">
        <v>330</v>
      </c>
      <c r="B354" s="58" t="s">
        <v>176</v>
      </c>
      <c r="C354" s="58">
        <v>2</v>
      </c>
      <c r="D354" s="58">
        <v>105</v>
      </c>
      <c r="E354" s="59">
        <v>227.625</v>
      </c>
    </row>
    <row r="355" spans="1:5" ht="15" x14ac:dyDescent="0.35">
      <c r="A355" s="58" t="s">
        <v>330</v>
      </c>
      <c r="B355" s="58" t="s">
        <v>176</v>
      </c>
      <c r="C355" s="58">
        <v>3</v>
      </c>
      <c r="D355" s="58">
        <v>106</v>
      </c>
      <c r="E355" s="59">
        <v>227.625</v>
      </c>
    </row>
    <row r="356" spans="1:5" ht="15" x14ac:dyDescent="0.35">
      <c r="A356" s="58" t="s">
        <v>330</v>
      </c>
      <c r="B356" s="58" t="s">
        <v>176</v>
      </c>
      <c r="C356" s="58">
        <v>4</v>
      </c>
      <c r="D356" s="58">
        <v>107</v>
      </c>
      <c r="E356" s="59">
        <v>227.625</v>
      </c>
    </row>
    <row r="357" spans="1:5" ht="15" x14ac:dyDescent="0.35">
      <c r="A357" s="58" t="s">
        <v>330</v>
      </c>
      <c r="B357" s="58" t="s">
        <v>176</v>
      </c>
      <c r="C357" s="58">
        <v>5</v>
      </c>
      <c r="D357" s="58">
        <v>108</v>
      </c>
      <c r="E357" s="59">
        <v>227.625</v>
      </c>
    </row>
    <row r="358" spans="1:5" ht="15" x14ac:dyDescent="0.35">
      <c r="A358" s="58" t="s">
        <v>330</v>
      </c>
      <c r="B358" s="58" t="s">
        <v>176</v>
      </c>
      <c r="C358" s="58">
        <v>6</v>
      </c>
      <c r="D358" s="58">
        <v>109</v>
      </c>
      <c r="E358" s="59">
        <v>227.625</v>
      </c>
    </row>
    <row r="359" spans="1:5" ht="15" x14ac:dyDescent="0.35">
      <c r="A359" s="58" t="s">
        <v>330</v>
      </c>
      <c r="B359" s="58" t="s">
        <v>176</v>
      </c>
      <c r="C359" s="58">
        <v>7</v>
      </c>
      <c r="D359" s="58">
        <v>110</v>
      </c>
      <c r="E359" s="59">
        <v>227.625</v>
      </c>
    </row>
    <row r="360" spans="1:5" ht="15" x14ac:dyDescent="0.35">
      <c r="A360" s="58" t="s">
        <v>330</v>
      </c>
      <c r="B360" s="58" t="s">
        <v>176</v>
      </c>
      <c r="C360" s="58">
        <v>8</v>
      </c>
      <c r="D360" s="58">
        <v>111</v>
      </c>
      <c r="E360" s="59">
        <v>227.625</v>
      </c>
    </row>
    <row r="361" spans="1:5" ht="15" x14ac:dyDescent="0.35">
      <c r="A361" s="58" t="s">
        <v>330</v>
      </c>
      <c r="B361" s="58" t="s">
        <v>176</v>
      </c>
      <c r="C361" s="58">
        <v>9</v>
      </c>
      <c r="D361" s="58">
        <v>112</v>
      </c>
      <c r="E361" s="59">
        <v>227.625</v>
      </c>
    </row>
    <row r="362" spans="1:5" ht="15" x14ac:dyDescent="0.35">
      <c r="A362" s="58" t="s">
        <v>330</v>
      </c>
      <c r="B362" s="58" t="s">
        <v>176</v>
      </c>
      <c r="C362" s="58">
        <v>10</v>
      </c>
      <c r="D362" s="58">
        <v>113</v>
      </c>
      <c r="E362" s="59">
        <v>227.625</v>
      </c>
    </row>
    <row r="363" spans="1:5" ht="15" x14ac:dyDescent="0.35">
      <c r="A363" s="58" t="s">
        <v>330</v>
      </c>
      <c r="B363" s="58" t="s">
        <v>176</v>
      </c>
      <c r="C363" s="58">
        <v>11</v>
      </c>
      <c r="D363" s="58">
        <v>114</v>
      </c>
      <c r="E363" s="59">
        <v>227.625</v>
      </c>
    </row>
    <row r="364" spans="1:5" ht="15" x14ac:dyDescent="0.35">
      <c r="A364" s="58" t="s">
        <v>330</v>
      </c>
      <c r="B364" s="58" t="s">
        <v>176</v>
      </c>
      <c r="C364" s="58">
        <v>12</v>
      </c>
      <c r="D364" s="58">
        <v>115</v>
      </c>
      <c r="E364" s="59">
        <v>227.625</v>
      </c>
    </row>
    <row r="365" spans="1:5" ht="15" x14ac:dyDescent="0.35">
      <c r="A365" s="58" t="s">
        <v>330</v>
      </c>
      <c r="B365" s="58" t="s">
        <v>172</v>
      </c>
      <c r="C365" s="58">
        <v>1</v>
      </c>
      <c r="D365" s="58">
        <v>104</v>
      </c>
      <c r="E365" s="59">
        <v>231</v>
      </c>
    </row>
    <row r="366" spans="1:5" ht="15" x14ac:dyDescent="0.35">
      <c r="A366" s="58" t="s">
        <v>330</v>
      </c>
      <c r="B366" s="58" t="s">
        <v>172</v>
      </c>
      <c r="C366" s="58">
        <v>2</v>
      </c>
      <c r="D366" s="58">
        <v>105</v>
      </c>
      <c r="E366" s="59">
        <v>231</v>
      </c>
    </row>
    <row r="367" spans="1:5" ht="15" x14ac:dyDescent="0.35">
      <c r="A367" s="58" t="s">
        <v>330</v>
      </c>
      <c r="B367" s="58" t="s">
        <v>172</v>
      </c>
      <c r="C367" s="58">
        <v>3</v>
      </c>
      <c r="D367" s="58">
        <v>106</v>
      </c>
      <c r="E367" s="59">
        <v>231</v>
      </c>
    </row>
    <row r="368" spans="1:5" ht="15" x14ac:dyDescent="0.35">
      <c r="A368" s="58" t="s">
        <v>330</v>
      </c>
      <c r="B368" s="58" t="s">
        <v>172</v>
      </c>
      <c r="C368" s="58">
        <v>4</v>
      </c>
      <c r="D368" s="58">
        <v>107</v>
      </c>
      <c r="E368" s="59">
        <v>231</v>
      </c>
    </row>
    <row r="369" spans="1:5" ht="15" x14ac:dyDescent="0.35">
      <c r="A369" s="58" t="s">
        <v>330</v>
      </c>
      <c r="B369" s="58" t="s">
        <v>172</v>
      </c>
      <c r="C369" s="58">
        <v>5</v>
      </c>
      <c r="D369" s="58">
        <v>108</v>
      </c>
      <c r="E369" s="59">
        <v>231</v>
      </c>
    </row>
    <row r="370" spans="1:5" ht="15" x14ac:dyDescent="0.35">
      <c r="A370" s="58" t="s">
        <v>330</v>
      </c>
      <c r="B370" s="58" t="s">
        <v>172</v>
      </c>
      <c r="C370" s="58">
        <v>6</v>
      </c>
      <c r="D370" s="58">
        <v>109</v>
      </c>
      <c r="E370" s="59">
        <v>231</v>
      </c>
    </row>
    <row r="371" spans="1:5" ht="15" x14ac:dyDescent="0.35">
      <c r="A371" s="58" t="s">
        <v>330</v>
      </c>
      <c r="B371" s="58" t="s">
        <v>172</v>
      </c>
      <c r="C371" s="58">
        <v>7</v>
      </c>
      <c r="D371" s="58">
        <v>110</v>
      </c>
      <c r="E371" s="59">
        <v>231</v>
      </c>
    </row>
    <row r="372" spans="1:5" ht="15" x14ac:dyDescent="0.35">
      <c r="A372" s="58" t="s">
        <v>330</v>
      </c>
      <c r="B372" s="58" t="s">
        <v>172</v>
      </c>
      <c r="C372" s="58">
        <v>8</v>
      </c>
      <c r="D372" s="58">
        <v>111</v>
      </c>
      <c r="E372" s="59">
        <v>231</v>
      </c>
    </row>
    <row r="373" spans="1:5" ht="15" x14ac:dyDescent="0.35">
      <c r="A373" s="58" t="s">
        <v>330</v>
      </c>
      <c r="B373" s="58" t="s">
        <v>172</v>
      </c>
      <c r="C373" s="58">
        <v>9</v>
      </c>
      <c r="D373" s="58">
        <v>112</v>
      </c>
      <c r="E373" s="59">
        <v>231</v>
      </c>
    </row>
    <row r="374" spans="1:5" ht="15" x14ac:dyDescent="0.35">
      <c r="A374" s="58" t="s">
        <v>330</v>
      </c>
      <c r="B374" s="58" t="s">
        <v>172</v>
      </c>
      <c r="C374" s="58">
        <v>10</v>
      </c>
      <c r="D374" s="58">
        <v>113</v>
      </c>
      <c r="E374" s="59">
        <v>231</v>
      </c>
    </row>
    <row r="375" spans="1:5" ht="15" x14ac:dyDescent="0.35">
      <c r="A375" s="58" t="s">
        <v>330</v>
      </c>
      <c r="B375" s="58" t="s">
        <v>172</v>
      </c>
      <c r="C375" s="58">
        <v>11</v>
      </c>
      <c r="D375" s="58">
        <v>114</v>
      </c>
      <c r="E375" s="59">
        <v>231</v>
      </c>
    </row>
    <row r="376" spans="1:5" ht="15" x14ac:dyDescent="0.35">
      <c r="A376" s="58" t="s">
        <v>330</v>
      </c>
      <c r="B376" s="58" t="s">
        <v>172</v>
      </c>
      <c r="C376" s="58">
        <v>12</v>
      </c>
      <c r="D376" s="58">
        <v>115</v>
      </c>
      <c r="E376" s="59">
        <v>231</v>
      </c>
    </row>
    <row r="377" spans="1:5" ht="15" x14ac:dyDescent="0.35">
      <c r="A377" s="58" t="s">
        <v>330</v>
      </c>
      <c r="B377" s="58" t="s">
        <v>180</v>
      </c>
      <c r="C377" s="58">
        <v>1</v>
      </c>
      <c r="D377" s="58">
        <v>104</v>
      </c>
      <c r="E377" s="59">
        <v>241.39869999999999</v>
      </c>
    </row>
    <row r="378" spans="1:5" ht="15" x14ac:dyDescent="0.35">
      <c r="A378" s="58" t="s">
        <v>330</v>
      </c>
      <c r="B378" s="58" t="s">
        <v>180</v>
      </c>
      <c r="C378" s="58">
        <v>2</v>
      </c>
      <c r="D378" s="58">
        <v>105</v>
      </c>
      <c r="E378" s="59">
        <v>241.39869999999999</v>
      </c>
    </row>
    <row r="379" spans="1:5" ht="15" x14ac:dyDescent="0.35">
      <c r="A379" s="58" t="s">
        <v>330</v>
      </c>
      <c r="B379" s="58" t="s">
        <v>180</v>
      </c>
      <c r="C379" s="58">
        <v>3</v>
      </c>
      <c r="D379" s="58">
        <v>106</v>
      </c>
      <c r="E379" s="59">
        <v>241.39869999999999</v>
      </c>
    </row>
    <row r="380" spans="1:5" ht="15" x14ac:dyDescent="0.35">
      <c r="A380" s="58" t="s">
        <v>330</v>
      </c>
      <c r="B380" s="58" t="s">
        <v>180</v>
      </c>
      <c r="C380" s="58">
        <v>4</v>
      </c>
      <c r="D380" s="58">
        <v>107</v>
      </c>
      <c r="E380" s="59">
        <v>241.39869999999999</v>
      </c>
    </row>
    <row r="381" spans="1:5" ht="15" x14ac:dyDescent="0.35">
      <c r="A381" s="58" t="s">
        <v>330</v>
      </c>
      <c r="B381" s="58" t="s">
        <v>180</v>
      </c>
      <c r="C381" s="58">
        <v>5</v>
      </c>
      <c r="D381" s="58">
        <v>108</v>
      </c>
      <c r="E381" s="59">
        <v>241.39869999999999</v>
      </c>
    </row>
    <row r="382" spans="1:5" ht="15" x14ac:dyDescent="0.35">
      <c r="A382" s="58" t="s">
        <v>330</v>
      </c>
      <c r="B382" s="58" t="s">
        <v>180</v>
      </c>
      <c r="C382" s="58">
        <v>6</v>
      </c>
      <c r="D382" s="58">
        <v>109</v>
      </c>
      <c r="E382" s="59">
        <v>241.39869999999999</v>
      </c>
    </row>
    <row r="383" spans="1:5" ht="15" x14ac:dyDescent="0.35">
      <c r="A383" s="58" t="s">
        <v>330</v>
      </c>
      <c r="B383" s="58" t="s">
        <v>180</v>
      </c>
      <c r="C383" s="58">
        <v>7</v>
      </c>
      <c r="D383" s="58">
        <v>110</v>
      </c>
      <c r="E383" s="59">
        <v>241.39869999999999</v>
      </c>
    </row>
    <row r="384" spans="1:5" ht="15" x14ac:dyDescent="0.35">
      <c r="A384" s="58" t="s">
        <v>330</v>
      </c>
      <c r="B384" s="58" t="s">
        <v>180</v>
      </c>
      <c r="C384" s="58">
        <v>8</v>
      </c>
      <c r="D384" s="58">
        <v>111</v>
      </c>
      <c r="E384" s="59">
        <v>241.39869999999999</v>
      </c>
    </row>
    <row r="385" spans="1:5" ht="15" x14ac:dyDescent="0.35">
      <c r="A385" s="58" t="s">
        <v>330</v>
      </c>
      <c r="B385" s="58" t="s">
        <v>180</v>
      </c>
      <c r="C385" s="58">
        <v>9</v>
      </c>
      <c r="D385" s="58">
        <v>112</v>
      </c>
      <c r="E385" s="59">
        <v>241.39869999999999</v>
      </c>
    </row>
    <row r="386" spans="1:5" ht="15" x14ac:dyDescent="0.35">
      <c r="A386" s="58" t="s">
        <v>330</v>
      </c>
      <c r="B386" s="58" t="s">
        <v>180</v>
      </c>
      <c r="C386" s="58">
        <v>10</v>
      </c>
      <c r="D386" s="58">
        <v>113</v>
      </c>
      <c r="E386" s="59">
        <v>241.39869999999999</v>
      </c>
    </row>
    <row r="387" spans="1:5" ht="15" x14ac:dyDescent="0.35">
      <c r="A387" s="58" t="s">
        <v>330</v>
      </c>
      <c r="B387" s="58" t="s">
        <v>180</v>
      </c>
      <c r="C387" s="58">
        <v>11</v>
      </c>
      <c r="D387" s="58">
        <v>114</v>
      </c>
      <c r="E387" s="59">
        <v>241.39869999999999</v>
      </c>
    </row>
    <row r="388" spans="1:5" ht="15" x14ac:dyDescent="0.35">
      <c r="A388" s="58" t="s">
        <v>330</v>
      </c>
      <c r="B388" s="58" t="s">
        <v>180</v>
      </c>
      <c r="C388" s="58">
        <v>12</v>
      </c>
      <c r="D388" s="58">
        <v>115</v>
      </c>
      <c r="E388" s="59">
        <v>241.39869999999999</v>
      </c>
    </row>
    <row r="389" spans="1:5" ht="15" x14ac:dyDescent="0.35">
      <c r="A389" s="58" t="s">
        <v>369</v>
      </c>
      <c r="B389" s="58" t="s">
        <v>182</v>
      </c>
      <c r="C389" s="58">
        <v>1</v>
      </c>
      <c r="D389" s="58">
        <v>104</v>
      </c>
      <c r="E389" s="59">
        <v>192.24109999999999</v>
      </c>
    </row>
    <row r="390" spans="1:5" ht="15" x14ac:dyDescent="0.35">
      <c r="A390" s="58" t="s">
        <v>369</v>
      </c>
      <c r="B390" s="58" t="s">
        <v>182</v>
      </c>
      <c r="C390" s="58">
        <v>2</v>
      </c>
      <c r="D390" s="58">
        <v>105</v>
      </c>
      <c r="E390" s="59">
        <v>106.68559999999999</v>
      </c>
    </row>
    <row r="391" spans="1:5" ht="15" x14ac:dyDescent="0.35">
      <c r="A391" s="58" t="s">
        <v>369</v>
      </c>
      <c r="B391" s="58" t="s">
        <v>182</v>
      </c>
      <c r="C391" s="58">
        <v>3</v>
      </c>
      <c r="D391" s="58">
        <v>106</v>
      </c>
      <c r="E391" s="59">
        <v>119.3522</v>
      </c>
    </row>
    <row r="392" spans="1:5" ht="15" x14ac:dyDescent="0.35">
      <c r="A392" s="58" t="s">
        <v>369</v>
      </c>
      <c r="B392" s="58" t="s">
        <v>182</v>
      </c>
      <c r="C392" s="58">
        <v>4</v>
      </c>
      <c r="D392" s="58">
        <v>107</v>
      </c>
      <c r="E392" s="59">
        <v>111.9713</v>
      </c>
    </row>
    <row r="393" spans="1:5" ht="15" x14ac:dyDescent="0.35">
      <c r="A393" s="58" t="s">
        <v>369</v>
      </c>
      <c r="B393" s="58" t="s">
        <v>182</v>
      </c>
      <c r="C393" s="58">
        <v>5</v>
      </c>
      <c r="D393" s="58">
        <v>108</v>
      </c>
      <c r="E393" s="59">
        <v>126.31059999999999</v>
      </c>
    </row>
    <row r="394" spans="1:5" ht="15" x14ac:dyDescent="0.35">
      <c r="A394" s="58" t="s">
        <v>369</v>
      </c>
      <c r="B394" s="58" t="s">
        <v>182</v>
      </c>
      <c r="C394" s="58">
        <v>6</v>
      </c>
      <c r="D394" s="58">
        <v>109</v>
      </c>
      <c r="E394" s="59">
        <v>120.2411</v>
      </c>
    </row>
    <row r="395" spans="1:5" ht="15" x14ac:dyDescent="0.35">
      <c r="A395" s="58" t="s">
        <v>369</v>
      </c>
      <c r="B395" s="58" t="s">
        <v>182</v>
      </c>
      <c r="C395" s="58">
        <v>7</v>
      </c>
      <c r="D395" s="58">
        <v>110</v>
      </c>
      <c r="E395" s="59">
        <v>98.13</v>
      </c>
    </row>
    <row r="396" spans="1:5" ht="15" x14ac:dyDescent="0.35">
      <c r="A396" s="58" t="s">
        <v>369</v>
      </c>
      <c r="B396" s="58" t="s">
        <v>182</v>
      </c>
      <c r="C396" s="58">
        <v>8</v>
      </c>
      <c r="D396" s="58">
        <v>111</v>
      </c>
      <c r="E396" s="59">
        <v>103.3522</v>
      </c>
    </row>
    <row r="397" spans="1:5" ht="15" x14ac:dyDescent="0.35">
      <c r="A397" s="58" t="s">
        <v>369</v>
      </c>
      <c r="B397" s="58" t="s">
        <v>182</v>
      </c>
      <c r="C397" s="58">
        <v>9</v>
      </c>
      <c r="D397" s="58">
        <v>112</v>
      </c>
      <c r="E397" s="59">
        <v>112.90779999999999</v>
      </c>
    </row>
    <row r="398" spans="1:5" ht="15" x14ac:dyDescent="0.35">
      <c r="A398" s="58" t="s">
        <v>369</v>
      </c>
      <c r="B398" s="58" t="s">
        <v>182</v>
      </c>
      <c r="C398" s="58">
        <v>10</v>
      </c>
      <c r="D398" s="58">
        <v>113</v>
      </c>
      <c r="E398" s="59">
        <v>121.46339999999999</v>
      </c>
    </row>
    <row r="399" spans="1:5" ht="15" x14ac:dyDescent="0.35">
      <c r="A399" s="58" t="s">
        <v>369</v>
      </c>
      <c r="B399" s="58" t="s">
        <v>182</v>
      </c>
      <c r="C399" s="58">
        <v>11</v>
      </c>
      <c r="D399" s="58">
        <v>114</v>
      </c>
      <c r="E399" s="59">
        <v>126.7967</v>
      </c>
    </row>
    <row r="400" spans="1:5" ht="15" x14ac:dyDescent="0.35">
      <c r="A400" s="58" t="s">
        <v>369</v>
      </c>
      <c r="B400" s="58" t="s">
        <v>182</v>
      </c>
      <c r="C400" s="58">
        <v>12</v>
      </c>
      <c r="D400" s="58">
        <v>115</v>
      </c>
      <c r="E400" s="59">
        <v>133.5745</v>
      </c>
    </row>
    <row r="401" spans="1:5" ht="15" x14ac:dyDescent="0.35">
      <c r="A401" s="58" t="s">
        <v>369</v>
      </c>
      <c r="B401" s="58" t="s">
        <v>176</v>
      </c>
      <c r="C401" s="58">
        <v>1</v>
      </c>
      <c r="D401" s="58">
        <v>104</v>
      </c>
      <c r="E401" s="59">
        <v>179.25</v>
      </c>
    </row>
    <row r="402" spans="1:5" ht="15" x14ac:dyDescent="0.35">
      <c r="A402" s="58" t="s">
        <v>369</v>
      </c>
      <c r="B402" s="58" t="s">
        <v>176</v>
      </c>
      <c r="C402" s="58">
        <v>2</v>
      </c>
      <c r="D402" s="58">
        <v>105</v>
      </c>
      <c r="E402" s="59">
        <v>179.25</v>
      </c>
    </row>
    <row r="403" spans="1:5" ht="15" x14ac:dyDescent="0.35">
      <c r="A403" s="58" t="s">
        <v>369</v>
      </c>
      <c r="B403" s="58" t="s">
        <v>176</v>
      </c>
      <c r="C403" s="58">
        <v>3</v>
      </c>
      <c r="D403" s="58">
        <v>106</v>
      </c>
      <c r="E403" s="59">
        <v>179.25</v>
      </c>
    </row>
    <row r="404" spans="1:5" ht="15" x14ac:dyDescent="0.35">
      <c r="A404" s="58" t="s">
        <v>369</v>
      </c>
      <c r="B404" s="58" t="s">
        <v>176</v>
      </c>
      <c r="C404" s="58">
        <v>4</v>
      </c>
      <c r="D404" s="58">
        <v>107</v>
      </c>
      <c r="E404" s="59">
        <v>179.25</v>
      </c>
    </row>
    <row r="405" spans="1:5" ht="15" x14ac:dyDescent="0.35">
      <c r="A405" s="58" t="s">
        <v>369</v>
      </c>
      <c r="B405" s="58" t="s">
        <v>176</v>
      </c>
      <c r="C405" s="58">
        <v>5</v>
      </c>
      <c r="D405" s="58">
        <v>108</v>
      </c>
      <c r="E405" s="59">
        <v>179.25</v>
      </c>
    </row>
    <row r="406" spans="1:5" ht="15" x14ac:dyDescent="0.35">
      <c r="A406" s="58" t="s">
        <v>369</v>
      </c>
      <c r="B406" s="58" t="s">
        <v>176</v>
      </c>
      <c r="C406" s="58">
        <v>6</v>
      </c>
      <c r="D406" s="58">
        <v>109</v>
      </c>
      <c r="E406" s="59">
        <v>179.25</v>
      </c>
    </row>
    <row r="407" spans="1:5" ht="15" x14ac:dyDescent="0.35">
      <c r="A407" s="58" t="s">
        <v>369</v>
      </c>
      <c r="B407" s="58" t="s">
        <v>176</v>
      </c>
      <c r="C407" s="58">
        <v>7</v>
      </c>
      <c r="D407" s="58">
        <v>110</v>
      </c>
      <c r="E407" s="59">
        <v>179.25</v>
      </c>
    </row>
    <row r="408" spans="1:5" ht="15" x14ac:dyDescent="0.35">
      <c r="A408" s="58" t="s">
        <v>369</v>
      </c>
      <c r="B408" s="58" t="s">
        <v>176</v>
      </c>
      <c r="C408" s="58">
        <v>8</v>
      </c>
      <c r="D408" s="58">
        <v>111</v>
      </c>
      <c r="E408" s="59">
        <v>179.25</v>
      </c>
    </row>
    <row r="409" spans="1:5" ht="15" x14ac:dyDescent="0.35">
      <c r="A409" s="58" t="s">
        <v>369</v>
      </c>
      <c r="B409" s="58" t="s">
        <v>176</v>
      </c>
      <c r="C409" s="58">
        <v>9</v>
      </c>
      <c r="D409" s="58">
        <v>112</v>
      </c>
      <c r="E409" s="59">
        <v>179.25</v>
      </c>
    </row>
    <row r="410" spans="1:5" ht="15" x14ac:dyDescent="0.35">
      <c r="A410" s="58" t="s">
        <v>369</v>
      </c>
      <c r="B410" s="58" t="s">
        <v>176</v>
      </c>
      <c r="C410" s="58">
        <v>10</v>
      </c>
      <c r="D410" s="58">
        <v>113</v>
      </c>
      <c r="E410" s="59">
        <v>179.25</v>
      </c>
    </row>
    <row r="411" spans="1:5" ht="15" x14ac:dyDescent="0.35">
      <c r="A411" s="58" t="s">
        <v>369</v>
      </c>
      <c r="B411" s="58" t="s">
        <v>176</v>
      </c>
      <c r="C411" s="58">
        <v>11</v>
      </c>
      <c r="D411" s="58">
        <v>114</v>
      </c>
      <c r="E411" s="59">
        <v>179.25</v>
      </c>
    </row>
    <row r="412" spans="1:5" ht="15" x14ac:dyDescent="0.35">
      <c r="A412" s="58" t="s">
        <v>369</v>
      </c>
      <c r="B412" s="58" t="s">
        <v>176</v>
      </c>
      <c r="C412" s="58">
        <v>12</v>
      </c>
      <c r="D412" s="58">
        <v>115</v>
      </c>
      <c r="E412" s="59">
        <v>179.25</v>
      </c>
    </row>
    <row r="413" spans="1:5" ht="15" x14ac:dyDescent="0.35">
      <c r="A413" s="58" t="s">
        <v>369</v>
      </c>
      <c r="B413" s="58" t="s">
        <v>172</v>
      </c>
      <c r="C413" s="58">
        <v>1</v>
      </c>
      <c r="D413" s="58">
        <v>104</v>
      </c>
      <c r="E413" s="59">
        <v>343</v>
      </c>
    </row>
    <row r="414" spans="1:5" ht="15" x14ac:dyDescent="0.35">
      <c r="A414" s="58" t="s">
        <v>369</v>
      </c>
      <c r="B414" s="58" t="s">
        <v>172</v>
      </c>
      <c r="C414" s="58">
        <v>2</v>
      </c>
      <c r="D414" s="58">
        <v>105</v>
      </c>
      <c r="E414" s="59">
        <v>343</v>
      </c>
    </row>
    <row r="415" spans="1:5" ht="15" x14ac:dyDescent="0.35">
      <c r="A415" s="58" t="s">
        <v>369</v>
      </c>
      <c r="B415" s="58" t="s">
        <v>172</v>
      </c>
      <c r="C415" s="58">
        <v>3</v>
      </c>
      <c r="D415" s="58">
        <v>106</v>
      </c>
      <c r="E415" s="59">
        <v>343</v>
      </c>
    </row>
    <row r="416" spans="1:5" ht="15" x14ac:dyDescent="0.35">
      <c r="A416" s="58" t="s">
        <v>369</v>
      </c>
      <c r="B416" s="58" t="s">
        <v>172</v>
      </c>
      <c r="C416" s="58">
        <v>4</v>
      </c>
      <c r="D416" s="58">
        <v>107</v>
      </c>
      <c r="E416" s="59">
        <v>343</v>
      </c>
    </row>
    <row r="417" spans="1:5" ht="15" x14ac:dyDescent="0.35">
      <c r="A417" s="58" t="s">
        <v>369</v>
      </c>
      <c r="B417" s="58" t="s">
        <v>172</v>
      </c>
      <c r="C417" s="58">
        <v>5</v>
      </c>
      <c r="D417" s="58">
        <v>108</v>
      </c>
      <c r="E417" s="59">
        <v>343</v>
      </c>
    </row>
    <row r="418" spans="1:5" ht="15" x14ac:dyDescent="0.35">
      <c r="A418" s="58" t="s">
        <v>369</v>
      </c>
      <c r="B418" s="58" t="s">
        <v>172</v>
      </c>
      <c r="C418" s="58">
        <v>6</v>
      </c>
      <c r="D418" s="58">
        <v>109</v>
      </c>
      <c r="E418" s="59">
        <v>343</v>
      </c>
    </row>
    <row r="419" spans="1:5" ht="15" x14ac:dyDescent="0.35">
      <c r="A419" s="58" t="s">
        <v>369</v>
      </c>
      <c r="B419" s="58" t="s">
        <v>172</v>
      </c>
      <c r="C419" s="58">
        <v>7</v>
      </c>
      <c r="D419" s="58">
        <v>110</v>
      </c>
      <c r="E419" s="59">
        <v>343</v>
      </c>
    </row>
    <row r="420" spans="1:5" ht="15" x14ac:dyDescent="0.35">
      <c r="A420" s="58" t="s">
        <v>369</v>
      </c>
      <c r="B420" s="58" t="s">
        <v>172</v>
      </c>
      <c r="C420" s="58">
        <v>8</v>
      </c>
      <c r="D420" s="58">
        <v>111</v>
      </c>
      <c r="E420" s="59">
        <v>343</v>
      </c>
    </row>
    <row r="421" spans="1:5" ht="15" x14ac:dyDescent="0.35">
      <c r="A421" s="58" t="s">
        <v>369</v>
      </c>
      <c r="B421" s="58" t="s">
        <v>172</v>
      </c>
      <c r="C421" s="58">
        <v>9</v>
      </c>
      <c r="D421" s="58">
        <v>112</v>
      </c>
      <c r="E421" s="59">
        <v>343</v>
      </c>
    </row>
    <row r="422" spans="1:5" ht="15" x14ac:dyDescent="0.35">
      <c r="A422" s="58" t="s">
        <v>369</v>
      </c>
      <c r="B422" s="58" t="s">
        <v>172</v>
      </c>
      <c r="C422" s="58">
        <v>10</v>
      </c>
      <c r="D422" s="58">
        <v>113</v>
      </c>
      <c r="E422" s="59">
        <v>343</v>
      </c>
    </row>
    <row r="423" spans="1:5" ht="15" x14ac:dyDescent="0.35">
      <c r="A423" s="58" t="s">
        <v>369</v>
      </c>
      <c r="B423" s="58" t="s">
        <v>172</v>
      </c>
      <c r="C423" s="58">
        <v>11</v>
      </c>
      <c r="D423" s="58">
        <v>114</v>
      </c>
      <c r="E423" s="59">
        <v>343</v>
      </c>
    </row>
    <row r="424" spans="1:5" ht="15" x14ac:dyDescent="0.35">
      <c r="A424" s="58" t="s">
        <v>369</v>
      </c>
      <c r="B424" s="58" t="s">
        <v>172</v>
      </c>
      <c r="C424" s="58">
        <v>12</v>
      </c>
      <c r="D424" s="58">
        <v>115</v>
      </c>
      <c r="E424" s="59">
        <v>343</v>
      </c>
    </row>
    <row r="425" spans="1:5" ht="15" x14ac:dyDescent="0.35">
      <c r="A425" s="58" t="s">
        <v>369</v>
      </c>
      <c r="B425" s="58" t="s">
        <v>180</v>
      </c>
      <c r="C425" s="58">
        <v>1</v>
      </c>
      <c r="D425" s="58">
        <v>104</v>
      </c>
      <c r="E425" s="59">
        <v>202.6326</v>
      </c>
    </row>
    <row r="426" spans="1:5" ht="15" x14ac:dyDescent="0.35">
      <c r="A426" s="58" t="s">
        <v>369</v>
      </c>
      <c r="B426" s="58" t="s">
        <v>180</v>
      </c>
      <c r="C426" s="58">
        <v>2</v>
      </c>
      <c r="D426" s="58">
        <v>105</v>
      </c>
      <c r="E426" s="59">
        <v>202.6326</v>
      </c>
    </row>
    <row r="427" spans="1:5" ht="15" x14ac:dyDescent="0.35">
      <c r="A427" s="58" t="s">
        <v>369</v>
      </c>
      <c r="B427" s="58" t="s">
        <v>180</v>
      </c>
      <c r="C427" s="58">
        <v>3</v>
      </c>
      <c r="D427" s="58">
        <v>106</v>
      </c>
      <c r="E427" s="59">
        <v>202.6326</v>
      </c>
    </row>
    <row r="428" spans="1:5" ht="15" x14ac:dyDescent="0.35">
      <c r="A428" s="58" t="s">
        <v>369</v>
      </c>
      <c r="B428" s="58" t="s">
        <v>180</v>
      </c>
      <c r="C428" s="58">
        <v>4</v>
      </c>
      <c r="D428" s="58">
        <v>107</v>
      </c>
      <c r="E428" s="59">
        <v>202.6326</v>
      </c>
    </row>
    <row r="429" spans="1:5" ht="15" x14ac:dyDescent="0.35">
      <c r="A429" s="58" t="s">
        <v>369</v>
      </c>
      <c r="B429" s="58" t="s">
        <v>180</v>
      </c>
      <c r="C429" s="58">
        <v>5</v>
      </c>
      <c r="D429" s="58">
        <v>108</v>
      </c>
      <c r="E429" s="59">
        <v>202.6326</v>
      </c>
    </row>
    <row r="430" spans="1:5" ht="15" x14ac:dyDescent="0.35">
      <c r="A430" s="58" t="s">
        <v>369</v>
      </c>
      <c r="B430" s="58" t="s">
        <v>180</v>
      </c>
      <c r="C430" s="58">
        <v>6</v>
      </c>
      <c r="D430" s="58">
        <v>109</v>
      </c>
      <c r="E430" s="59">
        <v>202.6326</v>
      </c>
    </row>
    <row r="431" spans="1:5" ht="15" x14ac:dyDescent="0.35">
      <c r="A431" s="58" t="s">
        <v>369</v>
      </c>
      <c r="B431" s="58" t="s">
        <v>180</v>
      </c>
      <c r="C431" s="58">
        <v>7</v>
      </c>
      <c r="D431" s="58">
        <v>110</v>
      </c>
      <c r="E431" s="59">
        <v>202.6326</v>
      </c>
    </row>
    <row r="432" spans="1:5" ht="15" x14ac:dyDescent="0.35">
      <c r="A432" s="58" t="s">
        <v>369</v>
      </c>
      <c r="B432" s="58" t="s">
        <v>180</v>
      </c>
      <c r="C432" s="58">
        <v>8</v>
      </c>
      <c r="D432" s="58">
        <v>111</v>
      </c>
      <c r="E432" s="59">
        <v>202.6326</v>
      </c>
    </row>
    <row r="433" spans="1:5" ht="15" x14ac:dyDescent="0.35">
      <c r="A433" s="58" t="s">
        <v>369</v>
      </c>
      <c r="B433" s="58" t="s">
        <v>180</v>
      </c>
      <c r="C433" s="58">
        <v>9</v>
      </c>
      <c r="D433" s="58">
        <v>112</v>
      </c>
      <c r="E433" s="59">
        <v>202.6326</v>
      </c>
    </row>
    <row r="434" spans="1:5" ht="15" x14ac:dyDescent="0.35">
      <c r="A434" s="58" t="s">
        <v>369</v>
      </c>
      <c r="B434" s="58" t="s">
        <v>180</v>
      </c>
      <c r="C434" s="58">
        <v>10</v>
      </c>
      <c r="D434" s="58">
        <v>113</v>
      </c>
      <c r="E434" s="59">
        <v>202.6326</v>
      </c>
    </row>
    <row r="435" spans="1:5" ht="15" x14ac:dyDescent="0.35">
      <c r="A435" s="58" t="s">
        <v>369</v>
      </c>
      <c r="B435" s="58" t="s">
        <v>180</v>
      </c>
      <c r="C435" s="58">
        <v>11</v>
      </c>
      <c r="D435" s="58">
        <v>114</v>
      </c>
      <c r="E435" s="59">
        <v>202.6326</v>
      </c>
    </row>
    <row r="436" spans="1:5" ht="15" x14ac:dyDescent="0.35">
      <c r="A436" s="58" t="s">
        <v>369</v>
      </c>
      <c r="B436" s="58" t="s">
        <v>180</v>
      </c>
      <c r="C436" s="58">
        <v>12</v>
      </c>
      <c r="D436" s="58">
        <v>115</v>
      </c>
      <c r="E436" s="59">
        <v>202.6326</v>
      </c>
    </row>
    <row r="437" spans="1:5" ht="15" x14ac:dyDescent="0.35">
      <c r="A437" s="58" t="s">
        <v>307</v>
      </c>
      <c r="B437" s="58" t="s">
        <v>182</v>
      </c>
      <c r="C437" s="58">
        <v>1</v>
      </c>
      <c r="D437" s="58">
        <v>104</v>
      </c>
      <c r="E437" s="59">
        <v>321.86430000000001</v>
      </c>
    </row>
    <row r="438" spans="1:5" ht="15" x14ac:dyDescent="0.35">
      <c r="A438" s="58" t="s">
        <v>307</v>
      </c>
      <c r="B438" s="58" t="s">
        <v>182</v>
      </c>
      <c r="C438" s="58">
        <v>2</v>
      </c>
      <c r="D438" s="58">
        <v>105</v>
      </c>
      <c r="E438" s="59">
        <v>187.93090000000001</v>
      </c>
    </row>
    <row r="439" spans="1:5" ht="15" x14ac:dyDescent="0.35">
      <c r="A439" s="58" t="s">
        <v>307</v>
      </c>
      <c r="B439" s="58" t="s">
        <v>182</v>
      </c>
      <c r="C439" s="58">
        <v>3</v>
      </c>
      <c r="D439" s="58">
        <v>106</v>
      </c>
      <c r="E439" s="59">
        <v>186.5309</v>
      </c>
    </row>
    <row r="440" spans="1:5" ht="15" x14ac:dyDescent="0.35">
      <c r="A440" s="58" t="s">
        <v>307</v>
      </c>
      <c r="B440" s="58" t="s">
        <v>182</v>
      </c>
      <c r="C440" s="58">
        <v>4</v>
      </c>
      <c r="D440" s="58">
        <v>107</v>
      </c>
      <c r="E440" s="59">
        <v>204.38810000000001</v>
      </c>
    </row>
    <row r="441" spans="1:5" ht="15" x14ac:dyDescent="0.35">
      <c r="A441" s="58" t="s">
        <v>307</v>
      </c>
      <c r="B441" s="58" t="s">
        <v>182</v>
      </c>
      <c r="C441" s="58">
        <v>5</v>
      </c>
      <c r="D441" s="58">
        <v>108</v>
      </c>
      <c r="E441" s="59">
        <v>245.7809</v>
      </c>
    </row>
    <row r="442" spans="1:5" ht="15" x14ac:dyDescent="0.35">
      <c r="A442" s="58" t="s">
        <v>307</v>
      </c>
      <c r="B442" s="58" t="s">
        <v>182</v>
      </c>
      <c r="C442" s="58">
        <v>6</v>
      </c>
      <c r="D442" s="58">
        <v>109</v>
      </c>
      <c r="E442" s="59">
        <v>248.30869999999999</v>
      </c>
    </row>
    <row r="443" spans="1:5" ht="15" x14ac:dyDescent="0.35">
      <c r="A443" s="58" t="s">
        <v>307</v>
      </c>
      <c r="B443" s="58" t="s">
        <v>182</v>
      </c>
      <c r="C443" s="58">
        <v>7</v>
      </c>
      <c r="D443" s="58">
        <v>110</v>
      </c>
      <c r="E443" s="59">
        <v>236.0865</v>
      </c>
    </row>
    <row r="444" spans="1:5" ht="15" x14ac:dyDescent="0.35">
      <c r="A444" s="58" t="s">
        <v>307</v>
      </c>
      <c r="B444" s="58" t="s">
        <v>182</v>
      </c>
      <c r="C444" s="58">
        <v>8</v>
      </c>
      <c r="D444" s="58">
        <v>111</v>
      </c>
      <c r="E444" s="59">
        <v>241.6421</v>
      </c>
    </row>
    <row r="445" spans="1:5" ht="15" x14ac:dyDescent="0.35">
      <c r="A445" s="58" t="s">
        <v>307</v>
      </c>
      <c r="B445" s="58" t="s">
        <v>182</v>
      </c>
      <c r="C445" s="58">
        <v>9</v>
      </c>
      <c r="D445" s="58">
        <v>112</v>
      </c>
      <c r="E445" s="59">
        <v>257.64210000000003</v>
      </c>
    </row>
    <row r="446" spans="1:5" ht="15" x14ac:dyDescent="0.35">
      <c r="A446" s="58" t="s">
        <v>307</v>
      </c>
      <c r="B446" s="58" t="s">
        <v>182</v>
      </c>
      <c r="C446" s="58">
        <v>10</v>
      </c>
      <c r="D446" s="58">
        <v>113</v>
      </c>
      <c r="E446" s="59">
        <v>274.64210000000003</v>
      </c>
    </row>
    <row r="447" spans="1:5" ht="15" x14ac:dyDescent="0.35">
      <c r="A447" s="58" t="s">
        <v>307</v>
      </c>
      <c r="B447" s="58" t="s">
        <v>182</v>
      </c>
      <c r="C447" s="58">
        <v>11</v>
      </c>
      <c r="D447" s="58">
        <v>114</v>
      </c>
      <c r="E447" s="59">
        <v>300.53089999999997</v>
      </c>
    </row>
    <row r="448" spans="1:5" ht="15" x14ac:dyDescent="0.35">
      <c r="A448" s="58" t="s">
        <v>307</v>
      </c>
      <c r="B448" s="58" t="s">
        <v>182</v>
      </c>
      <c r="C448" s="58">
        <v>12</v>
      </c>
      <c r="D448" s="58">
        <v>115</v>
      </c>
      <c r="E448" s="59">
        <v>330.19760000000002</v>
      </c>
    </row>
    <row r="449" spans="1:5" ht="15" x14ac:dyDescent="0.35">
      <c r="A449" s="58" t="s">
        <v>307</v>
      </c>
      <c r="B449" s="58" t="s">
        <v>176</v>
      </c>
      <c r="C449" s="58">
        <v>1</v>
      </c>
      <c r="D449" s="58">
        <v>104</v>
      </c>
      <c r="E449" s="59">
        <v>419.625</v>
      </c>
    </row>
    <row r="450" spans="1:5" ht="15" x14ac:dyDescent="0.35">
      <c r="A450" s="58" t="s">
        <v>307</v>
      </c>
      <c r="B450" s="58" t="s">
        <v>176</v>
      </c>
      <c r="C450" s="58">
        <v>2</v>
      </c>
      <c r="D450" s="58">
        <v>105</v>
      </c>
      <c r="E450" s="59">
        <v>419.625</v>
      </c>
    </row>
    <row r="451" spans="1:5" ht="15" x14ac:dyDescent="0.35">
      <c r="A451" s="58" t="s">
        <v>307</v>
      </c>
      <c r="B451" s="58" t="s">
        <v>176</v>
      </c>
      <c r="C451" s="58">
        <v>3</v>
      </c>
      <c r="D451" s="58">
        <v>106</v>
      </c>
      <c r="E451" s="59">
        <v>419.625</v>
      </c>
    </row>
    <row r="452" spans="1:5" ht="15" x14ac:dyDescent="0.35">
      <c r="A452" s="58" t="s">
        <v>307</v>
      </c>
      <c r="B452" s="58" t="s">
        <v>176</v>
      </c>
      <c r="C452" s="58">
        <v>4</v>
      </c>
      <c r="D452" s="58">
        <v>107</v>
      </c>
      <c r="E452" s="59">
        <v>419.625</v>
      </c>
    </row>
    <row r="453" spans="1:5" ht="15" x14ac:dyDescent="0.35">
      <c r="A453" s="58" t="s">
        <v>307</v>
      </c>
      <c r="B453" s="58" t="s">
        <v>176</v>
      </c>
      <c r="C453" s="58">
        <v>5</v>
      </c>
      <c r="D453" s="58">
        <v>108</v>
      </c>
      <c r="E453" s="59">
        <v>419.625</v>
      </c>
    </row>
    <row r="454" spans="1:5" ht="15" x14ac:dyDescent="0.35">
      <c r="A454" s="58" t="s">
        <v>307</v>
      </c>
      <c r="B454" s="58" t="s">
        <v>176</v>
      </c>
      <c r="C454" s="58">
        <v>6</v>
      </c>
      <c r="D454" s="58">
        <v>109</v>
      </c>
      <c r="E454" s="59">
        <v>419.625</v>
      </c>
    </row>
    <row r="455" spans="1:5" ht="15" x14ac:dyDescent="0.35">
      <c r="A455" s="58" t="s">
        <v>307</v>
      </c>
      <c r="B455" s="58" t="s">
        <v>176</v>
      </c>
      <c r="C455" s="58">
        <v>7</v>
      </c>
      <c r="D455" s="58">
        <v>110</v>
      </c>
      <c r="E455" s="59">
        <v>419.625</v>
      </c>
    </row>
    <row r="456" spans="1:5" ht="15" x14ac:dyDescent="0.35">
      <c r="A456" s="58" t="s">
        <v>307</v>
      </c>
      <c r="B456" s="58" t="s">
        <v>176</v>
      </c>
      <c r="C456" s="58">
        <v>8</v>
      </c>
      <c r="D456" s="58">
        <v>111</v>
      </c>
      <c r="E456" s="59">
        <v>419.625</v>
      </c>
    </row>
    <row r="457" spans="1:5" ht="15" x14ac:dyDescent="0.35">
      <c r="A457" s="58" t="s">
        <v>307</v>
      </c>
      <c r="B457" s="58" t="s">
        <v>176</v>
      </c>
      <c r="C457" s="58">
        <v>9</v>
      </c>
      <c r="D457" s="58">
        <v>112</v>
      </c>
      <c r="E457" s="59">
        <v>419.625</v>
      </c>
    </row>
    <row r="458" spans="1:5" ht="15" x14ac:dyDescent="0.35">
      <c r="A458" s="58" t="s">
        <v>307</v>
      </c>
      <c r="B458" s="58" t="s">
        <v>176</v>
      </c>
      <c r="C458" s="58">
        <v>10</v>
      </c>
      <c r="D458" s="58">
        <v>113</v>
      </c>
      <c r="E458" s="59">
        <v>419.625</v>
      </c>
    </row>
    <row r="459" spans="1:5" ht="15" x14ac:dyDescent="0.35">
      <c r="A459" s="58" t="s">
        <v>307</v>
      </c>
      <c r="B459" s="58" t="s">
        <v>176</v>
      </c>
      <c r="C459" s="58">
        <v>11</v>
      </c>
      <c r="D459" s="58">
        <v>114</v>
      </c>
      <c r="E459" s="59">
        <v>419.625</v>
      </c>
    </row>
    <row r="460" spans="1:5" ht="15" x14ac:dyDescent="0.35">
      <c r="A460" s="58" t="s">
        <v>307</v>
      </c>
      <c r="B460" s="58" t="s">
        <v>176</v>
      </c>
      <c r="C460" s="58">
        <v>12</v>
      </c>
      <c r="D460" s="58">
        <v>115</v>
      </c>
      <c r="E460" s="59">
        <v>419.625</v>
      </c>
    </row>
    <row r="461" spans="1:5" ht="15" x14ac:dyDescent="0.35">
      <c r="A461" s="58" t="s">
        <v>307</v>
      </c>
      <c r="B461" s="58" t="s">
        <v>172</v>
      </c>
      <c r="C461" s="58">
        <v>1</v>
      </c>
      <c r="D461" s="58">
        <v>104</v>
      </c>
      <c r="E461" s="59">
        <v>735</v>
      </c>
    </row>
    <row r="462" spans="1:5" ht="15" x14ac:dyDescent="0.35">
      <c r="A462" s="58" t="s">
        <v>307</v>
      </c>
      <c r="B462" s="58" t="s">
        <v>172</v>
      </c>
      <c r="C462" s="58">
        <v>2</v>
      </c>
      <c r="D462" s="58">
        <v>105</v>
      </c>
      <c r="E462" s="59">
        <v>735</v>
      </c>
    </row>
    <row r="463" spans="1:5" ht="15" x14ac:dyDescent="0.35">
      <c r="A463" s="58" t="s">
        <v>307</v>
      </c>
      <c r="B463" s="58" t="s">
        <v>172</v>
      </c>
      <c r="C463" s="58">
        <v>3</v>
      </c>
      <c r="D463" s="58">
        <v>106</v>
      </c>
      <c r="E463" s="59">
        <v>735</v>
      </c>
    </row>
    <row r="464" spans="1:5" ht="15" x14ac:dyDescent="0.35">
      <c r="A464" s="58" t="s">
        <v>307</v>
      </c>
      <c r="B464" s="58" t="s">
        <v>172</v>
      </c>
      <c r="C464" s="58">
        <v>4</v>
      </c>
      <c r="D464" s="58">
        <v>107</v>
      </c>
      <c r="E464" s="59">
        <v>735</v>
      </c>
    </row>
    <row r="465" spans="1:5" ht="15" x14ac:dyDescent="0.35">
      <c r="A465" s="58" t="s">
        <v>307</v>
      </c>
      <c r="B465" s="58" t="s">
        <v>172</v>
      </c>
      <c r="C465" s="58">
        <v>5</v>
      </c>
      <c r="D465" s="58">
        <v>108</v>
      </c>
      <c r="E465" s="59">
        <v>735</v>
      </c>
    </row>
    <row r="466" spans="1:5" ht="15" x14ac:dyDescent="0.35">
      <c r="A466" s="58" t="s">
        <v>307</v>
      </c>
      <c r="B466" s="58" t="s">
        <v>172</v>
      </c>
      <c r="C466" s="58">
        <v>6</v>
      </c>
      <c r="D466" s="58">
        <v>109</v>
      </c>
      <c r="E466" s="59">
        <v>735</v>
      </c>
    </row>
    <row r="467" spans="1:5" ht="15" x14ac:dyDescent="0.35">
      <c r="A467" s="58" t="s">
        <v>307</v>
      </c>
      <c r="B467" s="58" t="s">
        <v>172</v>
      </c>
      <c r="C467" s="58">
        <v>7</v>
      </c>
      <c r="D467" s="58">
        <v>110</v>
      </c>
      <c r="E467" s="59">
        <v>735</v>
      </c>
    </row>
    <row r="468" spans="1:5" ht="15" x14ac:dyDescent="0.35">
      <c r="A468" s="58" t="s">
        <v>307</v>
      </c>
      <c r="B468" s="58" t="s">
        <v>172</v>
      </c>
      <c r="C468" s="58">
        <v>8</v>
      </c>
      <c r="D468" s="58">
        <v>111</v>
      </c>
      <c r="E468" s="59">
        <v>735</v>
      </c>
    </row>
    <row r="469" spans="1:5" ht="15" x14ac:dyDescent="0.35">
      <c r="A469" s="58" t="s">
        <v>307</v>
      </c>
      <c r="B469" s="58" t="s">
        <v>172</v>
      </c>
      <c r="C469" s="58">
        <v>9</v>
      </c>
      <c r="D469" s="58">
        <v>112</v>
      </c>
      <c r="E469" s="59">
        <v>735</v>
      </c>
    </row>
    <row r="470" spans="1:5" ht="15" x14ac:dyDescent="0.35">
      <c r="A470" s="58" t="s">
        <v>307</v>
      </c>
      <c r="B470" s="58" t="s">
        <v>172</v>
      </c>
      <c r="C470" s="58">
        <v>10</v>
      </c>
      <c r="D470" s="58">
        <v>113</v>
      </c>
      <c r="E470" s="59">
        <v>735</v>
      </c>
    </row>
    <row r="471" spans="1:5" ht="15" x14ac:dyDescent="0.35">
      <c r="A471" s="58" t="s">
        <v>307</v>
      </c>
      <c r="B471" s="58" t="s">
        <v>172</v>
      </c>
      <c r="C471" s="58">
        <v>11</v>
      </c>
      <c r="D471" s="58">
        <v>114</v>
      </c>
      <c r="E471" s="59">
        <v>735</v>
      </c>
    </row>
    <row r="472" spans="1:5" ht="15" x14ac:dyDescent="0.35">
      <c r="A472" s="58" t="s">
        <v>307</v>
      </c>
      <c r="B472" s="58" t="s">
        <v>172</v>
      </c>
      <c r="C472" s="58">
        <v>12</v>
      </c>
      <c r="D472" s="58">
        <v>115</v>
      </c>
      <c r="E472" s="59">
        <v>735</v>
      </c>
    </row>
    <row r="473" spans="1:5" ht="15" x14ac:dyDescent="0.35">
      <c r="A473" s="58" t="s">
        <v>307</v>
      </c>
      <c r="B473" s="58" t="s">
        <v>180</v>
      </c>
      <c r="C473" s="58">
        <v>1</v>
      </c>
      <c r="D473" s="58">
        <v>104</v>
      </c>
      <c r="E473" s="59">
        <v>366.00850000000003</v>
      </c>
    </row>
    <row r="474" spans="1:5" ht="15" x14ac:dyDescent="0.35">
      <c r="A474" s="58" t="s">
        <v>307</v>
      </c>
      <c r="B474" s="58" t="s">
        <v>180</v>
      </c>
      <c r="C474" s="58">
        <v>2</v>
      </c>
      <c r="D474" s="58">
        <v>105</v>
      </c>
      <c r="E474" s="59">
        <v>366.00850000000003</v>
      </c>
    </row>
    <row r="475" spans="1:5" ht="15" x14ac:dyDescent="0.35">
      <c r="A475" s="58" t="s">
        <v>307</v>
      </c>
      <c r="B475" s="58" t="s">
        <v>180</v>
      </c>
      <c r="C475" s="58">
        <v>3</v>
      </c>
      <c r="D475" s="58">
        <v>106</v>
      </c>
      <c r="E475" s="59">
        <v>366.00850000000003</v>
      </c>
    </row>
    <row r="476" spans="1:5" ht="15" x14ac:dyDescent="0.35">
      <c r="A476" s="58" t="s">
        <v>307</v>
      </c>
      <c r="B476" s="58" t="s">
        <v>180</v>
      </c>
      <c r="C476" s="58">
        <v>4</v>
      </c>
      <c r="D476" s="58">
        <v>107</v>
      </c>
      <c r="E476" s="59">
        <v>366.00850000000003</v>
      </c>
    </row>
    <row r="477" spans="1:5" ht="15" x14ac:dyDescent="0.35">
      <c r="A477" s="58" t="s">
        <v>307</v>
      </c>
      <c r="B477" s="58" t="s">
        <v>180</v>
      </c>
      <c r="C477" s="58">
        <v>5</v>
      </c>
      <c r="D477" s="58">
        <v>108</v>
      </c>
      <c r="E477" s="59">
        <v>366.00850000000003</v>
      </c>
    </row>
    <row r="478" spans="1:5" ht="15" x14ac:dyDescent="0.35">
      <c r="A478" s="58" t="s">
        <v>307</v>
      </c>
      <c r="B478" s="58" t="s">
        <v>180</v>
      </c>
      <c r="C478" s="58">
        <v>6</v>
      </c>
      <c r="D478" s="58">
        <v>109</v>
      </c>
      <c r="E478" s="59">
        <v>366.00850000000003</v>
      </c>
    </row>
    <row r="479" spans="1:5" ht="15" x14ac:dyDescent="0.35">
      <c r="A479" s="58" t="s">
        <v>307</v>
      </c>
      <c r="B479" s="58" t="s">
        <v>180</v>
      </c>
      <c r="C479" s="58">
        <v>7</v>
      </c>
      <c r="D479" s="58">
        <v>110</v>
      </c>
      <c r="E479" s="59">
        <v>366.00850000000003</v>
      </c>
    </row>
    <row r="480" spans="1:5" ht="15" x14ac:dyDescent="0.35">
      <c r="A480" s="58" t="s">
        <v>307</v>
      </c>
      <c r="B480" s="58" t="s">
        <v>180</v>
      </c>
      <c r="C480" s="58">
        <v>8</v>
      </c>
      <c r="D480" s="58">
        <v>111</v>
      </c>
      <c r="E480" s="59">
        <v>366.00850000000003</v>
      </c>
    </row>
    <row r="481" spans="1:5" ht="15" x14ac:dyDescent="0.35">
      <c r="A481" s="58" t="s">
        <v>307</v>
      </c>
      <c r="B481" s="58" t="s">
        <v>180</v>
      </c>
      <c r="C481" s="58">
        <v>9</v>
      </c>
      <c r="D481" s="58">
        <v>112</v>
      </c>
      <c r="E481" s="59">
        <v>366.00850000000003</v>
      </c>
    </row>
    <row r="482" spans="1:5" ht="15" x14ac:dyDescent="0.35">
      <c r="A482" s="58" t="s">
        <v>307</v>
      </c>
      <c r="B482" s="58" t="s">
        <v>180</v>
      </c>
      <c r="C482" s="58">
        <v>10</v>
      </c>
      <c r="D482" s="58">
        <v>113</v>
      </c>
      <c r="E482" s="59">
        <v>366.00850000000003</v>
      </c>
    </row>
    <row r="483" spans="1:5" ht="15" x14ac:dyDescent="0.35">
      <c r="A483" s="58" t="s">
        <v>307</v>
      </c>
      <c r="B483" s="58" t="s">
        <v>180</v>
      </c>
      <c r="C483" s="58">
        <v>11</v>
      </c>
      <c r="D483" s="58">
        <v>114</v>
      </c>
      <c r="E483" s="59">
        <v>366.00850000000003</v>
      </c>
    </row>
    <row r="484" spans="1:5" ht="15" x14ac:dyDescent="0.35">
      <c r="A484" s="58" t="s">
        <v>307</v>
      </c>
      <c r="B484" s="58" t="s">
        <v>180</v>
      </c>
      <c r="C484" s="58">
        <v>12</v>
      </c>
      <c r="D484" s="58">
        <v>115</v>
      </c>
      <c r="E484" s="59">
        <v>366.00850000000003</v>
      </c>
    </row>
    <row r="485" spans="1:5" ht="15" x14ac:dyDescent="0.35">
      <c r="A485" s="58" t="s">
        <v>257</v>
      </c>
      <c r="B485" s="58" t="s">
        <v>182</v>
      </c>
      <c r="C485" s="58">
        <v>1</v>
      </c>
      <c r="D485" s="58">
        <v>104</v>
      </c>
      <c r="E485" s="59">
        <v>235.05529999999999</v>
      </c>
    </row>
    <row r="486" spans="1:5" ht="15" x14ac:dyDescent="0.35">
      <c r="A486" s="58" t="s">
        <v>257</v>
      </c>
      <c r="B486" s="58" t="s">
        <v>182</v>
      </c>
      <c r="C486" s="58">
        <v>2</v>
      </c>
      <c r="D486" s="58">
        <v>105</v>
      </c>
      <c r="E486" s="59">
        <v>146.28710000000001</v>
      </c>
    </row>
    <row r="487" spans="1:5" ht="15" x14ac:dyDescent="0.35">
      <c r="A487" s="58" t="s">
        <v>257</v>
      </c>
      <c r="B487" s="58" t="s">
        <v>182</v>
      </c>
      <c r="C487" s="58">
        <v>3</v>
      </c>
      <c r="D487" s="58">
        <v>106</v>
      </c>
      <c r="E487" s="59">
        <v>144.90770000000001</v>
      </c>
    </row>
    <row r="488" spans="1:5" ht="15" x14ac:dyDescent="0.35">
      <c r="A488" s="58" t="s">
        <v>257</v>
      </c>
      <c r="B488" s="58" t="s">
        <v>182</v>
      </c>
      <c r="C488" s="58">
        <v>4</v>
      </c>
      <c r="D488" s="58">
        <v>107</v>
      </c>
      <c r="E488" s="59">
        <v>185.4332</v>
      </c>
    </row>
    <row r="489" spans="1:5" ht="15" x14ac:dyDescent="0.35">
      <c r="A489" s="58" t="s">
        <v>257</v>
      </c>
      <c r="B489" s="58" t="s">
        <v>182</v>
      </c>
      <c r="C489" s="58">
        <v>5</v>
      </c>
      <c r="D489" s="58">
        <v>108</v>
      </c>
      <c r="E489" s="59">
        <v>218.6491</v>
      </c>
    </row>
    <row r="490" spans="1:5" ht="15" x14ac:dyDescent="0.35">
      <c r="A490" s="58" t="s">
        <v>257</v>
      </c>
      <c r="B490" s="58" t="s">
        <v>182</v>
      </c>
      <c r="C490" s="58">
        <v>6</v>
      </c>
      <c r="D490" s="58">
        <v>109</v>
      </c>
      <c r="E490" s="59">
        <v>224.4365</v>
      </c>
    </row>
    <row r="491" spans="1:5" ht="15" x14ac:dyDescent="0.35">
      <c r="A491" s="58" t="s">
        <v>257</v>
      </c>
      <c r="B491" s="58" t="s">
        <v>182</v>
      </c>
      <c r="C491" s="58">
        <v>7</v>
      </c>
      <c r="D491" s="58">
        <v>110</v>
      </c>
      <c r="E491" s="59">
        <v>211.66829999999999</v>
      </c>
    </row>
    <row r="492" spans="1:5" ht="15" x14ac:dyDescent="0.35">
      <c r="A492" s="58" t="s">
        <v>257</v>
      </c>
      <c r="B492" s="58" t="s">
        <v>182</v>
      </c>
      <c r="C492" s="58">
        <v>8</v>
      </c>
      <c r="D492" s="58">
        <v>111</v>
      </c>
      <c r="E492" s="59">
        <v>234.34450000000001</v>
      </c>
    </row>
    <row r="493" spans="1:5" ht="15" x14ac:dyDescent="0.35">
      <c r="A493" s="58" t="s">
        <v>257</v>
      </c>
      <c r="B493" s="58" t="s">
        <v>182</v>
      </c>
      <c r="C493" s="58">
        <v>9</v>
      </c>
      <c r="D493" s="58">
        <v>112</v>
      </c>
      <c r="E493" s="59">
        <v>251.02070000000001</v>
      </c>
    </row>
    <row r="494" spans="1:5" ht="15" x14ac:dyDescent="0.35">
      <c r="A494" s="58" t="s">
        <v>257</v>
      </c>
      <c r="B494" s="58" t="s">
        <v>182</v>
      </c>
      <c r="C494" s="58">
        <v>10</v>
      </c>
      <c r="D494" s="58">
        <v>113</v>
      </c>
      <c r="E494" s="59">
        <v>295.697</v>
      </c>
    </row>
    <row r="495" spans="1:5" ht="15" x14ac:dyDescent="0.35">
      <c r="A495" s="58" t="s">
        <v>257</v>
      </c>
      <c r="B495" s="58" t="s">
        <v>182</v>
      </c>
      <c r="C495" s="58">
        <v>11</v>
      </c>
      <c r="D495" s="58">
        <v>114</v>
      </c>
      <c r="E495" s="59">
        <v>298.03989999999999</v>
      </c>
    </row>
    <row r="496" spans="1:5" ht="15" x14ac:dyDescent="0.35">
      <c r="A496" s="58" t="s">
        <v>257</v>
      </c>
      <c r="B496" s="58" t="s">
        <v>182</v>
      </c>
      <c r="C496" s="58">
        <v>12</v>
      </c>
      <c r="D496" s="58">
        <v>115</v>
      </c>
      <c r="E496" s="59">
        <v>318.38279999999997</v>
      </c>
    </row>
    <row r="497" spans="1:5" ht="15" x14ac:dyDescent="0.35">
      <c r="A497" s="58" t="s">
        <v>257</v>
      </c>
      <c r="B497" s="58" t="s">
        <v>176</v>
      </c>
      <c r="C497" s="58">
        <v>1</v>
      </c>
      <c r="D497" s="58">
        <v>104</v>
      </c>
      <c r="E497" s="59">
        <v>376</v>
      </c>
    </row>
    <row r="498" spans="1:5" ht="15" x14ac:dyDescent="0.35">
      <c r="A498" s="58" t="s">
        <v>257</v>
      </c>
      <c r="B498" s="58" t="s">
        <v>176</v>
      </c>
      <c r="C498" s="58">
        <v>2</v>
      </c>
      <c r="D498" s="58">
        <v>105</v>
      </c>
      <c r="E498" s="59">
        <v>376</v>
      </c>
    </row>
    <row r="499" spans="1:5" ht="15" x14ac:dyDescent="0.35">
      <c r="A499" s="58" t="s">
        <v>257</v>
      </c>
      <c r="B499" s="58" t="s">
        <v>176</v>
      </c>
      <c r="C499" s="58">
        <v>3</v>
      </c>
      <c r="D499" s="58">
        <v>106</v>
      </c>
      <c r="E499" s="59">
        <v>376</v>
      </c>
    </row>
    <row r="500" spans="1:5" ht="15" x14ac:dyDescent="0.35">
      <c r="A500" s="58" t="s">
        <v>257</v>
      </c>
      <c r="B500" s="58" t="s">
        <v>176</v>
      </c>
      <c r="C500" s="58">
        <v>4</v>
      </c>
      <c r="D500" s="58">
        <v>107</v>
      </c>
      <c r="E500" s="59">
        <v>376</v>
      </c>
    </row>
    <row r="501" spans="1:5" ht="15" x14ac:dyDescent="0.35">
      <c r="A501" s="58" t="s">
        <v>257</v>
      </c>
      <c r="B501" s="58" t="s">
        <v>176</v>
      </c>
      <c r="C501" s="58">
        <v>5</v>
      </c>
      <c r="D501" s="58">
        <v>108</v>
      </c>
      <c r="E501" s="59">
        <v>376</v>
      </c>
    </row>
    <row r="502" spans="1:5" ht="15" x14ac:dyDescent="0.35">
      <c r="A502" s="58" t="s">
        <v>257</v>
      </c>
      <c r="B502" s="58" t="s">
        <v>176</v>
      </c>
      <c r="C502" s="58">
        <v>6</v>
      </c>
      <c r="D502" s="58">
        <v>109</v>
      </c>
      <c r="E502" s="59">
        <v>376</v>
      </c>
    </row>
    <row r="503" spans="1:5" ht="15" x14ac:dyDescent="0.35">
      <c r="A503" s="58" t="s">
        <v>257</v>
      </c>
      <c r="B503" s="58" t="s">
        <v>176</v>
      </c>
      <c r="C503" s="58">
        <v>7</v>
      </c>
      <c r="D503" s="58">
        <v>110</v>
      </c>
      <c r="E503" s="59">
        <v>376</v>
      </c>
    </row>
    <row r="504" spans="1:5" ht="15" x14ac:dyDescent="0.35">
      <c r="A504" s="58" t="s">
        <v>257</v>
      </c>
      <c r="B504" s="58" t="s">
        <v>176</v>
      </c>
      <c r="C504" s="58">
        <v>8</v>
      </c>
      <c r="D504" s="58">
        <v>111</v>
      </c>
      <c r="E504" s="59">
        <v>376</v>
      </c>
    </row>
    <row r="505" spans="1:5" ht="15" x14ac:dyDescent="0.35">
      <c r="A505" s="58" t="s">
        <v>257</v>
      </c>
      <c r="B505" s="58" t="s">
        <v>176</v>
      </c>
      <c r="C505" s="58">
        <v>9</v>
      </c>
      <c r="D505" s="58">
        <v>112</v>
      </c>
      <c r="E505" s="59">
        <v>376</v>
      </c>
    </row>
    <row r="506" spans="1:5" ht="15" x14ac:dyDescent="0.35">
      <c r="A506" s="58" t="s">
        <v>257</v>
      </c>
      <c r="B506" s="58" t="s">
        <v>176</v>
      </c>
      <c r="C506" s="58">
        <v>10</v>
      </c>
      <c r="D506" s="58">
        <v>113</v>
      </c>
      <c r="E506" s="59">
        <v>376</v>
      </c>
    </row>
    <row r="507" spans="1:5" ht="15" x14ac:dyDescent="0.35">
      <c r="A507" s="58" t="s">
        <v>257</v>
      </c>
      <c r="B507" s="58" t="s">
        <v>176</v>
      </c>
      <c r="C507" s="58">
        <v>11</v>
      </c>
      <c r="D507" s="58">
        <v>114</v>
      </c>
      <c r="E507" s="59">
        <v>376</v>
      </c>
    </row>
    <row r="508" spans="1:5" ht="15" x14ac:dyDescent="0.35">
      <c r="A508" s="58" t="s">
        <v>257</v>
      </c>
      <c r="B508" s="58" t="s">
        <v>176</v>
      </c>
      <c r="C508" s="58">
        <v>12</v>
      </c>
      <c r="D508" s="58">
        <v>115</v>
      </c>
      <c r="E508" s="59">
        <v>376</v>
      </c>
    </row>
    <row r="509" spans="1:5" ht="15" x14ac:dyDescent="0.35">
      <c r="A509" s="58" t="s">
        <v>257</v>
      </c>
      <c r="B509" s="58" t="s">
        <v>172</v>
      </c>
      <c r="C509" s="58">
        <v>1</v>
      </c>
      <c r="D509" s="58">
        <v>104</v>
      </c>
      <c r="E509" s="59">
        <v>276</v>
      </c>
    </row>
    <row r="510" spans="1:5" ht="15" x14ac:dyDescent="0.35">
      <c r="A510" s="58" t="s">
        <v>257</v>
      </c>
      <c r="B510" s="58" t="s">
        <v>172</v>
      </c>
      <c r="C510" s="58">
        <v>2</v>
      </c>
      <c r="D510" s="58">
        <v>105</v>
      </c>
      <c r="E510" s="59">
        <v>276</v>
      </c>
    </row>
    <row r="511" spans="1:5" ht="15" x14ac:dyDescent="0.35">
      <c r="A511" s="58" t="s">
        <v>257</v>
      </c>
      <c r="B511" s="58" t="s">
        <v>172</v>
      </c>
      <c r="C511" s="58">
        <v>3</v>
      </c>
      <c r="D511" s="58">
        <v>106</v>
      </c>
      <c r="E511" s="59">
        <v>276</v>
      </c>
    </row>
    <row r="512" spans="1:5" ht="15" x14ac:dyDescent="0.35">
      <c r="A512" s="58" t="s">
        <v>257</v>
      </c>
      <c r="B512" s="58" t="s">
        <v>172</v>
      </c>
      <c r="C512" s="58">
        <v>4</v>
      </c>
      <c r="D512" s="58">
        <v>107</v>
      </c>
      <c r="E512" s="59">
        <v>276</v>
      </c>
    </row>
    <row r="513" spans="1:5" ht="15" x14ac:dyDescent="0.35">
      <c r="A513" s="58" t="s">
        <v>257</v>
      </c>
      <c r="B513" s="58" t="s">
        <v>172</v>
      </c>
      <c r="C513" s="58">
        <v>5</v>
      </c>
      <c r="D513" s="58">
        <v>108</v>
      </c>
      <c r="E513" s="59">
        <v>276</v>
      </c>
    </row>
    <row r="514" spans="1:5" ht="15" x14ac:dyDescent="0.35">
      <c r="A514" s="58" t="s">
        <v>257</v>
      </c>
      <c r="B514" s="58" t="s">
        <v>172</v>
      </c>
      <c r="C514" s="58">
        <v>6</v>
      </c>
      <c r="D514" s="58">
        <v>109</v>
      </c>
      <c r="E514" s="59">
        <v>276</v>
      </c>
    </row>
    <row r="515" spans="1:5" ht="15" x14ac:dyDescent="0.35">
      <c r="A515" s="58" t="s">
        <v>257</v>
      </c>
      <c r="B515" s="58" t="s">
        <v>172</v>
      </c>
      <c r="C515" s="58">
        <v>7</v>
      </c>
      <c r="D515" s="58">
        <v>110</v>
      </c>
      <c r="E515" s="59">
        <v>276</v>
      </c>
    </row>
    <row r="516" spans="1:5" ht="15" x14ac:dyDescent="0.35">
      <c r="A516" s="58" t="s">
        <v>257</v>
      </c>
      <c r="B516" s="58" t="s">
        <v>172</v>
      </c>
      <c r="C516" s="58">
        <v>8</v>
      </c>
      <c r="D516" s="58">
        <v>111</v>
      </c>
      <c r="E516" s="59">
        <v>276</v>
      </c>
    </row>
    <row r="517" spans="1:5" ht="15" x14ac:dyDescent="0.35">
      <c r="A517" s="58" t="s">
        <v>257</v>
      </c>
      <c r="B517" s="58" t="s">
        <v>172</v>
      </c>
      <c r="C517" s="58">
        <v>9</v>
      </c>
      <c r="D517" s="58">
        <v>112</v>
      </c>
      <c r="E517" s="59">
        <v>276</v>
      </c>
    </row>
    <row r="518" spans="1:5" ht="15" x14ac:dyDescent="0.35">
      <c r="A518" s="58" t="s">
        <v>257</v>
      </c>
      <c r="B518" s="58" t="s">
        <v>172</v>
      </c>
      <c r="C518" s="58">
        <v>10</v>
      </c>
      <c r="D518" s="58">
        <v>113</v>
      </c>
      <c r="E518" s="59">
        <v>276</v>
      </c>
    </row>
    <row r="519" spans="1:5" ht="15" x14ac:dyDescent="0.35">
      <c r="A519" s="58" t="s">
        <v>257</v>
      </c>
      <c r="B519" s="58" t="s">
        <v>172</v>
      </c>
      <c r="C519" s="58">
        <v>11</v>
      </c>
      <c r="D519" s="58">
        <v>114</v>
      </c>
      <c r="E519" s="59">
        <v>276</v>
      </c>
    </row>
    <row r="520" spans="1:5" ht="15" x14ac:dyDescent="0.35">
      <c r="A520" s="58" t="s">
        <v>257</v>
      </c>
      <c r="B520" s="58" t="s">
        <v>172</v>
      </c>
      <c r="C520" s="58">
        <v>12</v>
      </c>
      <c r="D520" s="58">
        <v>115</v>
      </c>
      <c r="E520" s="59">
        <v>276</v>
      </c>
    </row>
    <row r="521" spans="1:5" ht="15" x14ac:dyDescent="0.35">
      <c r="A521" s="58" t="s">
        <v>257</v>
      </c>
      <c r="B521" s="58" t="s">
        <v>180</v>
      </c>
      <c r="C521" s="58">
        <v>1</v>
      </c>
      <c r="D521" s="58">
        <v>104</v>
      </c>
      <c r="E521" s="59">
        <v>386.78140000000002</v>
      </c>
    </row>
    <row r="522" spans="1:5" ht="15" x14ac:dyDescent="0.35">
      <c r="A522" s="58" t="s">
        <v>257</v>
      </c>
      <c r="B522" s="58" t="s">
        <v>180</v>
      </c>
      <c r="C522" s="58">
        <v>2</v>
      </c>
      <c r="D522" s="58">
        <v>105</v>
      </c>
      <c r="E522" s="59">
        <v>386.78140000000002</v>
      </c>
    </row>
    <row r="523" spans="1:5" ht="15" x14ac:dyDescent="0.35">
      <c r="A523" s="58" t="s">
        <v>257</v>
      </c>
      <c r="B523" s="58" t="s">
        <v>180</v>
      </c>
      <c r="C523" s="58">
        <v>3</v>
      </c>
      <c r="D523" s="58">
        <v>106</v>
      </c>
      <c r="E523" s="59">
        <v>386.78140000000002</v>
      </c>
    </row>
    <row r="524" spans="1:5" ht="15" x14ac:dyDescent="0.35">
      <c r="A524" s="58" t="s">
        <v>257</v>
      </c>
      <c r="B524" s="58" t="s">
        <v>180</v>
      </c>
      <c r="C524" s="58">
        <v>4</v>
      </c>
      <c r="D524" s="58">
        <v>107</v>
      </c>
      <c r="E524" s="59">
        <v>386.78140000000002</v>
      </c>
    </row>
    <row r="525" spans="1:5" ht="15" x14ac:dyDescent="0.35">
      <c r="A525" s="58" t="s">
        <v>257</v>
      </c>
      <c r="B525" s="58" t="s">
        <v>180</v>
      </c>
      <c r="C525" s="58">
        <v>5</v>
      </c>
      <c r="D525" s="58">
        <v>108</v>
      </c>
      <c r="E525" s="59">
        <v>386.78140000000002</v>
      </c>
    </row>
    <row r="526" spans="1:5" ht="15" x14ac:dyDescent="0.35">
      <c r="A526" s="58" t="s">
        <v>257</v>
      </c>
      <c r="B526" s="58" t="s">
        <v>180</v>
      </c>
      <c r="C526" s="58">
        <v>6</v>
      </c>
      <c r="D526" s="58">
        <v>109</v>
      </c>
      <c r="E526" s="59">
        <v>386.78140000000002</v>
      </c>
    </row>
    <row r="527" spans="1:5" ht="15" x14ac:dyDescent="0.35">
      <c r="A527" s="58" t="s">
        <v>257</v>
      </c>
      <c r="B527" s="58" t="s">
        <v>180</v>
      </c>
      <c r="C527" s="58">
        <v>7</v>
      </c>
      <c r="D527" s="58">
        <v>110</v>
      </c>
      <c r="E527" s="59">
        <v>386.78140000000002</v>
      </c>
    </row>
    <row r="528" spans="1:5" ht="15" x14ac:dyDescent="0.35">
      <c r="A528" s="58" t="s">
        <v>257</v>
      </c>
      <c r="B528" s="58" t="s">
        <v>180</v>
      </c>
      <c r="C528" s="58">
        <v>8</v>
      </c>
      <c r="D528" s="58">
        <v>111</v>
      </c>
      <c r="E528" s="59">
        <v>386.78140000000002</v>
      </c>
    </row>
    <row r="529" spans="1:5" ht="15" x14ac:dyDescent="0.35">
      <c r="A529" s="58" t="s">
        <v>257</v>
      </c>
      <c r="B529" s="58" t="s">
        <v>180</v>
      </c>
      <c r="C529" s="58">
        <v>9</v>
      </c>
      <c r="D529" s="58">
        <v>112</v>
      </c>
      <c r="E529" s="59">
        <v>386.78140000000002</v>
      </c>
    </row>
    <row r="530" spans="1:5" ht="15" x14ac:dyDescent="0.35">
      <c r="A530" s="58" t="s">
        <v>257</v>
      </c>
      <c r="B530" s="58" t="s">
        <v>180</v>
      </c>
      <c r="C530" s="58">
        <v>10</v>
      </c>
      <c r="D530" s="58">
        <v>113</v>
      </c>
      <c r="E530" s="59">
        <v>386.78140000000002</v>
      </c>
    </row>
    <row r="531" spans="1:5" ht="15" x14ac:dyDescent="0.35">
      <c r="A531" s="58" t="s">
        <v>257</v>
      </c>
      <c r="B531" s="58" t="s">
        <v>180</v>
      </c>
      <c r="C531" s="58">
        <v>11</v>
      </c>
      <c r="D531" s="58">
        <v>114</v>
      </c>
      <c r="E531" s="59">
        <v>386.78140000000002</v>
      </c>
    </row>
    <row r="532" spans="1:5" ht="15" x14ac:dyDescent="0.35">
      <c r="A532" s="58" t="s">
        <v>257</v>
      </c>
      <c r="B532" s="58" t="s">
        <v>180</v>
      </c>
      <c r="C532" s="58">
        <v>12</v>
      </c>
      <c r="D532" s="58">
        <v>115</v>
      </c>
      <c r="E532" s="59">
        <v>386.78140000000002</v>
      </c>
    </row>
    <row r="533" spans="1:5" ht="15" x14ac:dyDescent="0.35">
      <c r="A533" s="58" t="s">
        <v>314</v>
      </c>
      <c r="B533" s="58" t="s">
        <v>182</v>
      </c>
      <c r="C533" s="58">
        <v>1</v>
      </c>
      <c r="D533" s="58">
        <v>104</v>
      </c>
      <c r="E533" s="59">
        <v>130.00720000000001</v>
      </c>
    </row>
    <row r="534" spans="1:5" ht="15" x14ac:dyDescent="0.35">
      <c r="A534" s="58" t="s">
        <v>314</v>
      </c>
      <c r="B534" s="58" t="s">
        <v>182</v>
      </c>
      <c r="C534" s="58">
        <v>2</v>
      </c>
      <c r="D534" s="58">
        <v>105</v>
      </c>
      <c r="E534" s="59">
        <v>184.185</v>
      </c>
    </row>
    <row r="535" spans="1:5" ht="15" x14ac:dyDescent="0.35">
      <c r="A535" s="58" t="s">
        <v>314</v>
      </c>
      <c r="B535" s="58" t="s">
        <v>182</v>
      </c>
      <c r="C535" s="58">
        <v>3</v>
      </c>
      <c r="D535" s="58">
        <v>106</v>
      </c>
      <c r="E535" s="59">
        <v>166.785</v>
      </c>
    </row>
    <row r="536" spans="1:5" ht="15" x14ac:dyDescent="0.35">
      <c r="A536" s="58" t="s">
        <v>314</v>
      </c>
      <c r="B536" s="58" t="s">
        <v>182</v>
      </c>
      <c r="C536" s="58">
        <v>4</v>
      </c>
      <c r="D536" s="58">
        <v>107</v>
      </c>
      <c r="E536" s="59">
        <v>147.92779999999999</v>
      </c>
    </row>
    <row r="537" spans="1:5" ht="15" x14ac:dyDescent="0.35">
      <c r="A537" s="58" t="s">
        <v>314</v>
      </c>
      <c r="B537" s="58" t="s">
        <v>182</v>
      </c>
      <c r="C537" s="58">
        <v>5</v>
      </c>
      <c r="D537" s="58">
        <v>108</v>
      </c>
      <c r="E537" s="59">
        <v>173.41</v>
      </c>
    </row>
    <row r="538" spans="1:5" ht="15" x14ac:dyDescent="0.35">
      <c r="A538" s="58" t="s">
        <v>314</v>
      </c>
      <c r="B538" s="58" t="s">
        <v>182</v>
      </c>
      <c r="C538" s="58">
        <v>6</v>
      </c>
      <c r="D538" s="58">
        <v>109</v>
      </c>
      <c r="E538" s="59">
        <v>173.00720000000001</v>
      </c>
    </row>
    <row r="539" spans="1:5" ht="15" x14ac:dyDescent="0.35">
      <c r="A539" s="58" t="s">
        <v>314</v>
      </c>
      <c r="B539" s="58" t="s">
        <v>182</v>
      </c>
      <c r="C539" s="58">
        <v>7</v>
      </c>
      <c r="D539" s="58">
        <v>110</v>
      </c>
      <c r="E539" s="59">
        <v>185.6739</v>
      </c>
    </row>
    <row r="540" spans="1:5" ht="15" x14ac:dyDescent="0.35">
      <c r="A540" s="58" t="s">
        <v>314</v>
      </c>
      <c r="B540" s="58" t="s">
        <v>182</v>
      </c>
      <c r="C540" s="58">
        <v>8</v>
      </c>
      <c r="D540" s="58">
        <v>111</v>
      </c>
      <c r="E540" s="59">
        <v>145.6739</v>
      </c>
    </row>
    <row r="541" spans="1:5" ht="15" x14ac:dyDescent="0.35">
      <c r="A541" s="58" t="s">
        <v>314</v>
      </c>
      <c r="B541" s="58" t="s">
        <v>182</v>
      </c>
      <c r="C541" s="58">
        <v>9</v>
      </c>
      <c r="D541" s="58">
        <v>112</v>
      </c>
      <c r="E541" s="59">
        <v>154.00720000000001</v>
      </c>
    </row>
    <row r="542" spans="1:5" ht="15" x14ac:dyDescent="0.35">
      <c r="A542" s="58" t="s">
        <v>314</v>
      </c>
      <c r="B542" s="58" t="s">
        <v>182</v>
      </c>
      <c r="C542" s="58">
        <v>10</v>
      </c>
      <c r="D542" s="58">
        <v>113</v>
      </c>
      <c r="E542" s="59">
        <v>168.34049999999999</v>
      </c>
    </row>
    <row r="543" spans="1:5" ht="15" x14ac:dyDescent="0.35">
      <c r="A543" s="58" t="s">
        <v>314</v>
      </c>
      <c r="B543" s="58" t="s">
        <v>182</v>
      </c>
      <c r="C543" s="58">
        <v>11</v>
      </c>
      <c r="D543" s="58">
        <v>114</v>
      </c>
      <c r="E543" s="59">
        <v>146.1183</v>
      </c>
    </row>
    <row r="544" spans="1:5" ht="15" x14ac:dyDescent="0.35">
      <c r="A544" s="58" t="s">
        <v>314</v>
      </c>
      <c r="B544" s="58" t="s">
        <v>182</v>
      </c>
      <c r="C544" s="58">
        <v>12</v>
      </c>
      <c r="D544" s="58">
        <v>115</v>
      </c>
      <c r="E544" s="59">
        <v>148.89609999999999</v>
      </c>
    </row>
    <row r="545" spans="1:5" ht="15" x14ac:dyDescent="0.35">
      <c r="A545" s="58" t="s">
        <v>314</v>
      </c>
      <c r="B545" s="58" t="s">
        <v>176</v>
      </c>
      <c r="C545" s="58">
        <v>1</v>
      </c>
      <c r="D545" s="58">
        <v>104</v>
      </c>
      <c r="E545" s="59">
        <v>144.125</v>
      </c>
    </row>
    <row r="546" spans="1:5" ht="15" x14ac:dyDescent="0.35">
      <c r="A546" s="58" t="s">
        <v>314</v>
      </c>
      <c r="B546" s="58" t="s">
        <v>176</v>
      </c>
      <c r="C546" s="58">
        <v>2</v>
      </c>
      <c r="D546" s="58">
        <v>105</v>
      </c>
      <c r="E546" s="59">
        <v>144.125</v>
      </c>
    </row>
    <row r="547" spans="1:5" ht="15" x14ac:dyDescent="0.35">
      <c r="A547" s="58" t="s">
        <v>314</v>
      </c>
      <c r="B547" s="58" t="s">
        <v>176</v>
      </c>
      <c r="C547" s="58">
        <v>3</v>
      </c>
      <c r="D547" s="58">
        <v>106</v>
      </c>
      <c r="E547" s="59">
        <v>144.125</v>
      </c>
    </row>
    <row r="548" spans="1:5" ht="15" x14ac:dyDescent="0.35">
      <c r="A548" s="58" t="s">
        <v>314</v>
      </c>
      <c r="B548" s="58" t="s">
        <v>176</v>
      </c>
      <c r="C548" s="58">
        <v>4</v>
      </c>
      <c r="D548" s="58">
        <v>107</v>
      </c>
      <c r="E548" s="59">
        <v>144.125</v>
      </c>
    </row>
    <row r="549" spans="1:5" ht="15" x14ac:dyDescent="0.35">
      <c r="A549" s="58" t="s">
        <v>314</v>
      </c>
      <c r="B549" s="58" t="s">
        <v>176</v>
      </c>
      <c r="C549" s="58">
        <v>5</v>
      </c>
      <c r="D549" s="58">
        <v>108</v>
      </c>
      <c r="E549" s="59">
        <v>144.125</v>
      </c>
    </row>
    <row r="550" spans="1:5" ht="15" x14ac:dyDescent="0.35">
      <c r="A550" s="58" t="s">
        <v>314</v>
      </c>
      <c r="B550" s="58" t="s">
        <v>176</v>
      </c>
      <c r="C550" s="58">
        <v>6</v>
      </c>
      <c r="D550" s="58">
        <v>109</v>
      </c>
      <c r="E550" s="59">
        <v>144.125</v>
      </c>
    </row>
    <row r="551" spans="1:5" ht="15" x14ac:dyDescent="0.35">
      <c r="A551" s="58" t="s">
        <v>314</v>
      </c>
      <c r="B551" s="58" t="s">
        <v>176</v>
      </c>
      <c r="C551" s="58">
        <v>7</v>
      </c>
      <c r="D551" s="58">
        <v>110</v>
      </c>
      <c r="E551" s="59">
        <v>144.125</v>
      </c>
    </row>
    <row r="552" spans="1:5" ht="15" x14ac:dyDescent="0.35">
      <c r="A552" s="58" t="s">
        <v>314</v>
      </c>
      <c r="B552" s="58" t="s">
        <v>176</v>
      </c>
      <c r="C552" s="58">
        <v>8</v>
      </c>
      <c r="D552" s="58">
        <v>111</v>
      </c>
      <c r="E552" s="59">
        <v>144.125</v>
      </c>
    </row>
    <row r="553" spans="1:5" ht="15" x14ac:dyDescent="0.35">
      <c r="A553" s="58" t="s">
        <v>314</v>
      </c>
      <c r="B553" s="58" t="s">
        <v>176</v>
      </c>
      <c r="C553" s="58">
        <v>9</v>
      </c>
      <c r="D553" s="58">
        <v>112</v>
      </c>
      <c r="E553" s="59">
        <v>144.125</v>
      </c>
    </row>
    <row r="554" spans="1:5" ht="15" x14ac:dyDescent="0.35">
      <c r="A554" s="58" t="s">
        <v>314</v>
      </c>
      <c r="B554" s="58" t="s">
        <v>176</v>
      </c>
      <c r="C554" s="58">
        <v>10</v>
      </c>
      <c r="D554" s="58">
        <v>113</v>
      </c>
      <c r="E554" s="59">
        <v>144.125</v>
      </c>
    </row>
    <row r="555" spans="1:5" ht="15" x14ac:dyDescent="0.35">
      <c r="A555" s="58" t="s">
        <v>314</v>
      </c>
      <c r="B555" s="58" t="s">
        <v>176</v>
      </c>
      <c r="C555" s="58">
        <v>11</v>
      </c>
      <c r="D555" s="58">
        <v>114</v>
      </c>
      <c r="E555" s="59">
        <v>144.125</v>
      </c>
    </row>
    <row r="556" spans="1:5" ht="15" x14ac:dyDescent="0.35">
      <c r="A556" s="58" t="s">
        <v>314</v>
      </c>
      <c r="B556" s="58" t="s">
        <v>176</v>
      </c>
      <c r="C556" s="58">
        <v>12</v>
      </c>
      <c r="D556" s="58">
        <v>115</v>
      </c>
      <c r="E556" s="59">
        <v>144.125</v>
      </c>
    </row>
    <row r="557" spans="1:5" ht="15" x14ac:dyDescent="0.35">
      <c r="A557" s="58" t="s">
        <v>314</v>
      </c>
      <c r="B557" s="58" t="s">
        <v>172</v>
      </c>
      <c r="C557" s="58">
        <v>1</v>
      </c>
      <c r="D557" s="58">
        <v>104</v>
      </c>
      <c r="E557" s="59">
        <v>109</v>
      </c>
    </row>
    <row r="558" spans="1:5" ht="15" x14ac:dyDescent="0.35">
      <c r="A558" s="58" t="s">
        <v>314</v>
      </c>
      <c r="B558" s="58" t="s">
        <v>172</v>
      </c>
      <c r="C558" s="58">
        <v>2</v>
      </c>
      <c r="D558" s="58">
        <v>105</v>
      </c>
      <c r="E558" s="59">
        <v>109</v>
      </c>
    </row>
    <row r="559" spans="1:5" ht="15" x14ac:dyDescent="0.35">
      <c r="A559" s="58" t="s">
        <v>314</v>
      </c>
      <c r="B559" s="58" t="s">
        <v>172</v>
      </c>
      <c r="C559" s="58">
        <v>3</v>
      </c>
      <c r="D559" s="58">
        <v>106</v>
      </c>
      <c r="E559" s="59">
        <v>109</v>
      </c>
    </row>
    <row r="560" spans="1:5" ht="15" x14ac:dyDescent="0.35">
      <c r="A560" s="58" t="s">
        <v>314</v>
      </c>
      <c r="B560" s="58" t="s">
        <v>172</v>
      </c>
      <c r="C560" s="58">
        <v>4</v>
      </c>
      <c r="D560" s="58">
        <v>107</v>
      </c>
      <c r="E560" s="59">
        <v>109</v>
      </c>
    </row>
    <row r="561" spans="1:5" ht="15" x14ac:dyDescent="0.35">
      <c r="A561" s="58" t="s">
        <v>314</v>
      </c>
      <c r="B561" s="58" t="s">
        <v>172</v>
      </c>
      <c r="C561" s="58">
        <v>5</v>
      </c>
      <c r="D561" s="58">
        <v>108</v>
      </c>
      <c r="E561" s="59">
        <v>109</v>
      </c>
    </row>
    <row r="562" spans="1:5" ht="15" x14ac:dyDescent="0.35">
      <c r="A562" s="58" t="s">
        <v>314</v>
      </c>
      <c r="B562" s="58" t="s">
        <v>172</v>
      </c>
      <c r="C562" s="58">
        <v>6</v>
      </c>
      <c r="D562" s="58">
        <v>109</v>
      </c>
      <c r="E562" s="59">
        <v>109</v>
      </c>
    </row>
    <row r="563" spans="1:5" ht="15" x14ac:dyDescent="0.35">
      <c r="A563" s="58" t="s">
        <v>314</v>
      </c>
      <c r="B563" s="58" t="s">
        <v>172</v>
      </c>
      <c r="C563" s="58">
        <v>7</v>
      </c>
      <c r="D563" s="58">
        <v>110</v>
      </c>
      <c r="E563" s="59">
        <v>109</v>
      </c>
    </row>
    <row r="564" spans="1:5" ht="15" x14ac:dyDescent="0.35">
      <c r="A564" s="58" t="s">
        <v>314</v>
      </c>
      <c r="B564" s="58" t="s">
        <v>172</v>
      </c>
      <c r="C564" s="58">
        <v>8</v>
      </c>
      <c r="D564" s="58">
        <v>111</v>
      </c>
      <c r="E564" s="59">
        <v>109</v>
      </c>
    </row>
    <row r="565" spans="1:5" ht="15" x14ac:dyDescent="0.35">
      <c r="A565" s="58" t="s">
        <v>314</v>
      </c>
      <c r="B565" s="58" t="s">
        <v>172</v>
      </c>
      <c r="C565" s="58">
        <v>9</v>
      </c>
      <c r="D565" s="58">
        <v>112</v>
      </c>
      <c r="E565" s="59">
        <v>109</v>
      </c>
    </row>
    <row r="566" spans="1:5" ht="15" x14ac:dyDescent="0.35">
      <c r="A566" s="58" t="s">
        <v>314</v>
      </c>
      <c r="B566" s="58" t="s">
        <v>172</v>
      </c>
      <c r="C566" s="58">
        <v>10</v>
      </c>
      <c r="D566" s="58">
        <v>113</v>
      </c>
      <c r="E566" s="59">
        <v>109</v>
      </c>
    </row>
    <row r="567" spans="1:5" ht="15" x14ac:dyDescent="0.35">
      <c r="A567" s="58" t="s">
        <v>314</v>
      </c>
      <c r="B567" s="58" t="s">
        <v>172</v>
      </c>
      <c r="C567" s="58">
        <v>11</v>
      </c>
      <c r="D567" s="58">
        <v>114</v>
      </c>
      <c r="E567" s="59">
        <v>109</v>
      </c>
    </row>
    <row r="568" spans="1:5" ht="15" x14ac:dyDescent="0.35">
      <c r="A568" s="58" t="s">
        <v>314</v>
      </c>
      <c r="B568" s="58" t="s">
        <v>172</v>
      </c>
      <c r="C568" s="58">
        <v>12</v>
      </c>
      <c r="D568" s="58">
        <v>115</v>
      </c>
      <c r="E568" s="59">
        <v>109</v>
      </c>
    </row>
    <row r="569" spans="1:5" ht="15" x14ac:dyDescent="0.35">
      <c r="A569" s="58" t="s">
        <v>314</v>
      </c>
      <c r="B569" s="58" t="s">
        <v>180</v>
      </c>
      <c r="C569" s="58">
        <v>1</v>
      </c>
      <c r="D569" s="58">
        <v>104</v>
      </c>
      <c r="E569" s="59">
        <v>190.23060000000001</v>
      </c>
    </row>
    <row r="570" spans="1:5" ht="15" x14ac:dyDescent="0.35">
      <c r="A570" s="58" t="s">
        <v>314</v>
      </c>
      <c r="B570" s="58" t="s">
        <v>180</v>
      </c>
      <c r="C570" s="58">
        <v>2</v>
      </c>
      <c r="D570" s="58">
        <v>105</v>
      </c>
      <c r="E570" s="59">
        <v>190.23060000000001</v>
      </c>
    </row>
    <row r="571" spans="1:5" ht="15" x14ac:dyDescent="0.35">
      <c r="A571" s="58" t="s">
        <v>314</v>
      </c>
      <c r="B571" s="58" t="s">
        <v>180</v>
      </c>
      <c r="C571" s="58">
        <v>3</v>
      </c>
      <c r="D571" s="58">
        <v>106</v>
      </c>
      <c r="E571" s="59">
        <v>190.23060000000001</v>
      </c>
    </row>
    <row r="572" spans="1:5" ht="15" x14ac:dyDescent="0.35">
      <c r="A572" s="58" t="s">
        <v>314</v>
      </c>
      <c r="B572" s="58" t="s">
        <v>180</v>
      </c>
      <c r="C572" s="58">
        <v>4</v>
      </c>
      <c r="D572" s="58">
        <v>107</v>
      </c>
      <c r="E572" s="59">
        <v>190.23060000000001</v>
      </c>
    </row>
    <row r="573" spans="1:5" ht="15" x14ac:dyDescent="0.35">
      <c r="A573" s="58" t="s">
        <v>314</v>
      </c>
      <c r="B573" s="58" t="s">
        <v>180</v>
      </c>
      <c r="C573" s="58">
        <v>5</v>
      </c>
      <c r="D573" s="58">
        <v>108</v>
      </c>
      <c r="E573" s="59">
        <v>190.23060000000001</v>
      </c>
    </row>
    <row r="574" spans="1:5" ht="15" x14ac:dyDescent="0.35">
      <c r="A574" s="58" t="s">
        <v>314</v>
      </c>
      <c r="B574" s="58" t="s">
        <v>180</v>
      </c>
      <c r="C574" s="58">
        <v>6</v>
      </c>
      <c r="D574" s="58">
        <v>109</v>
      </c>
      <c r="E574" s="59">
        <v>190.23060000000001</v>
      </c>
    </row>
    <row r="575" spans="1:5" ht="15" x14ac:dyDescent="0.35">
      <c r="A575" s="58" t="s">
        <v>314</v>
      </c>
      <c r="B575" s="58" t="s">
        <v>180</v>
      </c>
      <c r="C575" s="58">
        <v>7</v>
      </c>
      <c r="D575" s="58">
        <v>110</v>
      </c>
      <c r="E575" s="59">
        <v>190.23060000000001</v>
      </c>
    </row>
    <row r="576" spans="1:5" ht="15" x14ac:dyDescent="0.35">
      <c r="A576" s="58" t="s">
        <v>314</v>
      </c>
      <c r="B576" s="58" t="s">
        <v>180</v>
      </c>
      <c r="C576" s="58">
        <v>8</v>
      </c>
      <c r="D576" s="58">
        <v>111</v>
      </c>
      <c r="E576" s="59">
        <v>190.23060000000001</v>
      </c>
    </row>
    <row r="577" spans="1:5" ht="15" x14ac:dyDescent="0.35">
      <c r="A577" s="58" t="s">
        <v>314</v>
      </c>
      <c r="B577" s="58" t="s">
        <v>180</v>
      </c>
      <c r="C577" s="58">
        <v>9</v>
      </c>
      <c r="D577" s="58">
        <v>112</v>
      </c>
      <c r="E577" s="59">
        <v>190.23060000000001</v>
      </c>
    </row>
    <row r="578" spans="1:5" ht="15" x14ac:dyDescent="0.35">
      <c r="A578" s="58" t="s">
        <v>314</v>
      </c>
      <c r="B578" s="58" t="s">
        <v>180</v>
      </c>
      <c r="C578" s="58">
        <v>10</v>
      </c>
      <c r="D578" s="58">
        <v>113</v>
      </c>
      <c r="E578" s="59">
        <v>190.23060000000001</v>
      </c>
    </row>
    <row r="579" spans="1:5" ht="15" x14ac:dyDescent="0.35">
      <c r="A579" s="58" t="s">
        <v>314</v>
      </c>
      <c r="B579" s="58" t="s">
        <v>180</v>
      </c>
      <c r="C579" s="58">
        <v>11</v>
      </c>
      <c r="D579" s="58">
        <v>114</v>
      </c>
      <c r="E579" s="59">
        <v>190.23060000000001</v>
      </c>
    </row>
    <row r="580" spans="1:5" ht="15" x14ac:dyDescent="0.35">
      <c r="A580" s="58" t="s">
        <v>314</v>
      </c>
      <c r="B580" s="58" t="s">
        <v>180</v>
      </c>
      <c r="C580" s="58">
        <v>12</v>
      </c>
      <c r="D580" s="58">
        <v>115</v>
      </c>
      <c r="E580" s="59">
        <v>190.23060000000001</v>
      </c>
    </row>
    <row r="581" spans="1:5" ht="15" x14ac:dyDescent="0.35">
      <c r="A581" s="58" t="s">
        <v>295</v>
      </c>
      <c r="B581" s="58" t="s">
        <v>182</v>
      </c>
      <c r="C581" s="58">
        <v>1</v>
      </c>
      <c r="D581" s="58">
        <v>104</v>
      </c>
      <c r="E581" s="59">
        <v>257.13729999999998</v>
      </c>
    </row>
    <row r="582" spans="1:5" ht="15" x14ac:dyDescent="0.35">
      <c r="A582" s="58" t="s">
        <v>295</v>
      </c>
      <c r="B582" s="58" t="s">
        <v>182</v>
      </c>
      <c r="C582" s="58">
        <v>2</v>
      </c>
      <c r="D582" s="58">
        <v>105</v>
      </c>
      <c r="E582" s="59">
        <v>190.11510000000001</v>
      </c>
    </row>
    <row r="583" spans="1:5" ht="15" x14ac:dyDescent="0.35">
      <c r="A583" s="58" t="s">
        <v>295</v>
      </c>
      <c r="B583" s="58" t="s">
        <v>182</v>
      </c>
      <c r="C583" s="58">
        <v>3</v>
      </c>
      <c r="D583" s="58">
        <v>106</v>
      </c>
      <c r="E583" s="59">
        <v>196.58179999999999</v>
      </c>
    </row>
    <row r="584" spans="1:5" ht="15" x14ac:dyDescent="0.35">
      <c r="A584" s="58" t="s">
        <v>295</v>
      </c>
      <c r="B584" s="58" t="s">
        <v>182</v>
      </c>
      <c r="C584" s="58">
        <v>4</v>
      </c>
      <c r="D584" s="58">
        <v>107</v>
      </c>
      <c r="E584" s="59">
        <v>203.20079999999999</v>
      </c>
    </row>
    <row r="585" spans="1:5" ht="15" x14ac:dyDescent="0.35">
      <c r="A585" s="58" t="s">
        <v>295</v>
      </c>
      <c r="B585" s="58" t="s">
        <v>182</v>
      </c>
      <c r="C585" s="58">
        <v>5</v>
      </c>
      <c r="D585" s="58">
        <v>108</v>
      </c>
      <c r="E585" s="59">
        <v>213.6651</v>
      </c>
    </row>
    <row r="586" spans="1:5" ht="15" x14ac:dyDescent="0.35">
      <c r="A586" s="58" t="s">
        <v>295</v>
      </c>
      <c r="B586" s="58" t="s">
        <v>182</v>
      </c>
      <c r="C586" s="58">
        <v>6</v>
      </c>
      <c r="D586" s="58">
        <v>109</v>
      </c>
      <c r="E586" s="59">
        <v>209.13730000000001</v>
      </c>
    </row>
    <row r="587" spans="1:5" ht="15" x14ac:dyDescent="0.35">
      <c r="A587" s="58" t="s">
        <v>295</v>
      </c>
      <c r="B587" s="58" t="s">
        <v>182</v>
      </c>
      <c r="C587" s="58">
        <v>7</v>
      </c>
      <c r="D587" s="58">
        <v>110</v>
      </c>
      <c r="E587" s="59">
        <v>213.13730000000001</v>
      </c>
    </row>
    <row r="588" spans="1:5" ht="15" x14ac:dyDescent="0.35">
      <c r="A588" s="58" t="s">
        <v>295</v>
      </c>
      <c r="B588" s="58" t="s">
        <v>182</v>
      </c>
      <c r="C588" s="58">
        <v>8</v>
      </c>
      <c r="D588" s="58">
        <v>111</v>
      </c>
      <c r="E588" s="59">
        <v>209.2484</v>
      </c>
    </row>
    <row r="589" spans="1:5" ht="15" x14ac:dyDescent="0.35">
      <c r="A589" s="58" t="s">
        <v>295</v>
      </c>
      <c r="B589" s="58" t="s">
        <v>182</v>
      </c>
      <c r="C589" s="58">
        <v>9</v>
      </c>
      <c r="D589" s="58">
        <v>112</v>
      </c>
      <c r="E589" s="59">
        <v>240.2484</v>
      </c>
    </row>
    <row r="590" spans="1:5" ht="15" x14ac:dyDescent="0.35">
      <c r="A590" s="58" t="s">
        <v>295</v>
      </c>
      <c r="B590" s="58" t="s">
        <v>182</v>
      </c>
      <c r="C590" s="58">
        <v>10</v>
      </c>
      <c r="D590" s="58">
        <v>113</v>
      </c>
      <c r="E590" s="59">
        <v>248.804</v>
      </c>
    </row>
    <row r="591" spans="1:5" ht="15" x14ac:dyDescent="0.35">
      <c r="A591" s="58" t="s">
        <v>295</v>
      </c>
      <c r="B591" s="58" t="s">
        <v>182</v>
      </c>
      <c r="C591" s="58">
        <v>11</v>
      </c>
      <c r="D591" s="58">
        <v>114</v>
      </c>
      <c r="E591" s="59">
        <v>251.2484</v>
      </c>
    </row>
    <row r="592" spans="1:5" ht="15" x14ac:dyDescent="0.35">
      <c r="A592" s="58" t="s">
        <v>295</v>
      </c>
      <c r="B592" s="58" t="s">
        <v>182</v>
      </c>
      <c r="C592" s="58">
        <v>12</v>
      </c>
      <c r="D592" s="58">
        <v>115</v>
      </c>
      <c r="E592" s="59">
        <v>267.58179999999999</v>
      </c>
    </row>
    <row r="593" spans="1:5" ht="15" x14ac:dyDescent="0.35">
      <c r="A593" s="58" t="s">
        <v>295</v>
      </c>
      <c r="B593" s="58" t="s">
        <v>176</v>
      </c>
      <c r="C593" s="58">
        <v>1</v>
      </c>
      <c r="D593" s="58">
        <v>104</v>
      </c>
      <c r="E593" s="59">
        <v>248.625</v>
      </c>
    </row>
    <row r="594" spans="1:5" ht="15" x14ac:dyDescent="0.35">
      <c r="A594" s="58" t="s">
        <v>295</v>
      </c>
      <c r="B594" s="58" t="s">
        <v>176</v>
      </c>
      <c r="C594" s="58">
        <v>2</v>
      </c>
      <c r="D594" s="58">
        <v>105</v>
      </c>
      <c r="E594" s="59">
        <v>248.625</v>
      </c>
    </row>
    <row r="595" spans="1:5" ht="15" x14ac:dyDescent="0.35">
      <c r="A595" s="58" t="s">
        <v>295</v>
      </c>
      <c r="B595" s="58" t="s">
        <v>176</v>
      </c>
      <c r="C595" s="58">
        <v>3</v>
      </c>
      <c r="D595" s="58">
        <v>106</v>
      </c>
      <c r="E595" s="59">
        <v>248.625</v>
      </c>
    </row>
    <row r="596" spans="1:5" ht="15" x14ac:dyDescent="0.35">
      <c r="A596" s="58" t="s">
        <v>295</v>
      </c>
      <c r="B596" s="58" t="s">
        <v>176</v>
      </c>
      <c r="C596" s="58">
        <v>4</v>
      </c>
      <c r="D596" s="58">
        <v>107</v>
      </c>
      <c r="E596" s="59">
        <v>248.625</v>
      </c>
    </row>
    <row r="597" spans="1:5" ht="15" x14ac:dyDescent="0.35">
      <c r="A597" s="58" t="s">
        <v>295</v>
      </c>
      <c r="B597" s="58" t="s">
        <v>176</v>
      </c>
      <c r="C597" s="58">
        <v>5</v>
      </c>
      <c r="D597" s="58">
        <v>108</v>
      </c>
      <c r="E597" s="59">
        <v>248.625</v>
      </c>
    </row>
    <row r="598" spans="1:5" ht="15" x14ac:dyDescent="0.35">
      <c r="A598" s="58" t="s">
        <v>295</v>
      </c>
      <c r="B598" s="58" t="s">
        <v>176</v>
      </c>
      <c r="C598" s="58">
        <v>6</v>
      </c>
      <c r="D598" s="58">
        <v>109</v>
      </c>
      <c r="E598" s="59">
        <v>248.625</v>
      </c>
    </row>
    <row r="599" spans="1:5" ht="15" x14ac:dyDescent="0.35">
      <c r="A599" s="58" t="s">
        <v>295</v>
      </c>
      <c r="B599" s="58" t="s">
        <v>176</v>
      </c>
      <c r="C599" s="58">
        <v>7</v>
      </c>
      <c r="D599" s="58">
        <v>110</v>
      </c>
      <c r="E599" s="59">
        <v>248.625</v>
      </c>
    </row>
    <row r="600" spans="1:5" ht="15" x14ac:dyDescent="0.35">
      <c r="A600" s="58" t="s">
        <v>295</v>
      </c>
      <c r="B600" s="58" t="s">
        <v>176</v>
      </c>
      <c r="C600" s="58">
        <v>8</v>
      </c>
      <c r="D600" s="58">
        <v>111</v>
      </c>
      <c r="E600" s="59">
        <v>248.625</v>
      </c>
    </row>
    <row r="601" spans="1:5" ht="15" x14ac:dyDescent="0.35">
      <c r="A601" s="58" t="s">
        <v>295</v>
      </c>
      <c r="B601" s="58" t="s">
        <v>176</v>
      </c>
      <c r="C601" s="58">
        <v>9</v>
      </c>
      <c r="D601" s="58">
        <v>112</v>
      </c>
      <c r="E601" s="59">
        <v>248.625</v>
      </c>
    </row>
    <row r="602" spans="1:5" ht="15" x14ac:dyDescent="0.35">
      <c r="A602" s="58" t="s">
        <v>295</v>
      </c>
      <c r="B602" s="58" t="s">
        <v>176</v>
      </c>
      <c r="C602" s="58">
        <v>10</v>
      </c>
      <c r="D602" s="58">
        <v>113</v>
      </c>
      <c r="E602" s="59">
        <v>248.625</v>
      </c>
    </row>
    <row r="603" spans="1:5" ht="15" x14ac:dyDescent="0.35">
      <c r="A603" s="58" t="s">
        <v>295</v>
      </c>
      <c r="B603" s="58" t="s">
        <v>176</v>
      </c>
      <c r="C603" s="58">
        <v>11</v>
      </c>
      <c r="D603" s="58">
        <v>114</v>
      </c>
      <c r="E603" s="59">
        <v>248.625</v>
      </c>
    </row>
    <row r="604" spans="1:5" ht="15" x14ac:dyDescent="0.35">
      <c r="A604" s="58" t="s">
        <v>295</v>
      </c>
      <c r="B604" s="58" t="s">
        <v>176</v>
      </c>
      <c r="C604" s="58">
        <v>12</v>
      </c>
      <c r="D604" s="58">
        <v>115</v>
      </c>
      <c r="E604" s="59">
        <v>248.625</v>
      </c>
    </row>
    <row r="605" spans="1:5" ht="15" x14ac:dyDescent="0.35">
      <c r="A605" s="58" t="s">
        <v>295</v>
      </c>
      <c r="B605" s="58" t="s">
        <v>172</v>
      </c>
      <c r="C605" s="58">
        <v>1</v>
      </c>
      <c r="D605" s="58">
        <v>104</v>
      </c>
      <c r="E605" s="59">
        <v>348</v>
      </c>
    </row>
    <row r="606" spans="1:5" ht="15" x14ac:dyDescent="0.35">
      <c r="A606" s="58" t="s">
        <v>295</v>
      </c>
      <c r="B606" s="58" t="s">
        <v>172</v>
      </c>
      <c r="C606" s="58">
        <v>2</v>
      </c>
      <c r="D606" s="58">
        <v>105</v>
      </c>
      <c r="E606" s="59">
        <v>348</v>
      </c>
    </row>
    <row r="607" spans="1:5" ht="15" x14ac:dyDescent="0.35">
      <c r="A607" s="58" t="s">
        <v>295</v>
      </c>
      <c r="B607" s="58" t="s">
        <v>172</v>
      </c>
      <c r="C607" s="58">
        <v>3</v>
      </c>
      <c r="D607" s="58">
        <v>106</v>
      </c>
      <c r="E607" s="59">
        <v>348</v>
      </c>
    </row>
    <row r="608" spans="1:5" ht="15" x14ac:dyDescent="0.35">
      <c r="A608" s="58" t="s">
        <v>295</v>
      </c>
      <c r="B608" s="58" t="s">
        <v>172</v>
      </c>
      <c r="C608" s="58">
        <v>4</v>
      </c>
      <c r="D608" s="58">
        <v>107</v>
      </c>
      <c r="E608" s="59">
        <v>348</v>
      </c>
    </row>
    <row r="609" spans="1:5" ht="15" x14ac:dyDescent="0.35">
      <c r="A609" s="58" t="s">
        <v>295</v>
      </c>
      <c r="B609" s="58" t="s">
        <v>172</v>
      </c>
      <c r="C609" s="58">
        <v>5</v>
      </c>
      <c r="D609" s="58">
        <v>108</v>
      </c>
      <c r="E609" s="59">
        <v>348</v>
      </c>
    </row>
    <row r="610" spans="1:5" ht="15" x14ac:dyDescent="0.35">
      <c r="A610" s="58" t="s">
        <v>295</v>
      </c>
      <c r="B610" s="58" t="s">
        <v>172</v>
      </c>
      <c r="C610" s="58">
        <v>6</v>
      </c>
      <c r="D610" s="58">
        <v>109</v>
      </c>
      <c r="E610" s="59">
        <v>348</v>
      </c>
    </row>
    <row r="611" spans="1:5" ht="15" x14ac:dyDescent="0.35">
      <c r="A611" s="58" t="s">
        <v>295</v>
      </c>
      <c r="B611" s="58" t="s">
        <v>172</v>
      </c>
      <c r="C611" s="58">
        <v>7</v>
      </c>
      <c r="D611" s="58">
        <v>110</v>
      </c>
      <c r="E611" s="59">
        <v>348</v>
      </c>
    </row>
    <row r="612" spans="1:5" ht="15" x14ac:dyDescent="0.35">
      <c r="A612" s="58" t="s">
        <v>295</v>
      </c>
      <c r="B612" s="58" t="s">
        <v>172</v>
      </c>
      <c r="C612" s="58">
        <v>8</v>
      </c>
      <c r="D612" s="58">
        <v>111</v>
      </c>
      <c r="E612" s="59">
        <v>348</v>
      </c>
    </row>
    <row r="613" spans="1:5" ht="15" x14ac:dyDescent="0.35">
      <c r="A613" s="58" t="s">
        <v>295</v>
      </c>
      <c r="B613" s="58" t="s">
        <v>172</v>
      </c>
      <c r="C613" s="58">
        <v>9</v>
      </c>
      <c r="D613" s="58">
        <v>112</v>
      </c>
      <c r="E613" s="59">
        <v>348</v>
      </c>
    </row>
    <row r="614" spans="1:5" ht="15" x14ac:dyDescent="0.35">
      <c r="A614" s="58" t="s">
        <v>295</v>
      </c>
      <c r="B614" s="58" t="s">
        <v>172</v>
      </c>
      <c r="C614" s="58">
        <v>10</v>
      </c>
      <c r="D614" s="58">
        <v>113</v>
      </c>
      <c r="E614" s="59">
        <v>348</v>
      </c>
    </row>
    <row r="615" spans="1:5" ht="15" x14ac:dyDescent="0.35">
      <c r="A615" s="58" t="s">
        <v>295</v>
      </c>
      <c r="B615" s="58" t="s">
        <v>172</v>
      </c>
      <c r="C615" s="58">
        <v>11</v>
      </c>
      <c r="D615" s="58">
        <v>114</v>
      </c>
      <c r="E615" s="59">
        <v>348</v>
      </c>
    </row>
    <row r="616" spans="1:5" ht="15" x14ac:dyDescent="0.35">
      <c r="A616" s="58" t="s">
        <v>295</v>
      </c>
      <c r="B616" s="58" t="s">
        <v>172</v>
      </c>
      <c r="C616" s="58">
        <v>12</v>
      </c>
      <c r="D616" s="58">
        <v>115</v>
      </c>
      <c r="E616" s="59">
        <v>348</v>
      </c>
    </row>
    <row r="617" spans="1:5" ht="15" x14ac:dyDescent="0.35">
      <c r="A617" s="58" t="s">
        <v>295</v>
      </c>
      <c r="B617" s="58" t="s">
        <v>180</v>
      </c>
      <c r="C617" s="58">
        <v>1</v>
      </c>
      <c r="D617" s="58">
        <v>104</v>
      </c>
      <c r="E617" s="59">
        <v>270.8193</v>
      </c>
    </row>
    <row r="618" spans="1:5" ht="15" x14ac:dyDescent="0.35">
      <c r="A618" s="58" t="s">
        <v>295</v>
      </c>
      <c r="B618" s="58" t="s">
        <v>180</v>
      </c>
      <c r="C618" s="58">
        <v>2</v>
      </c>
      <c r="D618" s="58">
        <v>105</v>
      </c>
      <c r="E618" s="59">
        <v>270.8193</v>
      </c>
    </row>
    <row r="619" spans="1:5" ht="15" x14ac:dyDescent="0.35">
      <c r="A619" s="58" t="s">
        <v>295</v>
      </c>
      <c r="B619" s="58" t="s">
        <v>180</v>
      </c>
      <c r="C619" s="58">
        <v>3</v>
      </c>
      <c r="D619" s="58">
        <v>106</v>
      </c>
      <c r="E619" s="59">
        <v>270.8193</v>
      </c>
    </row>
    <row r="620" spans="1:5" ht="15" x14ac:dyDescent="0.35">
      <c r="A620" s="58" t="s">
        <v>295</v>
      </c>
      <c r="B620" s="58" t="s">
        <v>180</v>
      </c>
      <c r="C620" s="58">
        <v>4</v>
      </c>
      <c r="D620" s="58">
        <v>107</v>
      </c>
      <c r="E620" s="59">
        <v>270.8193</v>
      </c>
    </row>
    <row r="621" spans="1:5" ht="15" x14ac:dyDescent="0.35">
      <c r="A621" s="58" t="s">
        <v>295</v>
      </c>
      <c r="B621" s="58" t="s">
        <v>180</v>
      </c>
      <c r="C621" s="58">
        <v>5</v>
      </c>
      <c r="D621" s="58">
        <v>108</v>
      </c>
      <c r="E621" s="59">
        <v>270.8193</v>
      </c>
    </row>
    <row r="622" spans="1:5" ht="15" x14ac:dyDescent="0.35">
      <c r="A622" s="58" t="s">
        <v>295</v>
      </c>
      <c r="B622" s="58" t="s">
        <v>180</v>
      </c>
      <c r="C622" s="58">
        <v>6</v>
      </c>
      <c r="D622" s="58">
        <v>109</v>
      </c>
      <c r="E622" s="59">
        <v>270.8193</v>
      </c>
    </row>
    <row r="623" spans="1:5" ht="15" x14ac:dyDescent="0.35">
      <c r="A623" s="58" t="s">
        <v>295</v>
      </c>
      <c r="B623" s="58" t="s">
        <v>180</v>
      </c>
      <c r="C623" s="58">
        <v>7</v>
      </c>
      <c r="D623" s="58">
        <v>110</v>
      </c>
      <c r="E623" s="59">
        <v>270.8193</v>
      </c>
    </row>
    <row r="624" spans="1:5" ht="15" x14ac:dyDescent="0.35">
      <c r="A624" s="58" t="s">
        <v>295</v>
      </c>
      <c r="B624" s="58" t="s">
        <v>180</v>
      </c>
      <c r="C624" s="58">
        <v>8</v>
      </c>
      <c r="D624" s="58">
        <v>111</v>
      </c>
      <c r="E624" s="59">
        <v>270.8193</v>
      </c>
    </row>
    <row r="625" spans="1:5" ht="15" x14ac:dyDescent="0.35">
      <c r="A625" s="58" t="s">
        <v>295</v>
      </c>
      <c r="B625" s="58" t="s">
        <v>180</v>
      </c>
      <c r="C625" s="58">
        <v>9</v>
      </c>
      <c r="D625" s="58">
        <v>112</v>
      </c>
      <c r="E625" s="59">
        <v>270.8193</v>
      </c>
    </row>
    <row r="626" spans="1:5" ht="15" x14ac:dyDescent="0.35">
      <c r="A626" s="58" t="s">
        <v>295</v>
      </c>
      <c r="B626" s="58" t="s">
        <v>180</v>
      </c>
      <c r="C626" s="58">
        <v>10</v>
      </c>
      <c r="D626" s="58">
        <v>113</v>
      </c>
      <c r="E626" s="59">
        <v>270.8193</v>
      </c>
    </row>
    <row r="627" spans="1:5" ht="15" x14ac:dyDescent="0.35">
      <c r="A627" s="58" t="s">
        <v>295</v>
      </c>
      <c r="B627" s="58" t="s">
        <v>180</v>
      </c>
      <c r="C627" s="58">
        <v>11</v>
      </c>
      <c r="D627" s="58">
        <v>114</v>
      </c>
      <c r="E627" s="59">
        <v>270.8193</v>
      </c>
    </row>
    <row r="628" spans="1:5" ht="15" x14ac:dyDescent="0.35">
      <c r="A628" s="58" t="s">
        <v>295</v>
      </c>
      <c r="B628" s="58" t="s">
        <v>180</v>
      </c>
      <c r="C628" s="58">
        <v>12</v>
      </c>
      <c r="D628" s="58">
        <v>115</v>
      </c>
      <c r="E628" s="59">
        <v>270.8193</v>
      </c>
    </row>
    <row r="629" spans="1:5" ht="15" x14ac:dyDescent="0.35">
      <c r="A629" s="58" t="s">
        <v>302</v>
      </c>
      <c r="B629" s="58" t="s">
        <v>182</v>
      </c>
      <c r="C629" s="58">
        <v>1</v>
      </c>
      <c r="D629" s="58">
        <v>104</v>
      </c>
      <c r="E629" s="59">
        <v>134.3023</v>
      </c>
    </row>
    <row r="630" spans="1:5" ht="15" x14ac:dyDescent="0.35">
      <c r="A630" s="58" t="s">
        <v>302</v>
      </c>
      <c r="B630" s="58" t="s">
        <v>182</v>
      </c>
      <c r="C630" s="58">
        <v>2</v>
      </c>
      <c r="D630" s="58">
        <v>105</v>
      </c>
      <c r="E630" s="59">
        <v>171.2578</v>
      </c>
    </row>
    <row r="631" spans="1:5" ht="15" x14ac:dyDescent="0.35">
      <c r="A631" s="58" t="s">
        <v>302</v>
      </c>
      <c r="B631" s="58" t="s">
        <v>182</v>
      </c>
      <c r="C631" s="58">
        <v>3</v>
      </c>
      <c r="D631" s="58">
        <v>106</v>
      </c>
      <c r="E631" s="59">
        <v>157.52449999999999</v>
      </c>
    </row>
    <row r="632" spans="1:5" ht="15" x14ac:dyDescent="0.35">
      <c r="A632" s="58" t="s">
        <v>302</v>
      </c>
      <c r="B632" s="58" t="s">
        <v>182</v>
      </c>
      <c r="C632" s="58">
        <v>4</v>
      </c>
      <c r="D632" s="58">
        <v>107</v>
      </c>
      <c r="E632" s="59">
        <v>179.57210000000001</v>
      </c>
    </row>
    <row r="633" spans="1:5" ht="15" x14ac:dyDescent="0.35">
      <c r="A633" s="58" t="s">
        <v>302</v>
      </c>
      <c r="B633" s="58" t="s">
        <v>182</v>
      </c>
      <c r="C633" s="58">
        <v>5</v>
      </c>
      <c r="D633" s="58">
        <v>108</v>
      </c>
      <c r="E633" s="59">
        <v>169.9828</v>
      </c>
    </row>
    <row r="634" spans="1:5" ht="15" x14ac:dyDescent="0.35">
      <c r="A634" s="58" t="s">
        <v>302</v>
      </c>
      <c r="B634" s="58" t="s">
        <v>182</v>
      </c>
      <c r="C634" s="58">
        <v>6</v>
      </c>
      <c r="D634" s="58">
        <v>109</v>
      </c>
      <c r="E634" s="59">
        <v>186.96899999999999</v>
      </c>
    </row>
    <row r="635" spans="1:5" ht="15" x14ac:dyDescent="0.35">
      <c r="A635" s="58" t="s">
        <v>302</v>
      </c>
      <c r="B635" s="58" t="s">
        <v>182</v>
      </c>
      <c r="C635" s="58">
        <v>7</v>
      </c>
      <c r="D635" s="58">
        <v>110</v>
      </c>
      <c r="E635" s="59">
        <v>197.08009999999999</v>
      </c>
    </row>
    <row r="636" spans="1:5" ht="15" x14ac:dyDescent="0.35">
      <c r="A636" s="58" t="s">
        <v>302</v>
      </c>
      <c r="B636" s="58" t="s">
        <v>182</v>
      </c>
      <c r="C636" s="58">
        <v>8</v>
      </c>
      <c r="D636" s="58">
        <v>111</v>
      </c>
      <c r="E636" s="59">
        <v>186.8578</v>
      </c>
    </row>
    <row r="637" spans="1:5" ht="15" x14ac:dyDescent="0.35">
      <c r="A637" s="58" t="s">
        <v>302</v>
      </c>
      <c r="B637" s="58" t="s">
        <v>182</v>
      </c>
      <c r="C637" s="58">
        <v>9</v>
      </c>
      <c r="D637" s="58">
        <v>112</v>
      </c>
      <c r="E637" s="59">
        <v>213.3023</v>
      </c>
    </row>
    <row r="638" spans="1:5" ht="15" x14ac:dyDescent="0.35">
      <c r="A638" s="58" t="s">
        <v>302</v>
      </c>
      <c r="B638" s="58" t="s">
        <v>182</v>
      </c>
      <c r="C638" s="58">
        <v>10</v>
      </c>
      <c r="D638" s="58">
        <v>113</v>
      </c>
      <c r="E638" s="59">
        <v>239.3023</v>
      </c>
    </row>
    <row r="639" spans="1:5" ht="15" x14ac:dyDescent="0.35">
      <c r="A639" s="58" t="s">
        <v>302</v>
      </c>
      <c r="B639" s="58" t="s">
        <v>182</v>
      </c>
      <c r="C639" s="58">
        <v>11</v>
      </c>
      <c r="D639" s="58">
        <v>114</v>
      </c>
      <c r="E639" s="59">
        <v>200.7467</v>
      </c>
    </row>
    <row r="640" spans="1:5" ht="15" x14ac:dyDescent="0.35">
      <c r="A640" s="58" t="s">
        <v>302</v>
      </c>
      <c r="B640" s="58" t="s">
        <v>182</v>
      </c>
      <c r="C640" s="58">
        <v>12</v>
      </c>
      <c r="D640" s="58">
        <v>115</v>
      </c>
      <c r="E640" s="59">
        <v>216.63560000000001</v>
      </c>
    </row>
    <row r="641" spans="1:5" ht="15" x14ac:dyDescent="0.35">
      <c r="A641" s="58" t="s">
        <v>302</v>
      </c>
      <c r="B641" s="58" t="s">
        <v>176</v>
      </c>
      <c r="C641" s="58">
        <v>1</v>
      </c>
      <c r="D641" s="58">
        <v>104</v>
      </c>
      <c r="E641" s="59">
        <v>192.75</v>
      </c>
    </row>
    <row r="642" spans="1:5" ht="15" x14ac:dyDescent="0.35">
      <c r="A642" s="58" t="s">
        <v>302</v>
      </c>
      <c r="B642" s="58" t="s">
        <v>176</v>
      </c>
      <c r="C642" s="58">
        <v>2</v>
      </c>
      <c r="D642" s="58">
        <v>105</v>
      </c>
      <c r="E642" s="59">
        <v>192.75</v>
      </c>
    </row>
    <row r="643" spans="1:5" ht="15" x14ac:dyDescent="0.35">
      <c r="A643" s="58" t="s">
        <v>302</v>
      </c>
      <c r="B643" s="58" t="s">
        <v>176</v>
      </c>
      <c r="C643" s="58">
        <v>3</v>
      </c>
      <c r="D643" s="58">
        <v>106</v>
      </c>
      <c r="E643" s="59">
        <v>192.75</v>
      </c>
    </row>
    <row r="644" spans="1:5" ht="15" x14ac:dyDescent="0.35">
      <c r="A644" s="58" t="s">
        <v>302</v>
      </c>
      <c r="B644" s="58" t="s">
        <v>176</v>
      </c>
      <c r="C644" s="58">
        <v>4</v>
      </c>
      <c r="D644" s="58">
        <v>107</v>
      </c>
      <c r="E644" s="59">
        <v>192.75</v>
      </c>
    </row>
    <row r="645" spans="1:5" ht="15" x14ac:dyDescent="0.35">
      <c r="A645" s="58" t="s">
        <v>302</v>
      </c>
      <c r="B645" s="58" t="s">
        <v>176</v>
      </c>
      <c r="C645" s="58">
        <v>5</v>
      </c>
      <c r="D645" s="58">
        <v>108</v>
      </c>
      <c r="E645" s="59">
        <v>192.75</v>
      </c>
    </row>
    <row r="646" spans="1:5" ht="15" x14ac:dyDescent="0.35">
      <c r="A646" s="58" t="s">
        <v>302</v>
      </c>
      <c r="B646" s="58" t="s">
        <v>176</v>
      </c>
      <c r="C646" s="58">
        <v>6</v>
      </c>
      <c r="D646" s="58">
        <v>109</v>
      </c>
      <c r="E646" s="59">
        <v>192.75</v>
      </c>
    </row>
    <row r="647" spans="1:5" ht="15" x14ac:dyDescent="0.35">
      <c r="A647" s="58" t="s">
        <v>302</v>
      </c>
      <c r="B647" s="58" t="s">
        <v>176</v>
      </c>
      <c r="C647" s="58">
        <v>7</v>
      </c>
      <c r="D647" s="58">
        <v>110</v>
      </c>
      <c r="E647" s="59">
        <v>192.75</v>
      </c>
    </row>
    <row r="648" spans="1:5" ht="15" x14ac:dyDescent="0.35">
      <c r="A648" s="58" t="s">
        <v>302</v>
      </c>
      <c r="B648" s="58" t="s">
        <v>176</v>
      </c>
      <c r="C648" s="58">
        <v>8</v>
      </c>
      <c r="D648" s="58">
        <v>111</v>
      </c>
      <c r="E648" s="59">
        <v>192.75</v>
      </c>
    </row>
    <row r="649" spans="1:5" ht="15" x14ac:dyDescent="0.35">
      <c r="A649" s="58" t="s">
        <v>302</v>
      </c>
      <c r="B649" s="58" t="s">
        <v>176</v>
      </c>
      <c r="C649" s="58">
        <v>9</v>
      </c>
      <c r="D649" s="58">
        <v>112</v>
      </c>
      <c r="E649" s="59">
        <v>192.75</v>
      </c>
    </row>
    <row r="650" spans="1:5" ht="15" x14ac:dyDescent="0.35">
      <c r="A650" s="58" t="s">
        <v>302</v>
      </c>
      <c r="B650" s="58" t="s">
        <v>176</v>
      </c>
      <c r="C650" s="58">
        <v>10</v>
      </c>
      <c r="D650" s="58">
        <v>113</v>
      </c>
      <c r="E650" s="59">
        <v>192.75</v>
      </c>
    </row>
    <row r="651" spans="1:5" ht="15" x14ac:dyDescent="0.35">
      <c r="A651" s="58" t="s">
        <v>302</v>
      </c>
      <c r="B651" s="58" t="s">
        <v>176</v>
      </c>
      <c r="C651" s="58">
        <v>11</v>
      </c>
      <c r="D651" s="58">
        <v>114</v>
      </c>
      <c r="E651" s="59">
        <v>192.75</v>
      </c>
    </row>
    <row r="652" spans="1:5" ht="15" x14ac:dyDescent="0.35">
      <c r="A652" s="58" t="s">
        <v>302</v>
      </c>
      <c r="B652" s="58" t="s">
        <v>176</v>
      </c>
      <c r="C652" s="58">
        <v>12</v>
      </c>
      <c r="D652" s="58">
        <v>115</v>
      </c>
      <c r="E652" s="59">
        <v>192.75</v>
      </c>
    </row>
    <row r="653" spans="1:5" ht="15" x14ac:dyDescent="0.35">
      <c r="A653" s="58" t="s">
        <v>302</v>
      </c>
      <c r="B653" s="58" t="s">
        <v>172</v>
      </c>
      <c r="C653" s="58">
        <v>1</v>
      </c>
      <c r="D653" s="58">
        <v>104</v>
      </c>
      <c r="E653" s="59">
        <v>383</v>
      </c>
    </row>
    <row r="654" spans="1:5" ht="15" x14ac:dyDescent="0.35">
      <c r="A654" s="58" t="s">
        <v>302</v>
      </c>
      <c r="B654" s="58" t="s">
        <v>172</v>
      </c>
      <c r="C654" s="58">
        <v>2</v>
      </c>
      <c r="D654" s="58">
        <v>105</v>
      </c>
      <c r="E654" s="59">
        <v>383</v>
      </c>
    </row>
    <row r="655" spans="1:5" ht="15" x14ac:dyDescent="0.35">
      <c r="A655" s="58" t="s">
        <v>302</v>
      </c>
      <c r="B655" s="58" t="s">
        <v>172</v>
      </c>
      <c r="C655" s="58">
        <v>3</v>
      </c>
      <c r="D655" s="58">
        <v>106</v>
      </c>
      <c r="E655" s="59">
        <v>383</v>
      </c>
    </row>
    <row r="656" spans="1:5" ht="15" x14ac:dyDescent="0.35">
      <c r="A656" s="58" t="s">
        <v>302</v>
      </c>
      <c r="B656" s="58" t="s">
        <v>172</v>
      </c>
      <c r="C656" s="58">
        <v>4</v>
      </c>
      <c r="D656" s="58">
        <v>107</v>
      </c>
      <c r="E656" s="59">
        <v>383</v>
      </c>
    </row>
    <row r="657" spans="1:5" ht="15" x14ac:dyDescent="0.35">
      <c r="A657" s="58" t="s">
        <v>302</v>
      </c>
      <c r="B657" s="58" t="s">
        <v>172</v>
      </c>
      <c r="C657" s="58">
        <v>5</v>
      </c>
      <c r="D657" s="58">
        <v>108</v>
      </c>
      <c r="E657" s="59">
        <v>383</v>
      </c>
    </row>
    <row r="658" spans="1:5" ht="15" x14ac:dyDescent="0.35">
      <c r="A658" s="58" t="s">
        <v>302</v>
      </c>
      <c r="B658" s="58" t="s">
        <v>172</v>
      </c>
      <c r="C658" s="58">
        <v>6</v>
      </c>
      <c r="D658" s="58">
        <v>109</v>
      </c>
      <c r="E658" s="59">
        <v>383</v>
      </c>
    </row>
    <row r="659" spans="1:5" ht="15" x14ac:dyDescent="0.35">
      <c r="A659" s="58" t="s">
        <v>302</v>
      </c>
      <c r="B659" s="58" t="s">
        <v>172</v>
      </c>
      <c r="C659" s="58">
        <v>7</v>
      </c>
      <c r="D659" s="58">
        <v>110</v>
      </c>
      <c r="E659" s="59">
        <v>383</v>
      </c>
    </row>
    <row r="660" spans="1:5" ht="15" x14ac:dyDescent="0.35">
      <c r="A660" s="58" t="s">
        <v>302</v>
      </c>
      <c r="B660" s="58" t="s">
        <v>172</v>
      </c>
      <c r="C660" s="58">
        <v>8</v>
      </c>
      <c r="D660" s="58">
        <v>111</v>
      </c>
      <c r="E660" s="59">
        <v>383</v>
      </c>
    </row>
    <row r="661" spans="1:5" ht="15" x14ac:dyDescent="0.35">
      <c r="A661" s="58" t="s">
        <v>302</v>
      </c>
      <c r="B661" s="58" t="s">
        <v>172</v>
      </c>
      <c r="C661" s="58">
        <v>9</v>
      </c>
      <c r="D661" s="58">
        <v>112</v>
      </c>
      <c r="E661" s="59">
        <v>383</v>
      </c>
    </row>
    <row r="662" spans="1:5" ht="15" x14ac:dyDescent="0.35">
      <c r="A662" s="58" t="s">
        <v>302</v>
      </c>
      <c r="B662" s="58" t="s">
        <v>172</v>
      </c>
      <c r="C662" s="58">
        <v>10</v>
      </c>
      <c r="D662" s="58">
        <v>113</v>
      </c>
      <c r="E662" s="59">
        <v>383</v>
      </c>
    </row>
    <row r="663" spans="1:5" ht="15" x14ac:dyDescent="0.35">
      <c r="A663" s="58" t="s">
        <v>302</v>
      </c>
      <c r="B663" s="58" t="s">
        <v>172</v>
      </c>
      <c r="C663" s="58">
        <v>11</v>
      </c>
      <c r="D663" s="58">
        <v>114</v>
      </c>
      <c r="E663" s="59">
        <v>383</v>
      </c>
    </row>
    <row r="664" spans="1:5" ht="15" x14ac:dyDescent="0.35">
      <c r="A664" s="58" t="s">
        <v>302</v>
      </c>
      <c r="B664" s="58" t="s">
        <v>172</v>
      </c>
      <c r="C664" s="58">
        <v>12</v>
      </c>
      <c r="D664" s="58">
        <v>115</v>
      </c>
      <c r="E664" s="59">
        <v>383</v>
      </c>
    </row>
    <row r="665" spans="1:5" ht="15" x14ac:dyDescent="0.35">
      <c r="A665" s="58" t="s">
        <v>302</v>
      </c>
      <c r="B665" s="58" t="s">
        <v>180</v>
      </c>
      <c r="C665" s="58">
        <v>1</v>
      </c>
      <c r="D665" s="58">
        <v>104</v>
      </c>
      <c r="E665" s="59">
        <v>226.42160000000001</v>
      </c>
    </row>
    <row r="666" spans="1:5" ht="15" x14ac:dyDescent="0.35">
      <c r="A666" s="58" t="s">
        <v>302</v>
      </c>
      <c r="B666" s="58" t="s">
        <v>180</v>
      </c>
      <c r="C666" s="58">
        <v>2</v>
      </c>
      <c r="D666" s="58">
        <v>105</v>
      </c>
      <c r="E666" s="59">
        <v>226.42160000000001</v>
      </c>
    </row>
    <row r="667" spans="1:5" ht="15" x14ac:dyDescent="0.35">
      <c r="A667" s="58" t="s">
        <v>302</v>
      </c>
      <c r="B667" s="58" t="s">
        <v>180</v>
      </c>
      <c r="C667" s="58">
        <v>3</v>
      </c>
      <c r="D667" s="58">
        <v>106</v>
      </c>
      <c r="E667" s="59">
        <v>226.42160000000001</v>
      </c>
    </row>
    <row r="668" spans="1:5" ht="15" x14ac:dyDescent="0.35">
      <c r="A668" s="58" t="s">
        <v>302</v>
      </c>
      <c r="B668" s="58" t="s">
        <v>180</v>
      </c>
      <c r="C668" s="58">
        <v>4</v>
      </c>
      <c r="D668" s="58">
        <v>107</v>
      </c>
      <c r="E668" s="59">
        <v>226.42160000000001</v>
      </c>
    </row>
    <row r="669" spans="1:5" ht="15" x14ac:dyDescent="0.35">
      <c r="A669" s="58" t="s">
        <v>302</v>
      </c>
      <c r="B669" s="58" t="s">
        <v>180</v>
      </c>
      <c r="C669" s="58">
        <v>5</v>
      </c>
      <c r="D669" s="58">
        <v>108</v>
      </c>
      <c r="E669" s="59">
        <v>226.42160000000001</v>
      </c>
    </row>
    <row r="670" spans="1:5" ht="15" x14ac:dyDescent="0.35">
      <c r="A670" s="58" t="s">
        <v>302</v>
      </c>
      <c r="B670" s="58" t="s">
        <v>180</v>
      </c>
      <c r="C670" s="58">
        <v>6</v>
      </c>
      <c r="D670" s="58">
        <v>109</v>
      </c>
      <c r="E670" s="59">
        <v>226.42160000000001</v>
      </c>
    </row>
    <row r="671" spans="1:5" ht="15" x14ac:dyDescent="0.35">
      <c r="A671" s="58" t="s">
        <v>302</v>
      </c>
      <c r="B671" s="58" t="s">
        <v>180</v>
      </c>
      <c r="C671" s="58">
        <v>7</v>
      </c>
      <c r="D671" s="58">
        <v>110</v>
      </c>
      <c r="E671" s="59">
        <v>226.42160000000001</v>
      </c>
    </row>
    <row r="672" spans="1:5" ht="15" x14ac:dyDescent="0.35">
      <c r="A672" s="58" t="s">
        <v>302</v>
      </c>
      <c r="B672" s="58" t="s">
        <v>180</v>
      </c>
      <c r="C672" s="58">
        <v>8</v>
      </c>
      <c r="D672" s="58">
        <v>111</v>
      </c>
      <c r="E672" s="59">
        <v>226.42160000000001</v>
      </c>
    </row>
    <row r="673" spans="1:5" ht="15" x14ac:dyDescent="0.35">
      <c r="A673" s="58" t="s">
        <v>302</v>
      </c>
      <c r="B673" s="58" t="s">
        <v>180</v>
      </c>
      <c r="C673" s="58">
        <v>9</v>
      </c>
      <c r="D673" s="58">
        <v>112</v>
      </c>
      <c r="E673" s="59">
        <v>226.42160000000001</v>
      </c>
    </row>
    <row r="674" spans="1:5" ht="15" x14ac:dyDescent="0.35">
      <c r="A674" s="58" t="s">
        <v>302</v>
      </c>
      <c r="B674" s="58" t="s">
        <v>180</v>
      </c>
      <c r="C674" s="58">
        <v>10</v>
      </c>
      <c r="D674" s="58">
        <v>113</v>
      </c>
      <c r="E674" s="59">
        <v>226.42160000000001</v>
      </c>
    </row>
    <row r="675" spans="1:5" ht="15" x14ac:dyDescent="0.35">
      <c r="A675" s="58" t="s">
        <v>302</v>
      </c>
      <c r="B675" s="58" t="s">
        <v>180</v>
      </c>
      <c r="C675" s="58">
        <v>11</v>
      </c>
      <c r="D675" s="58">
        <v>114</v>
      </c>
      <c r="E675" s="59">
        <v>226.42160000000001</v>
      </c>
    </row>
    <row r="676" spans="1:5" ht="15" x14ac:dyDescent="0.35">
      <c r="A676" s="58" t="s">
        <v>302</v>
      </c>
      <c r="B676" s="58" t="s">
        <v>180</v>
      </c>
      <c r="C676" s="58">
        <v>12</v>
      </c>
      <c r="D676" s="58">
        <v>115</v>
      </c>
      <c r="E676" s="59">
        <v>226.42160000000001</v>
      </c>
    </row>
    <row r="677" spans="1:5" ht="15" x14ac:dyDescent="0.35">
      <c r="A677" s="58" t="s">
        <v>372</v>
      </c>
      <c r="B677" s="58" t="s">
        <v>182</v>
      </c>
      <c r="C677" s="58">
        <v>1</v>
      </c>
      <c r="D677" s="58">
        <v>104</v>
      </c>
      <c r="E677" s="59">
        <v>40.540199999999999</v>
      </c>
    </row>
    <row r="678" spans="1:5" ht="15" x14ac:dyDescent="0.35">
      <c r="A678" s="58" t="s">
        <v>372</v>
      </c>
      <c r="B678" s="58" t="s">
        <v>182</v>
      </c>
      <c r="C678" s="58">
        <v>2</v>
      </c>
      <c r="D678" s="58">
        <v>105</v>
      </c>
      <c r="E678" s="59">
        <v>26.629100000000001</v>
      </c>
    </row>
    <row r="679" spans="1:5" ht="15" x14ac:dyDescent="0.35">
      <c r="A679" s="58" t="s">
        <v>372</v>
      </c>
      <c r="B679" s="58" t="s">
        <v>182</v>
      </c>
      <c r="C679" s="58">
        <v>3</v>
      </c>
      <c r="D679" s="58">
        <v>106</v>
      </c>
      <c r="E679" s="59">
        <v>24.429099999999998</v>
      </c>
    </row>
    <row r="680" spans="1:5" ht="15" x14ac:dyDescent="0.35">
      <c r="A680" s="58" t="s">
        <v>372</v>
      </c>
      <c r="B680" s="58" t="s">
        <v>182</v>
      </c>
      <c r="C680" s="58">
        <v>4</v>
      </c>
      <c r="D680" s="58">
        <v>107</v>
      </c>
      <c r="E680" s="59">
        <v>24.857600000000001</v>
      </c>
    </row>
    <row r="681" spans="1:5" ht="15" x14ac:dyDescent="0.35">
      <c r="A681" s="58" t="s">
        <v>372</v>
      </c>
      <c r="B681" s="58" t="s">
        <v>182</v>
      </c>
      <c r="C681" s="58">
        <v>5</v>
      </c>
      <c r="D681" s="58">
        <v>108</v>
      </c>
      <c r="E681" s="59">
        <v>23.054099999999998</v>
      </c>
    </row>
    <row r="682" spans="1:5" ht="15" x14ac:dyDescent="0.35">
      <c r="A682" s="58" t="s">
        <v>372</v>
      </c>
      <c r="B682" s="58" t="s">
        <v>182</v>
      </c>
      <c r="C682" s="58">
        <v>6</v>
      </c>
      <c r="D682" s="58">
        <v>109</v>
      </c>
      <c r="E682" s="59">
        <v>23.095700000000001</v>
      </c>
    </row>
    <row r="683" spans="1:5" ht="15" x14ac:dyDescent="0.35">
      <c r="A683" s="58" t="s">
        <v>372</v>
      </c>
      <c r="B683" s="58" t="s">
        <v>182</v>
      </c>
      <c r="C683" s="58">
        <v>7</v>
      </c>
      <c r="D683" s="58">
        <v>110</v>
      </c>
      <c r="E683" s="59">
        <v>22.540199999999999</v>
      </c>
    </row>
    <row r="684" spans="1:5" ht="15" x14ac:dyDescent="0.35">
      <c r="A684" s="58" t="s">
        <v>372</v>
      </c>
      <c r="B684" s="58" t="s">
        <v>182</v>
      </c>
      <c r="C684" s="58">
        <v>8</v>
      </c>
      <c r="D684" s="58">
        <v>111</v>
      </c>
      <c r="E684" s="59">
        <v>18.206800000000001</v>
      </c>
    </row>
    <row r="685" spans="1:5" ht="15" x14ac:dyDescent="0.35">
      <c r="A685" s="58" t="s">
        <v>372</v>
      </c>
      <c r="B685" s="58" t="s">
        <v>182</v>
      </c>
      <c r="C685" s="58">
        <v>9</v>
      </c>
      <c r="D685" s="58">
        <v>112</v>
      </c>
      <c r="E685" s="59">
        <v>20.429099999999998</v>
      </c>
    </row>
    <row r="686" spans="1:5" ht="15" x14ac:dyDescent="0.35">
      <c r="A686" s="58" t="s">
        <v>372</v>
      </c>
      <c r="B686" s="58" t="s">
        <v>182</v>
      </c>
      <c r="C686" s="58">
        <v>10</v>
      </c>
      <c r="D686" s="58">
        <v>113</v>
      </c>
      <c r="E686" s="59">
        <v>22.318000000000001</v>
      </c>
    </row>
    <row r="687" spans="1:5" ht="15" x14ac:dyDescent="0.35">
      <c r="A687" s="58" t="s">
        <v>372</v>
      </c>
      <c r="B687" s="58" t="s">
        <v>182</v>
      </c>
      <c r="C687" s="58">
        <v>11</v>
      </c>
      <c r="D687" s="58">
        <v>114</v>
      </c>
      <c r="E687" s="59">
        <v>23.206800000000001</v>
      </c>
    </row>
    <row r="688" spans="1:5" ht="15" x14ac:dyDescent="0.35">
      <c r="A688" s="58" t="s">
        <v>372</v>
      </c>
      <c r="B688" s="58" t="s">
        <v>182</v>
      </c>
      <c r="C688" s="58">
        <v>12</v>
      </c>
      <c r="D688" s="58">
        <v>115</v>
      </c>
      <c r="E688" s="59">
        <v>29.206800000000001</v>
      </c>
    </row>
    <row r="689" spans="1:5" ht="15" x14ac:dyDescent="0.35">
      <c r="A689" s="58" t="s">
        <v>372</v>
      </c>
      <c r="B689" s="58" t="s">
        <v>176</v>
      </c>
      <c r="C689" s="58">
        <v>1</v>
      </c>
      <c r="D689" s="58">
        <v>104</v>
      </c>
      <c r="E689" s="59">
        <v>47.375</v>
      </c>
    </row>
    <row r="690" spans="1:5" ht="15" x14ac:dyDescent="0.35">
      <c r="A690" s="58" t="s">
        <v>372</v>
      </c>
      <c r="B690" s="58" t="s">
        <v>176</v>
      </c>
      <c r="C690" s="58">
        <v>2</v>
      </c>
      <c r="D690" s="58">
        <v>105</v>
      </c>
      <c r="E690" s="59">
        <v>47.375</v>
      </c>
    </row>
    <row r="691" spans="1:5" ht="15" x14ac:dyDescent="0.35">
      <c r="A691" s="58" t="s">
        <v>372</v>
      </c>
      <c r="B691" s="58" t="s">
        <v>176</v>
      </c>
      <c r="C691" s="58">
        <v>3</v>
      </c>
      <c r="D691" s="58">
        <v>106</v>
      </c>
      <c r="E691" s="59">
        <v>47.375</v>
      </c>
    </row>
    <row r="692" spans="1:5" ht="15" x14ac:dyDescent="0.35">
      <c r="A692" s="58" t="s">
        <v>372</v>
      </c>
      <c r="B692" s="58" t="s">
        <v>176</v>
      </c>
      <c r="C692" s="58">
        <v>4</v>
      </c>
      <c r="D692" s="58">
        <v>107</v>
      </c>
      <c r="E692" s="59">
        <v>47.375</v>
      </c>
    </row>
    <row r="693" spans="1:5" ht="15" x14ac:dyDescent="0.35">
      <c r="A693" s="58" t="s">
        <v>372</v>
      </c>
      <c r="B693" s="58" t="s">
        <v>176</v>
      </c>
      <c r="C693" s="58">
        <v>5</v>
      </c>
      <c r="D693" s="58">
        <v>108</v>
      </c>
      <c r="E693" s="59">
        <v>47.375</v>
      </c>
    </row>
    <row r="694" spans="1:5" ht="15" x14ac:dyDescent="0.35">
      <c r="A694" s="58" t="s">
        <v>372</v>
      </c>
      <c r="B694" s="58" t="s">
        <v>176</v>
      </c>
      <c r="C694" s="58">
        <v>6</v>
      </c>
      <c r="D694" s="58">
        <v>109</v>
      </c>
      <c r="E694" s="59">
        <v>47.375</v>
      </c>
    </row>
    <row r="695" spans="1:5" ht="15" x14ac:dyDescent="0.35">
      <c r="A695" s="58" t="s">
        <v>372</v>
      </c>
      <c r="B695" s="58" t="s">
        <v>176</v>
      </c>
      <c r="C695" s="58">
        <v>7</v>
      </c>
      <c r="D695" s="58">
        <v>110</v>
      </c>
      <c r="E695" s="59">
        <v>47.375</v>
      </c>
    </row>
    <row r="696" spans="1:5" ht="15" x14ac:dyDescent="0.35">
      <c r="A696" s="58" t="s">
        <v>372</v>
      </c>
      <c r="B696" s="58" t="s">
        <v>176</v>
      </c>
      <c r="C696" s="58">
        <v>8</v>
      </c>
      <c r="D696" s="58">
        <v>111</v>
      </c>
      <c r="E696" s="59">
        <v>47.375</v>
      </c>
    </row>
    <row r="697" spans="1:5" ht="15" x14ac:dyDescent="0.35">
      <c r="A697" s="58" t="s">
        <v>372</v>
      </c>
      <c r="B697" s="58" t="s">
        <v>176</v>
      </c>
      <c r="C697" s="58">
        <v>9</v>
      </c>
      <c r="D697" s="58">
        <v>112</v>
      </c>
      <c r="E697" s="59">
        <v>47.375</v>
      </c>
    </row>
    <row r="698" spans="1:5" ht="15" x14ac:dyDescent="0.35">
      <c r="A698" s="58" t="s">
        <v>372</v>
      </c>
      <c r="B698" s="58" t="s">
        <v>176</v>
      </c>
      <c r="C698" s="58">
        <v>10</v>
      </c>
      <c r="D698" s="58">
        <v>113</v>
      </c>
      <c r="E698" s="59">
        <v>47.375</v>
      </c>
    </row>
    <row r="699" spans="1:5" ht="15" x14ac:dyDescent="0.35">
      <c r="A699" s="58" t="s">
        <v>372</v>
      </c>
      <c r="B699" s="58" t="s">
        <v>176</v>
      </c>
      <c r="C699" s="58">
        <v>11</v>
      </c>
      <c r="D699" s="58">
        <v>114</v>
      </c>
      <c r="E699" s="59">
        <v>47.375</v>
      </c>
    </row>
    <row r="700" spans="1:5" ht="15" x14ac:dyDescent="0.35">
      <c r="A700" s="58" t="s">
        <v>372</v>
      </c>
      <c r="B700" s="58" t="s">
        <v>176</v>
      </c>
      <c r="C700" s="58">
        <v>12</v>
      </c>
      <c r="D700" s="58">
        <v>115</v>
      </c>
      <c r="E700" s="59">
        <v>47.375</v>
      </c>
    </row>
    <row r="701" spans="1:5" ht="15" x14ac:dyDescent="0.35">
      <c r="A701" s="58" t="s">
        <v>372</v>
      </c>
      <c r="B701" s="58" t="s">
        <v>172</v>
      </c>
      <c r="C701" s="58">
        <v>1</v>
      </c>
      <c r="D701" s="58">
        <v>104</v>
      </c>
      <c r="E701" s="59">
        <v>86</v>
      </c>
    </row>
    <row r="702" spans="1:5" ht="15" x14ac:dyDescent="0.35">
      <c r="A702" s="58" t="s">
        <v>372</v>
      </c>
      <c r="B702" s="58" t="s">
        <v>172</v>
      </c>
      <c r="C702" s="58">
        <v>2</v>
      </c>
      <c r="D702" s="58">
        <v>105</v>
      </c>
      <c r="E702" s="59">
        <v>86</v>
      </c>
    </row>
    <row r="703" spans="1:5" ht="15" x14ac:dyDescent="0.35">
      <c r="A703" s="58" t="s">
        <v>372</v>
      </c>
      <c r="B703" s="58" t="s">
        <v>172</v>
      </c>
      <c r="C703" s="58">
        <v>3</v>
      </c>
      <c r="D703" s="58">
        <v>106</v>
      </c>
      <c r="E703" s="59">
        <v>86</v>
      </c>
    </row>
    <row r="704" spans="1:5" ht="15" x14ac:dyDescent="0.35">
      <c r="A704" s="58" t="s">
        <v>372</v>
      </c>
      <c r="B704" s="58" t="s">
        <v>172</v>
      </c>
      <c r="C704" s="58">
        <v>4</v>
      </c>
      <c r="D704" s="58">
        <v>107</v>
      </c>
      <c r="E704" s="59">
        <v>86</v>
      </c>
    </row>
    <row r="705" spans="1:5" ht="15" x14ac:dyDescent="0.35">
      <c r="A705" s="58" t="s">
        <v>372</v>
      </c>
      <c r="B705" s="58" t="s">
        <v>172</v>
      </c>
      <c r="C705" s="58">
        <v>5</v>
      </c>
      <c r="D705" s="58">
        <v>108</v>
      </c>
      <c r="E705" s="59">
        <v>86</v>
      </c>
    </row>
    <row r="706" spans="1:5" ht="15" x14ac:dyDescent="0.35">
      <c r="A706" s="58" t="s">
        <v>372</v>
      </c>
      <c r="B706" s="58" t="s">
        <v>172</v>
      </c>
      <c r="C706" s="58">
        <v>6</v>
      </c>
      <c r="D706" s="58">
        <v>109</v>
      </c>
      <c r="E706" s="59">
        <v>86</v>
      </c>
    </row>
    <row r="707" spans="1:5" ht="15" x14ac:dyDescent="0.35">
      <c r="A707" s="58" t="s">
        <v>372</v>
      </c>
      <c r="B707" s="58" t="s">
        <v>172</v>
      </c>
      <c r="C707" s="58">
        <v>7</v>
      </c>
      <c r="D707" s="58">
        <v>110</v>
      </c>
      <c r="E707" s="59">
        <v>86</v>
      </c>
    </row>
    <row r="708" spans="1:5" ht="15" x14ac:dyDescent="0.35">
      <c r="A708" s="58" t="s">
        <v>372</v>
      </c>
      <c r="B708" s="58" t="s">
        <v>172</v>
      </c>
      <c r="C708" s="58">
        <v>8</v>
      </c>
      <c r="D708" s="58">
        <v>111</v>
      </c>
      <c r="E708" s="59">
        <v>86</v>
      </c>
    </row>
    <row r="709" spans="1:5" ht="15" x14ac:dyDescent="0.35">
      <c r="A709" s="58" t="s">
        <v>372</v>
      </c>
      <c r="B709" s="58" t="s">
        <v>172</v>
      </c>
      <c r="C709" s="58">
        <v>9</v>
      </c>
      <c r="D709" s="58">
        <v>112</v>
      </c>
      <c r="E709" s="59">
        <v>86</v>
      </c>
    </row>
    <row r="710" spans="1:5" ht="15" x14ac:dyDescent="0.35">
      <c r="A710" s="58" t="s">
        <v>372</v>
      </c>
      <c r="B710" s="58" t="s">
        <v>172</v>
      </c>
      <c r="C710" s="58">
        <v>10</v>
      </c>
      <c r="D710" s="58">
        <v>113</v>
      </c>
      <c r="E710" s="59">
        <v>86</v>
      </c>
    </row>
    <row r="711" spans="1:5" ht="15" x14ac:dyDescent="0.35">
      <c r="A711" s="58" t="s">
        <v>372</v>
      </c>
      <c r="B711" s="58" t="s">
        <v>172</v>
      </c>
      <c r="C711" s="58">
        <v>11</v>
      </c>
      <c r="D711" s="58">
        <v>114</v>
      </c>
      <c r="E711" s="59">
        <v>86</v>
      </c>
    </row>
    <row r="712" spans="1:5" ht="15" x14ac:dyDescent="0.35">
      <c r="A712" s="58" t="s">
        <v>372</v>
      </c>
      <c r="B712" s="58" t="s">
        <v>172</v>
      </c>
      <c r="C712" s="58">
        <v>12</v>
      </c>
      <c r="D712" s="58">
        <v>115</v>
      </c>
      <c r="E712" s="59">
        <v>86</v>
      </c>
    </row>
    <row r="713" spans="1:5" ht="15" x14ac:dyDescent="0.35">
      <c r="A713" s="58" t="s">
        <v>372</v>
      </c>
      <c r="B713" s="58" t="s">
        <v>180</v>
      </c>
      <c r="C713" s="58">
        <v>1</v>
      </c>
      <c r="D713" s="58">
        <v>104</v>
      </c>
      <c r="E713" s="59">
        <v>34.225099999999998</v>
      </c>
    </row>
    <row r="714" spans="1:5" ht="15" x14ac:dyDescent="0.35">
      <c r="A714" s="58" t="s">
        <v>372</v>
      </c>
      <c r="B714" s="58" t="s">
        <v>180</v>
      </c>
      <c r="C714" s="58">
        <v>2</v>
      </c>
      <c r="D714" s="58">
        <v>105</v>
      </c>
      <c r="E714" s="59">
        <v>34.225099999999998</v>
      </c>
    </row>
    <row r="715" spans="1:5" ht="15" x14ac:dyDescent="0.35">
      <c r="A715" s="58" t="s">
        <v>372</v>
      </c>
      <c r="B715" s="58" t="s">
        <v>180</v>
      </c>
      <c r="C715" s="58">
        <v>3</v>
      </c>
      <c r="D715" s="58">
        <v>106</v>
      </c>
      <c r="E715" s="59">
        <v>34.225099999999998</v>
      </c>
    </row>
    <row r="716" spans="1:5" ht="15" x14ac:dyDescent="0.35">
      <c r="A716" s="58" t="s">
        <v>372</v>
      </c>
      <c r="B716" s="58" t="s">
        <v>180</v>
      </c>
      <c r="C716" s="58">
        <v>4</v>
      </c>
      <c r="D716" s="58">
        <v>107</v>
      </c>
      <c r="E716" s="59">
        <v>34.225099999999998</v>
      </c>
    </row>
    <row r="717" spans="1:5" ht="15" x14ac:dyDescent="0.35">
      <c r="A717" s="58" t="s">
        <v>372</v>
      </c>
      <c r="B717" s="58" t="s">
        <v>180</v>
      </c>
      <c r="C717" s="58">
        <v>5</v>
      </c>
      <c r="D717" s="58">
        <v>108</v>
      </c>
      <c r="E717" s="59">
        <v>34.225099999999998</v>
      </c>
    </row>
    <row r="718" spans="1:5" ht="15" x14ac:dyDescent="0.35">
      <c r="A718" s="58" t="s">
        <v>372</v>
      </c>
      <c r="B718" s="58" t="s">
        <v>180</v>
      </c>
      <c r="C718" s="58">
        <v>6</v>
      </c>
      <c r="D718" s="58">
        <v>109</v>
      </c>
      <c r="E718" s="59">
        <v>34.225099999999998</v>
      </c>
    </row>
    <row r="719" spans="1:5" ht="15" x14ac:dyDescent="0.35">
      <c r="A719" s="58" t="s">
        <v>372</v>
      </c>
      <c r="B719" s="58" t="s">
        <v>180</v>
      </c>
      <c r="C719" s="58">
        <v>7</v>
      </c>
      <c r="D719" s="58">
        <v>110</v>
      </c>
      <c r="E719" s="59">
        <v>34.225099999999998</v>
      </c>
    </row>
    <row r="720" spans="1:5" ht="15" x14ac:dyDescent="0.35">
      <c r="A720" s="58" t="s">
        <v>372</v>
      </c>
      <c r="B720" s="58" t="s">
        <v>180</v>
      </c>
      <c r="C720" s="58">
        <v>8</v>
      </c>
      <c r="D720" s="58">
        <v>111</v>
      </c>
      <c r="E720" s="59">
        <v>34.225099999999998</v>
      </c>
    </row>
    <row r="721" spans="1:5" ht="15" x14ac:dyDescent="0.35">
      <c r="A721" s="58" t="s">
        <v>372</v>
      </c>
      <c r="B721" s="58" t="s">
        <v>180</v>
      </c>
      <c r="C721" s="58">
        <v>9</v>
      </c>
      <c r="D721" s="58">
        <v>112</v>
      </c>
      <c r="E721" s="59">
        <v>34.225099999999998</v>
      </c>
    </row>
    <row r="722" spans="1:5" ht="15" x14ac:dyDescent="0.35">
      <c r="A722" s="58" t="s">
        <v>372</v>
      </c>
      <c r="B722" s="58" t="s">
        <v>180</v>
      </c>
      <c r="C722" s="58">
        <v>10</v>
      </c>
      <c r="D722" s="58">
        <v>113</v>
      </c>
      <c r="E722" s="59">
        <v>34.225099999999998</v>
      </c>
    </row>
    <row r="723" spans="1:5" ht="15" x14ac:dyDescent="0.35">
      <c r="A723" s="58" t="s">
        <v>372</v>
      </c>
      <c r="B723" s="58" t="s">
        <v>180</v>
      </c>
      <c r="C723" s="58">
        <v>11</v>
      </c>
      <c r="D723" s="58">
        <v>114</v>
      </c>
      <c r="E723" s="59">
        <v>34.225099999999998</v>
      </c>
    </row>
    <row r="724" spans="1:5" ht="15" x14ac:dyDescent="0.35">
      <c r="A724" s="58" t="s">
        <v>372</v>
      </c>
      <c r="B724" s="58" t="s">
        <v>180</v>
      </c>
      <c r="C724" s="58">
        <v>12</v>
      </c>
      <c r="D724" s="58">
        <v>115</v>
      </c>
      <c r="E724" s="59">
        <v>34.225099999999998</v>
      </c>
    </row>
    <row r="725" spans="1:5" ht="15" x14ac:dyDescent="0.35">
      <c r="A725" s="58" t="s">
        <v>355</v>
      </c>
      <c r="B725" s="58" t="s">
        <v>182</v>
      </c>
      <c r="C725" s="58">
        <v>1</v>
      </c>
      <c r="D725" s="58">
        <v>104</v>
      </c>
      <c r="E725" s="59">
        <v>35.566800000000001</v>
      </c>
    </row>
    <row r="726" spans="1:5" ht="15" x14ac:dyDescent="0.35">
      <c r="A726" s="58" t="s">
        <v>355</v>
      </c>
      <c r="B726" s="58" t="s">
        <v>182</v>
      </c>
      <c r="C726" s="58">
        <v>2</v>
      </c>
      <c r="D726" s="58">
        <v>105</v>
      </c>
      <c r="E726" s="59">
        <v>14.6556</v>
      </c>
    </row>
    <row r="727" spans="1:5" ht="15" x14ac:dyDescent="0.35">
      <c r="A727" s="58" t="s">
        <v>355</v>
      </c>
      <c r="B727" s="58" t="s">
        <v>182</v>
      </c>
      <c r="C727" s="58">
        <v>3</v>
      </c>
      <c r="D727" s="58">
        <v>106</v>
      </c>
      <c r="E727" s="59">
        <v>16.622299999999999</v>
      </c>
    </row>
    <row r="728" spans="1:5" ht="15" x14ac:dyDescent="0.35">
      <c r="A728" s="58" t="s">
        <v>355</v>
      </c>
      <c r="B728" s="58" t="s">
        <v>182</v>
      </c>
      <c r="C728" s="58">
        <v>4</v>
      </c>
      <c r="D728" s="58">
        <v>107</v>
      </c>
      <c r="E728" s="59">
        <v>20.027100000000001</v>
      </c>
    </row>
    <row r="729" spans="1:5" ht="15" x14ac:dyDescent="0.35">
      <c r="A729" s="58" t="s">
        <v>355</v>
      </c>
      <c r="B729" s="58" t="s">
        <v>182</v>
      </c>
      <c r="C729" s="58">
        <v>5</v>
      </c>
      <c r="D729" s="58">
        <v>108</v>
      </c>
      <c r="E729" s="59">
        <v>24.8306</v>
      </c>
    </row>
    <row r="730" spans="1:5" ht="15" x14ac:dyDescent="0.35">
      <c r="A730" s="58" t="s">
        <v>355</v>
      </c>
      <c r="B730" s="58" t="s">
        <v>182</v>
      </c>
      <c r="C730" s="58">
        <v>6</v>
      </c>
      <c r="D730" s="58">
        <v>109</v>
      </c>
      <c r="E730" s="59">
        <v>24.566800000000001</v>
      </c>
    </row>
    <row r="731" spans="1:5" ht="15" x14ac:dyDescent="0.35">
      <c r="A731" s="58" t="s">
        <v>355</v>
      </c>
      <c r="B731" s="58" t="s">
        <v>182</v>
      </c>
      <c r="C731" s="58">
        <v>7</v>
      </c>
      <c r="D731" s="58">
        <v>110</v>
      </c>
      <c r="E731" s="59">
        <v>27.677900000000001</v>
      </c>
    </row>
    <row r="732" spans="1:5" ht="15" x14ac:dyDescent="0.35">
      <c r="A732" s="58" t="s">
        <v>355</v>
      </c>
      <c r="B732" s="58" t="s">
        <v>182</v>
      </c>
      <c r="C732" s="58">
        <v>8</v>
      </c>
      <c r="D732" s="58">
        <v>111</v>
      </c>
      <c r="E732" s="59">
        <v>26.3445</v>
      </c>
    </row>
    <row r="733" spans="1:5" ht="15" x14ac:dyDescent="0.35">
      <c r="A733" s="58" t="s">
        <v>355</v>
      </c>
      <c r="B733" s="58" t="s">
        <v>182</v>
      </c>
      <c r="C733" s="58">
        <v>9</v>
      </c>
      <c r="D733" s="58">
        <v>112</v>
      </c>
      <c r="E733" s="59">
        <v>29.011199999999999</v>
      </c>
    </row>
    <row r="734" spans="1:5" ht="15" x14ac:dyDescent="0.35">
      <c r="A734" s="58" t="s">
        <v>355</v>
      </c>
      <c r="B734" s="58" t="s">
        <v>182</v>
      </c>
      <c r="C734" s="58">
        <v>10</v>
      </c>
      <c r="D734" s="58">
        <v>113</v>
      </c>
      <c r="E734" s="59">
        <v>33.011200000000002</v>
      </c>
    </row>
    <row r="735" spans="1:5" ht="15" x14ac:dyDescent="0.35">
      <c r="A735" s="58" t="s">
        <v>355</v>
      </c>
      <c r="B735" s="58" t="s">
        <v>182</v>
      </c>
      <c r="C735" s="58">
        <v>11</v>
      </c>
      <c r="D735" s="58">
        <v>114</v>
      </c>
      <c r="E735" s="59">
        <v>38.344499999999996</v>
      </c>
    </row>
    <row r="736" spans="1:5" ht="15" x14ac:dyDescent="0.35">
      <c r="A736" s="58" t="s">
        <v>355</v>
      </c>
      <c r="B736" s="58" t="s">
        <v>182</v>
      </c>
      <c r="C736" s="58">
        <v>12</v>
      </c>
      <c r="D736" s="58">
        <v>115</v>
      </c>
      <c r="E736" s="59">
        <v>40.344499999999996</v>
      </c>
    </row>
    <row r="737" spans="1:5" ht="15" x14ac:dyDescent="0.35">
      <c r="A737" s="58" t="s">
        <v>355</v>
      </c>
      <c r="B737" s="58" t="s">
        <v>176</v>
      </c>
      <c r="C737" s="58">
        <v>1</v>
      </c>
      <c r="D737" s="58">
        <v>104</v>
      </c>
      <c r="E737" s="59">
        <v>40.375</v>
      </c>
    </row>
    <row r="738" spans="1:5" ht="15" x14ac:dyDescent="0.35">
      <c r="A738" s="58" t="s">
        <v>355</v>
      </c>
      <c r="B738" s="58" t="s">
        <v>176</v>
      </c>
      <c r="C738" s="58">
        <v>2</v>
      </c>
      <c r="D738" s="58">
        <v>105</v>
      </c>
      <c r="E738" s="59">
        <v>40.375</v>
      </c>
    </row>
    <row r="739" spans="1:5" ht="15" x14ac:dyDescent="0.35">
      <c r="A739" s="58" t="s">
        <v>355</v>
      </c>
      <c r="B739" s="58" t="s">
        <v>176</v>
      </c>
      <c r="C739" s="58">
        <v>3</v>
      </c>
      <c r="D739" s="58">
        <v>106</v>
      </c>
      <c r="E739" s="59">
        <v>40.375</v>
      </c>
    </row>
    <row r="740" spans="1:5" ht="15" x14ac:dyDescent="0.35">
      <c r="A740" s="58" t="s">
        <v>355</v>
      </c>
      <c r="B740" s="58" t="s">
        <v>176</v>
      </c>
      <c r="C740" s="58">
        <v>4</v>
      </c>
      <c r="D740" s="58">
        <v>107</v>
      </c>
      <c r="E740" s="59">
        <v>40.375</v>
      </c>
    </row>
    <row r="741" spans="1:5" ht="15" x14ac:dyDescent="0.35">
      <c r="A741" s="58" t="s">
        <v>355</v>
      </c>
      <c r="B741" s="58" t="s">
        <v>176</v>
      </c>
      <c r="C741" s="58">
        <v>5</v>
      </c>
      <c r="D741" s="58">
        <v>108</v>
      </c>
      <c r="E741" s="59">
        <v>40.375</v>
      </c>
    </row>
    <row r="742" spans="1:5" ht="15" x14ac:dyDescent="0.35">
      <c r="A742" s="58" t="s">
        <v>355</v>
      </c>
      <c r="B742" s="58" t="s">
        <v>176</v>
      </c>
      <c r="C742" s="58">
        <v>6</v>
      </c>
      <c r="D742" s="58">
        <v>109</v>
      </c>
      <c r="E742" s="59">
        <v>40.375</v>
      </c>
    </row>
    <row r="743" spans="1:5" ht="15" x14ac:dyDescent="0.35">
      <c r="A743" s="58" t="s">
        <v>355</v>
      </c>
      <c r="B743" s="58" t="s">
        <v>176</v>
      </c>
      <c r="C743" s="58">
        <v>7</v>
      </c>
      <c r="D743" s="58">
        <v>110</v>
      </c>
      <c r="E743" s="59">
        <v>40.375</v>
      </c>
    </row>
    <row r="744" spans="1:5" ht="15" x14ac:dyDescent="0.35">
      <c r="A744" s="58" t="s">
        <v>355</v>
      </c>
      <c r="B744" s="58" t="s">
        <v>176</v>
      </c>
      <c r="C744" s="58">
        <v>8</v>
      </c>
      <c r="D744" s="58">
        <v>111</v>
      </c>
      <c r="E744" s="59">
        <v>40.375</v>
      </c>
    </row>
    <row r="745" spans="1:5" ht="15" x14ac:dyDescent="0.35">
      <c r="A745" s="58" t="s">
        <v>355</v>
      </c>
      <c r="B745" s="58" t="s">
        <v>176</v>
      </c>
      <c r="C745" s="58">
        <v>9</v>
      </c>
      <c r="D745" s="58">
        <v>112</v>
      </c>
      <c r="E745" s="59">
        <v>40.375</v>
      </c>
    </row>
    <row r="746" spans="1:5" ht="15" x14ac:dyDescent="0.35">
      <c r="A746" s="58" t="s">
        <v>355</v>
      </c>
      <c r="B746" s="58" t="s">
        <v>176</v>
      </c>
      <c r="C746" s="58">
        <v>10</v>
      </c>
      <c r="D746" s="58">
        <v>113</v>
      </c>
      <c r="E746" s="59">
        <v>40.375</v>
      </c>
    </row>
    <row r="747" spans="1:5" ht="15" x14ac:dyDescent="0.35">
      <c r="A747" s="58" t="s">
        <v>355</v>
      </c>
      <c r="B747" s="58" t="s">
        <v>176</v>
      </c>
      <c r="C747" s="58">
        <v>11</v>
      </c>
      <c r="D747" s="58">
        <v>114</v>
      </c>
      <c r="E747" s="59">
        <v>40.375</v>
      </c>
    </row>
    <row r="748" spans="1:5" ht="15" x14ac:dyDescent="0.35">
      <c r="A748" s="58" t="s">
        <v>355</v>
      </c>
      <c r="B748" s="58" t="s">
        <v>176</v>
      </c>
      <c r="C748" s="58">
        <v>12</v>
      </c>
      <c r="D748" s="58">
        <v>115</v>
      </c>
      <c r="E748" s="59">
        <v>40.375</v>
      </c>
    </row>
    <row r="749" spans="1:5" ht="15" x14ac:dyDescent="0.35">
      <c r="A749" s="58" t="s">
        <v>355</v>
      </c>
      <c r="B749" s="58" t="s">
        <v>172</v>
      </c>
      <c r="C749" s="58">
        <v>1</v>
      </c>
      <c r="D749" s="58">
        <v>104</v>
      </c>
      <c r="E749" s="59">
        <v>38</v>
      </c>
    </row>
    <row r="750" spans="1:5" ht="15" x14ac:dyDescent="0.35">
      <c r="A750" s="58" t="s">
        <v>355</v>
      </c>
      <c r="B750" s="58" t="s">
        <v>172</v>
      </c>
      <c r="C750" s="58">
        <v>2</v>
      </c>
      <c r="D750" s="58">
        <v>105</v>
      </c>
      <c r="E750" s="59">
        <v>38</v>
      </c>
    </row>
    <row r="751" spans="1:5" ht="15" x14ac:dyDescent="0.35">
      <c r="A751" s="58" t="s">
        <v>355</v>
      </c>
      <c r="B751" s="58" t="s">
        <v>172</v>
      </c>
      <c r="C751" s="58">
        <v>3</v>
      </c>
      <c r="D751" s="58">
        <v>106</v>
      </c>
      <c r="E751" s="59">
        <v>38</v>
      </c>
    </row>
    <row r="752" spans="1:5" ht="15" x14ac:dyDescent="0.35">
      <c r="A752" s="58" t="s">
        <v>355</v>
      </c>
      <c r="B752" s="58" t="s">
        <v>172</v>
      </c>
      <c r="C752" s="58">
        <v>4</v>
      </c>
      <c r="D752" s="58">
        <v>107</v>
      </c>
      <c r="E752" s="59">
        <v>38</v>
      </c>
    </row>
    <row r="753" spans="1:5" ht="15" x14ac:dyDescent="0.35">
      <c r="A753" s="58" t="s">
        <v>355</v>
      </c>
      <c r="B753" s="58" t="s">
        <v>172</v>
      </c>
      <c r="C753" s="58">
        <v>5</v>
      </c>
      <c r="D753" s="58">
        <v>108</v>
      </c>
      <c r="E753" s="59">
        <v>38</v>
      </c>
    </row>
    <row r="754" spans="1:5" ht="15" x14ac:dyDescent="0.35">
      <c r="A754" s="58" t="s">
        <v>355</v>
      </c>
      <c r="B754" s="58" t="s">
        <v>172</v>
      </c>
      <c r="C754" s="58">
        <v>6</v>
      </c>
      <c r="D754" s="58">
        <v>109</v>
      </c>
      <c r="E754" s="59">
        <v>38</v>
      </c>
    </row>
    <row r="755" spans="1:5" ht="15" x14ac:dyDescent="0.35">
      <c r="A755" s="58" t="s">
        <v>355</v>
      </c>
      <c r="B755" s="58" t="s">
        <v>172</v>
      </c>
      <c r="C755" s="58">
        <v>7</v>
      </c>
      <c r="D755" s="58">
        <v>110</v>
      </c>
      <c r="E755" s="59">
        <v>38</v>
      </c>
    </row>
    <row r="756" spans="1:5" ht="15" x14ac:dyDescent="0.35">
      <c r="A756" s="58" t="s">
        <v>355</v>
      </c>
      <c r="B756" s="58" t="s">
        <v>172</v>
      </c>
      <c r="C756" s="58">
        <v>8</v>
      </c>
      <c r="D756" s="58">
        <v>111</v>
      </c>
      <c r="E756" s="59">
        <v>38</v>
      </c>
    </row>
    <row r="757" spans="1:5" ht="15" x14ac:dyDescent="0.35">
      <c r="A757" s="58" t="s">
        <v>355</v>
      </c>
      <c r="B757" s="58" t="s">
        <v>172</v>
      </c>
      <c r="C757" s="58">
        <v>9</v>
      </c>
      <c r="D757" s="58">
        <v>112</v>
      </c>
      <c r="E757" s="59">
        <v>38</v>
      </c>
    </row>
    <row r="758" spans="1:5" ht="15" x14ac:dyDescent="0.35">
      <c r="A758" s="58" t="s">
        <v>355</v>
      </c>
      <c r="B758" s="58" t="s">
        <v>172</v>
      </c>
      <c r="C758" s="58">
        <v>10</v>
      </c>
      <c r="D758" s="58">
        <v>113</v>
      </c>
      <c r="E758" s="59">
        <v>38</v>
      </c>
    </row>
    <row r="759" spans="1:5" ht="15" x14ac:dyDescent="0.35">
      <c r="A759" s="58" t="s">
        <v>355</v>
      </c>
      <c r="B759" s="58" t="s">
        <v>172</v>
      </c>
      <c r="C759" s="58">
        <v>11</v>
      </c>
      <c r="D759" s="58">
        <v>114</v>
      </c>
      <c r="E759" s="59">
        <v>38</v>
      </c>
    </row>
    <row r="760" spans="1:5" ht="15" x14ac:dyDescent="0.35">
      <c r="A760" s="58" t="s">
        <v>355</v>
      </c>
      <c r="B760" s="58" t="s">
        <v>172</v>
      </c>
      <c r="C760" s="58">
        <v>12</v>
      </c>
      <c r="D760" s="58">
        <v>115</v>
      </c>
      <c r="E760" s="59">
        <v>38</v>
      </c>
    </row>
    <row r="761" spans="1:5" ht="15" x14ac:dyDescent="0.35">
      <c r="A761" s="58" t="s">
        <v>355</v>
      </c>
      <c r="B761" s="58" t="s">
        <v>180</v>
      </c>
      <c r="C761" s="58">
        <v>1</v>
      </c>
      <c r="D761" s="58">
        <v>104</v>
      </c>
      <c r="E761" s="59">
        <v>34.442999999999998</v>
      </c>
    </row>
    <row r="762" spans="1:5" ht="15" x14ac:dyDescent="0.35">
      <c r="A762" s="58" t="s">
        <v>355</v>
      </c>
      <c r="B762" s="58" t="s">
        <v>180</v>
      </c>
      <c r="C762" s="58">
        <v>2</v>
      </c>
      <c r="D762" s="58">
        <v>105</v>
      </c>
      <c r="E762" s="59">
        <v>34.442999999999998</v>
      </c>
    </row>
    <row r="763" spans="1:5" ht="15" x14ac:dyDescent="0.35">
      <c r="A763" s="58" t="s">
        <v>355</v>
      </c>
      <c r="B763" s="58" t="s">
        <v>180</v>
      </c>
      <c r="C763" s="58">
        <v>3</v>
      </c>
      <c r="D763" s="58">
        <v>106</v>
      </c>
      <c r="E763" s="59">
        <v>34.442999999999998</v>
      </c>
    </row>
    <row r="764" spans="1:5" ht="15" x14ac:dyDescent="0.35">
      <c r="A764" s="58" t="s">
        <v>355</v>
      </c>
      <c r="B764" s="58" t="s">
        <v>180</v>
      </c>
      <c r="C764" s="58">
        <v>4</v>
      </c>
      <c r="D764" s="58">
        <v>107</v>
      </c>
      <c r="E764" s="59">
        <v>34.442999999999998</v>
      </c>
    </row>
    <row r="765" spans="1:5" ht="15" x14ac:dyDescent="0.35">
      <c r="A765" s="58" t="s">
        <v>355</v>
      </c>
      <c r="B765" s="58" t="s">
        <v>180</v>
      </c>
      <c r="C765" s="58">
        <v>5</v>
      </c>
      <c r="D765" s="58">
        <v>108</v>
      </c>
      <c r="E765" s="59">
        <v>34.442999999999998</v>
      </c>
    </row>
    <row r="766" spans="1:5" ht="15" x14ac:dyDescent="0.35">
      <c r="A766" s="58" t="s">
        <v>355</v>
      </c>
      <c r="B766" s="58" t="s">
        <v>180</v>
      </c>
      <c r="C766" s="58">
        <v>6</v>
      </c>
      <c r="D766" s="58">
        <v>109</v>
      </c>
      <c r="E766" s="59">
        <v>34.442999999999998</v>
      </c>
    </row>
    <row r="767" spans="1:5" ht="15" x14ac:dyDescent="0.35">
      <c r="A767" s="58" t="s">
        <v>355</v>
      </c>
      <c r="B767" s="58" t="s">
        <v>180</v>
      </c>
      <c r="C767" s="58">
        <v>7</v>
      </c>
      <c r="D767" s="58">
        <v>110</v>
      </c>
      <c r="E767" s="59">
        <v>34.442999999999998</v>
      </c>
    </row>
    <row r="768" spans="1:5" ht="15" x14ac:dyDescent="0.35">
      <c r="A768" s="58" t="s">
        <v>355</v>
      </c>
      <c r="B768" s="58" t="s">
        <v>180</v>
      </c>
      <c r="C768" s="58">
        <v>8</v>
      </c>
      <c r="D768" s="58">
        <v>111</v>
      </c>
      <c r="E768" s="59">
        <v>34.442999999999998</v>
      </c>
    </row>
    <row r="769" spans="1:5" ht="15" x14ac:dyDescent="0.35">
      <c r="A769" s="58" t="s">
        <v>355</v>
      </c>
      <c r="B769" s="58" t="s">
        <v>180</v>
      </c>
      <c r="C769" s="58">
        <v>9</v>
      </c>
      <c r="D769" s="58">
        <v>112</v>
      </c>
      <c r="E769" s="59">
        <v>34.442999999999998</v>
      </c>
    </row>
    <row r="770" spans="1:5" ht="15" x14ac:dyDescent="0.35">
      <c r="A770" s="58" t="s">
        <v>355</v>
      </c>
      <c r="B770" s="58" t="s">
        <v>180</v>
      </c>
      <c r="C770" s="58">
        <v>10</v>
      </c>
      <c r="D770" s="58">
        <v>113</v>
      </c>
      <c r="E770" s="59">
        <v>34.442999999999998</v>
      </c>
    </row>
    <row r="771" spans="1:5" ht="15" x14ac:dyDescent="0.35">
      <c r="A771" s="58" t="s">
        <v>355</v>
      </c>
      <c r="B771" s="58" t="s">
        <v>180</v>
      </c>
      <c r="C771" s="58">
        <v>11</v>
      </c>
      <c r="D771" s="58">
        <v>114</v>
      </c>
      <c r="E771" s="59">
        <v>34.442999999999998</v>
      </c>
    </row>
    <row r="772" spans="1:5" ht="15" x14ac:dyDescent="0.35">
      <c r="A772" s="58" t="s">
        <v>355</v>
      </c>
      <c r="B772" s="58" t="s">
        <v>180</v>
      </c>
      <c r="C772" s="58">
        <v>12</v>
      </c>
      <c r="D772" s="58">
        <v>115</v>
      </c>
      <c r="E772" s="59">
        <v>34.442999999999998</v>
      </c>
    </row>
    <row r="773" spans="1:5" ht="15" x14ac:dyDescent="0.35">
      <c r="A773" s="58" t="s">
        <v>312</v>
      </c>
      <c r="B773" s="58" t="s">
        <v>182</v>
      </c>
      <c r="C773" s="58">
        <v>1</v>
      </c>
      <c r="D773" s="58">
        <v>104</v>
      </c>
      <c r="E773" s="59">
        <v>87.318200000000004</v>
      </c>
    </row>
    <row r="774" spans="1:5" ht="15" x14ac:dyDescent="0.35">
      <c r="A774" s="58" t="s">
        <v>312</v>
      </c>
      <c r="B774" s="58" t="s">
        <v>182</v>
      </c>
      <c r="C774" s="58">
        <v>2</v>
      </c>
      <c r="D774" s="58">
        <v>105</v>
      </c>
      <c r="E774" s="59">
        <v>190.607</v>
      </c>
    </row>
    <row r="775" spans="1:5" ht="15" x14ac:dyDescent="0.35">
      <c r="A775" s="58" t="s">
        <v>312</v>
      </c>
      <c r="B775" s="58" t="s">
        <v>182</v>
      </c>
      <c r="C775" s="58">
        <v>3</v>
      </c>
      <c r="D775" s="58">
        <v>106</v>
      </c>
      <c r="E775" s="59">
        <v>166.37370000000001</v>
      </c>
    </row>
    <row r="776" spans="1:5" ht="15" x14ac:dyDescent="0.35">
      <c r="A776" s="58" t="s">
        <v>312</v>
      </c>
      <c r="B776" s="58" t="s">
        <v>182</v>
      </c>
      <c r="C776" s="58">
        <v>4</v>
      </c>
      <c r="D776" s="58">
        <v>107</v>
      </c>
      <c r="E776" s="59">
        <v>150.63560000000001</v>
      </c>
    </row>
    <row r="777" spans="1:5" ht="15" x14ac:dyDescent="0.35">
      <c r="A777" s="58" t="s">
        <v>312</v>
      </c>
      <c r="B777" s="58" t="s">
        <v>182</v>
      </c>
      <c r="C777" s="58">
        <v>5</v>
      </c>
      <c r="D777" s="58">
        <v>108</v>
      </c>
      <c r="E777" s="59">
        <v>147.70699999999999</v>
      </c>
    </row>
    <row r="778" spans="1:5" ht="15" x14ac:dyDescent="0.35">
      <c r="A778" s="58" t="s">
        <v>312</v>
      </c>
      <c r="B778" s="58" t="s">
        <v>182</v>
      </c>
      <c r="C778" s="58">
        <v>6</v>
      </c>
      <c r="D778" s="58">
        <v>109</v>
      </c>
      <c r="E778" s="59">
        <v>142.98480000000001</v>
      </c>
    </row>
    <row r="779" spans="1:5" ht="15" x14ac:dyDescent="0.35">
      <c r="A779" s="58" t="s">
        <v>312</v>
      </c>
      <c r="B779" s="58" t="s">
        <v>182</v>
      </c>
      <c r="C779" s="58">
        <v>7</v>
      </c>
      <c r="D779" s="58">
        <v>110</v>
      </c>
      <c r="E779" s="59">
        <v>129.20699999999999</v>
      </c>
    </row>
    <row r="780" spans="1:5" ht="15" x14ac:dyDescent="0.35">
      <c r="A780" s="58" t="s">
        <v>312</v>
      </c>
      <c r="B780" s="58" t="s">
        <v>182</v>
      </c>
      <c r="C780" s="58">
        <v>8</v>
      </c>
      <c r="D780" s="58">
        <v>111</v>
      </c>
      <c r="E780" s="59">
        <v>116.76260000000001</v>
      </c>
    </row>
    <row r="781" spans="1:5" ht="15" x14ac:dyDescent="0.35">
      <c r="A781" s="58" t="s">
        <v>312</v>
      </c>
      <c r="B781" s="58" t="s">
        <v>182</v>
      </c>
      <c r="C781" s="58">
        <v>9</v>
      </c>
      <c r="D781" s="58">
        <v>112</v>
      </c>
      <c r="E781" s="59">
        <v>120.0959</v>
      </c>
    </row>
    <row r="782" spans="1:5" ht="15" x14ac:dyDescent="0.35">
      <c r="A782" s="58" t="s">
        <v>312</v>
      </c>
      <c r="B782" s="58" t="s">
        <v>182</v>
      </c>
      <c r="C782" s="58">
        <v>10</v>
      </c>
      <c r="D782" s="58">
        <v>113</v>
      </c>
      <c r="E782" s="59">
        <v>150.6515</v>
      </c>
    </row>
    <row r="783" spans="1:5" ht="15" x14ac:dyDescent="0.35">
      <c r="A783" s="58" t="s">
        <v>312</v>
      </c>
      <c r="B783" s="58" t="s">
        <v>182</v>
      </c>
      <c r="C783" s="58">
        <v>11</v>
      </c>
      <c r="D783" s="58">
        <v>114</v>
      </c>
      <c r="E783" s="59">
        <v>126.54040000000001</v>
      </c>
    </row>
    <row r="784" spans="1:5" ht="15" x14ac:dyDescent="0.35">
      <c r="A784" s="58" t="s">
        <v>312</v>
      </c>
      <c r="B784" s="58" t="s">
        <v>182</v>
      </c>
      <c r="C784" s="58">
        <v>12</v>
      </c>
      <c r="D784" s="58">
        <v>115</v>
      </c>
      <c r="E784" s="59">
        <v>141.42930000000001</v>
      </c>
    </row>
    <row r="785" spans="1:5" ht="15" x14ac:dyDescent="0.35">
      <c r="A785" s="58" t="s">
        <v>312</v>
      </c>
      <c r="B785" s="58" t="s">
        <v>176</v>
      </c>
      <c r="C785" s="58">
        <v>1</v>
      </c>
      <c r="D785" s="58">
        <v>104</v>
      </c>
      <c r="E785" s="59">
        <v>121.25</v>
      </c>
    </row>
    <row r="786" spans="1:5" ht="15" x14ac:dyDescent="0.35">
      <c r="A786" s="58" t="s">
        <v>312</v>
      </c>
      <c r="B786" s="58" t="s">
        <v>176</v>
      </c>
      <c r="C786" s="58">
        <v>2</v>
      </c>
      <c r="D786" s="58">
        <v>105</v>
      </c>
      <c r="E786" s="59">
        <v>121.25</v>
      </c>
    </row>
    <row r="787" spans="1:5" ht="15" x14ac:dyDescent="0.35">
      <c r="A787" s="58" t="s">
        <v>312</v>
      </c>
      <c r="B787" s="58" t="s">
        <v>176</v>
      </c>
      <c r="C787" s="58">
        <v>3</v>
      </c>
      <c r="D787" s="58">
        <v>106</v>
      </c>
      <c r="E787" s="59">
        <v>121.25</v>
      </c>
    </row>
    <row r="788" spans="1:5" ht="15" x14ac:dyDescent="0.35">
      <c r="A788" s="58" t="s">
        <v>312</v>
      </c>
      <c r="B788" s="58" t="s">
        <v>176</v>
      </c>
      <c r="C788" s="58">
        <v>4</v>
      </c>
      <c r="D788" s="58">
        <v>107</v>
      </c>
      <c r="E788" s="59">
        <v>121.25</v>
      </c>
    </row>
    <row r="789" spans="1:5" ht="15" x14ac:dyDescent="0.35">
      <c r="A789" s="58" t="s">
        <v>312</v>
      </c>
      <c r="B789" s="58" t="s">
        <v>176</v>
      </c>
      <c r="C789" s="58">
        <v>5</v>
      </c>
      <c r="D789" s="58">
        <v>108</v>
      </c>
      <c r="E789" s="59">
        <v>121.25</v>
      </c>
    </row>
    <row r="790" spans="1:5" ht="15" x14ac:dyDescent="0.35">
      <c r="A790" s="58" t="s">
        <v>312</v>
      </c>
      <c r="B790" s="58" t="s">
        <v>176</v>
      </c>
      <c r="C790" s="58">
        <v>6</v>
      </c>
      <c r="D790" s="58">
        <v>109</v>
      </c>
      <c r="E790" s="59">
        <v>121.25</v>
      </c>
    </row>
    <row r="791" spans="1:5" ht="15" x14ac:dyDescent="0.35">
      <c r="A791" s="58" t="s">
        <v>312</v>
      </c>
      <c r="B791" s="58" t="s">
        <v>176</v>
      </c>
      <c r="C791" s="58">
        <v>7</v>
      </c>
      <c r="D791" s="58">
        <v>110</v>
      </c>
      <c r="E791" s="59">
        <v>121.25</v>
      </c>
    </row>
    <row r="792" spans="1:5" ht="15" x14ac:dyDescent="0.35">
      <c r="A792" s="58" t="s">
        <v>312</v>
      </c>
      <c r="B792" s="58" t="s">
        <v>176</v>
      </c>
      <c r="C792" s="58">
        <v>8</v>
      </c>
      <c r="D792" s="58">
        <v>111</v>
      </c>
      <c r="E792" s="59">
        <v>121.25</v>
      </c>
    </row>
    <row r="793" spans="1:5" ht="15" x14ac:dyDescent="0.35">
      <c r="A793" s="58" t="s">
        <v>312</v>
      </c>
      <c r="B793" s="58" t="s">
        <v>176</v>
      </c>
      <c r="C793" s="58">
        <v>9</v>
      </c>
      <c r="D793" s="58">
        <v>112</v>
      </c>
      <c r="E793" s="59">
        <v>121.25</v>
      </c>
    </row>
    <row r="794" spans="1:5" ht="15" x14ac:dyDescent="0.35">
      <c r="A794" s="58" t="s">
        <v>312</v>
      </c>
      <c r="B794" s="58" t="s">
        <v>176</v>
      </c>
      <c r="C794" s="58">
        <v>10</v>
      </c>
      <c r="D794" s="58">
        <v>113</v>
      </c>
      <c r="E794" s="59">
        <v>121.25</v>
      </c>
    </row>
    <row r="795" spans="1:5" ht="15" x14ac:dyDescent="0.35">
      <c r="A795" s="58" t="s">
        <v>312</v>
      </c>
      <c r="B795" s="58" t="s">
        <v>176</v>
      </c>
      <c r="C795" s="58">
        <v>11</v>
      </c>
      <c r="D795" s="58">
        <v>114</v>
      </c>
      <c r="E795" s="59">
        <v>121.25</v>
      </c>
    </row>
    <row r="796" spans="1:5" ht="15" x14ac:dyDescent="0.35">
      <c r="A796" s="58" t="s">
        <v>312</v>
      </c>
      <c r="B796" s="58" t="s">
        <v>176</v>
      </c>
      <c r="C796" s="58">
        <v>12</v>
      </c>
      <c r="D796" s="58">
        <v>115</v>
      </c>
      <c r="E796" s="59">
        <v>121.25</v>
      </c>
    </row>
    <row r="797" spans="1:5" ht="15" x14ac:dyDescent="0.35">
      <c r="A797" s="58" t="s">
        <v>312</v>
      </c>
      <c r="B797" s="58" t="s">
        <v>172</v>
      </c>
      <c r="C797" s="58">
        <v>1</v>
      </c>
      <c r="D797" s="58">
        <v>104</v>
      </c>
      <c r="E797" s="59">
        <v>156</v>
      </c>
    </row>
    <row r="798" spans="1:5" ht="15" x14ac:dyDescent="0.35">
      <c r="A798" s="58" t="s">
        <v>312</v>
      </c>
      <c r="B798" s="58" t="s">
        <v>172</v>
      </c>
      <c r="C798" s="58">
        <v>2</v>
      </c>
      <c r="D798" s="58">
        <v>105</v>
      </c>
      <c r="E798" s="59">
        <v>156</v>
      </c>
    </row>
    <row r="799" spans="1:5" ht="15" x14ac:dyDescent="0.35">
      <c r="A799" s="58" t="s">
        <v>312</v>
      </c>
      <c r="B799" s="58" t="s">
        <v>172</v>
      </c>
      <c r="C799" s="58">
        <v>3</v>
      </c>
      <c r="D799" s="58">
        <v>106</v>
      </c>
      <c r="E799" s="59">
        <v>156</v>
      </c>
    </row>
    <row r="800" spans="1:5" ht="15" x14ac:dyDescent="0.35">
      <c r="A800" s="58" t="s">
        <v>312</v>
      </c>
      <c r="B800" s="58" t="s">
        <v>172</v>
      </c>
      <c r="C800" s="58">
        <v>4</v>
      </c>
      <c r="D800" s="58">
        <v>107</v>
      </c>
      <c r="E800" s="59">
        <v>156</v>
      </c>
    </row>
    <row r="801" spans="1:5" ht="15" x14ac:dyDescent="0.35">
      <c r="A801" s="58" t="s">
        <v>312</v>
      </c>
      <c r="B801" s="58" t="s">
        <v>172</v>
      </c>
      <c r="C801" s="58">
        <v>5</v>
      </c>
      <c r="D801" s="58">
        <v>108</v>
      </c>
      <c r="E801" s="59">
        <v>156</v>
      </c>
    </row>
    <row r="802" spans="1:5" ht="15" x14ac:dyDescent="0.35">
      <c r="A802" s="58" t="s">
        <v>312</v>
      </c>
      <c r="B802" s="58" t="s">
        <v>172</v>
      </c>
      <c r="C802" s="58">
        <v>6</v>
      </c>
      <c r="D802" s="58">
        <v>109</v>
      </c>
      <c r="E802" s="59">
        <v>156</v>
      </c>
    </row>
    <row r="803" spans="1:5" ht="15" x14ac:dyDescent="0.35">
      <c r="A803" s="58" t="s">
        <v>312</v>
      </c>
      <c r="B803" s="58" t="s">
        <v>172</v>
      </c>
      <c r="C803" s="58">
        <v>7</v>
      </c>
      <c r="D803" s="58">
        <v>110</v>
      </c>
      <c r="E803" s="59">
        <v>156</v>
      </c>
    </row>
    <row r="804" spans="1:5" ht="15" x14ac:dyDescent="0.35">
      <c r="A804" s="58" t="s">
        <v>312</v>
      </c>
      <c r="B804" s="58" t="s">
        <v>172</v>
      </c>
      <c r="C804" s="58">
        <v>8</v>
      </c>
      <c r="D804" s="58">
        <v>111</v>
      </c>
      <c r="E804" s="59">
        <v>156</v>
      </c>
    </row>
    <row r="805" spans="1:5" ht="15" x14ac:dyDescent="0.35">
      <c r="A805" s="58" t="s">
        <v>312</v>
      </c>
      <c r="B805" s="58" t="s">
        <v>172</v>
      </c>
      <c r="C805" s="58">
        <v>9</v>
      </c>
      <c r="D805" s="58">
        <v>112</v>
      </c>
      <c r="E805" s="59">
        <v>156</v>
      </c>
    </row>
    <row r="806" spans="1:5" ht="15" x14ac:dyDescent="0.35">
      <c r="A806" s="58" t="s">
        <v>312</v>
      </c>
      <c r="B806" s="58" t="s">
        <v>172</v>
      </c>
      <c r="C806" s="58">
        <v>10</v>
      </c>
      <c r="D806" s="58">
        <v>113</v>
      </c>
      <c r="E806" s="59">
        <v>156</v>
      </c>
    </row>
    <row r="807" spans="1:5" ht="15" x14ac:dyDescent="0.35">
      <c r="A807" s="58" t="s">
        <v>312</v>
      </c>
      <c r="B807" s="58" t="s">
        <v>172</v>
      </c>
      <c r="C807" s="58">
        <v>11</v>
      </c>
      <c r="D807" s="58">
        <v>114</v>
      </c>
      <c r="E807" s="59">
        <v>156</v>
      </c>
    </row>
    <row r="808" spans="1:5" ht="15" x14ac:dyDescent="0.35">
      <c r="A808" s="58" t="s">
        <v>312</v>
      </c>
      <c r="B808" s="58" t="s">
        <v>172</v>
      </c>
      <c r="C808" s="58">
        <v>12</v>
      </c>
      <c r="D808" s="58">
        <v>115</v>
      </c>
      <c r="E808" s="59">
        <v>156</v>
      </c>
    </row>
    <row r="809" spans="1:5" ht="15" x14ac:dyDescent="0.35">
      <c r="A809" s="58" t="s">
        <v>312</v>
      </c>
      <c r="B809" s="58" t="s">
        <v>180</v>
      </c>
      <c r="C809" s="58">
        <v>1</v>
      </c>
      <c r="D809" s="58">
        <v>104</v>
      </c>
      <c r="E809" s="59">
        <v>128.63730000000001</v>
      </c>
    </row>
    <row r="810" spans="1:5" ht="15" x14ac:dyDescent="0.35">
      <c r="A810" s="58" t="s">
        <v>312</v>
      </c>
      <c r="B810" s="58" t="s">
        <v>180</v>
      </c>
      <c r="C810" s="58">
        <v>2</v>
      </c>
      <c r="D810" s="58">
        <v>105</v>
      </c>
      <c r="E810" s="59">
        <v>128.63730000000001</v>
      </c>
    </row>
    <row r="811" spans="1:5" ht="15" x14ac:dyDescent="0.35">
      <c r="A811" s="58" t="s">
        <v>312</v>
      </c>
      <c r="B811" s="58" t="s">
        <v>180</v>
      </c>
      <c r="C811" s="58">
        <v>3</v>
      </c>
      <c r="D811" s="58">
        <v>106</v>
      </c>
      <c r="E811" s="59">
        <v>128.63730000000001</v>
      </c>
    </row>
    <row r="812" spans="1:5" ht="15" x14ac:dyDescent="0.35">
      <c r="A812" s="58" t="s">
        <v>312</v>
      </c>
      <c r="B812" s="58" t="s">
        <v>180</v>
      </c>
      <c r="C812" s="58">
        <v>4</v>
      </c>
      <c r="D812" s="58">
        <v>107</v>
      </c>
      <c r="E812" s="59">
        <v>128.63730000000001</v>
      </c>
    </row>
    <row r="813" spans="1:5" ht="15" x14ac:dyDescent="0.35">
      <c r="A813" s="58" t="s">
        <v>312</v>
      </c>
      <c r="B813" s="58" t="s">
        <v>180</v>
      </c>
      <c r="C813" s="58">
        <v>5</v>
      </c>
      <c r="D813" s="58">
        <v>108</v>
      </c>
      <c r="E813" s="59">
        <v>128.63730000000001</v>
      </c>
    </row>
    <row r="814" spans="1:5" ht="15" x14ac:dyDescent="0.35">
      <c r="A814" s="58" t="s">
        <v>312</v>
      </c>
      <c r="B814" s="58" t="s">
        <v>180</v>
      </c>
      <c r="C814" s="58">
        <v>6</v>
      </c>
      <c r="D814" s="58">
        <v>109</v>
      </c>
      <c r="E814" s="59">
        <v>128.63730000000001</v>
      </c>
    </row>
    <row r="815" spans="1:5" ht="15" x14ac:dyDescent="0.35">
      <c r="A815" s="58" t="s">
        <v>312</v>
      </c>
      <c r="B815" s="58" t="s">
        <v>180</v>
      </c>
      <c r="C815" s="58">
        <v>7</v>
      </c>
      <c r="D815" s="58">
        <v>110</v>
      </c>
      <c r="E815" s="59">
        <v>128.63730000000001</v>
      </c>
    </row>
    <row r="816" spans="1:5" ht="15" x14ac:dyDescent="0.35">
      <c r="A816" s="58" t="s">
        <v>312</v>
      </c>
      <c r="B816" s="58" t="s">
        <v>180</v>
      </c>
      <c r="C816" s="58">
        <v>8</v>
      </c>
      <c r="D816" s="58">
        <v>111</v>
      </c>
      <c r="E816" s="59">
        <v>128.63730000000001</v>
      </c>
    </row>
    <row r="817" spans="1:5" ht="15" x14ac:dyDescent="0.35">
      <c r="A817" s="58" t="s">
        <v>312</v>
      </c>
      <c r="B817" s="58" t="s">
        <v>180</v>
      </c>
      <c r="C817" s="58">
        <v>9</v>
      </c>
      <c r="D817" s="58">
        <v>112</v>
      </c>
      <c r="E817" s="59">
        <v>128.63730000000001</v>
      </c>
    </row>
    <row r="818" spans="1:5" ht="15" x14ac:dyDescent="0.35">
      <c r="A818" s="58" t="s">
        <v>312</v>
      </c>
      <c r="B818" s="58" t="s">
        <v>180</v>
      </c>
      <c r="C818" s="58">
        <v>10</v>
      </c>
      <c r="D818" s="58">
        <v>113</v>
      </c>
      <c r="E818" s="59">
        <v>128.63730000000001</v>
      </c>
    </row>
    <row r="819" spans="1:5" ht="15" x14ac:dyDescent="0.35">
      <c r="A819" s="58" t="s">
        <v>312</v>
      </c>
      <c r="B819" s="58" t="s">
        <v>180</v>
      </c>
      <c r="C819" s="58">
        <v>11</v>
      </c>
      <c r="D819" s="58">
        <v>114</v>
      </c>
      <c r="E819" s="59">
        <v>128.63730000000001</v>
      </c>
    </row>
    <row r="820" spans="1:5" ht="15" x14ac:dyDescent="0.35">
      <c r="A820" s="58" t="s">
        <v>312</v>
      </c>
      <c r="B820" s="58" t="s">
        <v>180</v>
      </c>
      <c r="C820" s="58">
        <v>12</v>
      </c>
      <c r="D820" s="58">
        <v>115</v>
      </c>
      <c r="E820" s="59">
        <v>128.63730000000001</v>
      </c>
    </row>
    <row r="821" spans="1:5" ht="15" x14ac:dyDescent="0.35">
      <c r="A821" s="58" t="s">
        <v>357</v>
      </c>
      <c r="B821" s="58" t="s">
        <v>182</v>
      </c>
      <c r="C821" s="58">
        <v>1</v>
      </c>
      <c r="D821" s="58">
        <v>104</v>
      </c>
      <c r="E821" s="59">
        <v>364.62689999999998</v>
      </c>
    </row>
    <row r="822" spans="1:5" ht="15" x14ac:dyDescent="0.35">
      <c r="A822" s="58" t="s">
        <v>357</v>
      </c>
      <c r="B822" s="58" t="s">
        <v>182</v>
      </c>
      <c r="C822" s="58">
        <v>2</v>
      </c>
      <c r="D822" s="58">
        <v>105</v>
      </c>
      <c r="E822" s="59">
        <v>213.2491</v>
      </c>
    </row>
    <row r="823" spans="1:5" ht="15" x14ac:dyDescent="0.35">
      <c r="A823" s="58" t="s">
        <v>357</v>
      </c>
      <c r="B823" s="58" t="s">
        <v>182</v>
      </c>
      <c r="C823" s="58">
        <v>3</v>
      </c>
      <c r="D823" s="58">
        <v>106</v>
      </c>
      <c r="E823" s="59">
        <v>192.84909999999999</v>
      </c>
    </row>
    <row r="824" spans="1:5" ht="15" x14ac:dyDescent="0.35">
      <c r="A824" s="58" t="s">
        <v>357</v>
      </c>
      <c r="B824" s="58" t="s">
        <v>182</v>
      </c>
      <c r="C824" s="58">
        <v>4</v>
      </c>
      <c r="D824" s="58">
        <v>107</v>
      </c>
      <c r="E824" s="59">
        <v>187.27770000000001</v>
      </c>
    </row>
    <row r="825" spans="1:5" ht="15" x14ac:dyDescent="0.35">
      <c r="A825" s="58" t="s">
        <v>357</v>
      </c>
      <c r="B825" s="58" t="s">
        <v>182</v>
      </c>
      <c r="C825" s="58">
        <v>5</v>
      </c>
      <c r="D825" s="58">
        <v>108</v>
      </c>
      <c r="E825" s="59">
        <v>183.72409999999999</v>
      </c>
    </row>
    <row r="826" spans="1:5" ht="15" x14ac:dyDescent="0.35">
      <c r="A826" s="58" t="s">
        <v>357</v>
      </c>
      <c r="B826" s="58" t="s">
        <v>182</v>
      </c>
      <c r="C826" s="58">
        <v>6</v>
      </c>
      <c r="D826" s="58">
        <v>109</v>
      </c>
      <c r="E826" s="59">
        <v>211.738</v>
      </c>
    </row>
    <row r="827" spans="1:5" ht="15" x14ac:dyDescent="0.35">
      <c r="A827" s="58" t="s">
        <v>357</v>
      </c>
      <c r="B827" s="58" t="s">
        <v>182</v>
      </c>
      <c r="C827" s="58">
        <v>7</v>
      </c>
      <c r="D827" s="58">
        <v>110</v>
      </c>
      <c r="E827" s="59">
        <v>205.07130000000001</v>
      </c>
    </row>
    <row r="828" spans="1:5" ht="15" x14ac:dyDescent="0.35">
      <c r="A828" s="58" t="s">
        <v>357</v>
      </c>
      <c r="B828" s="58" t="s">
        <v>182</v>
      </c>
      <c r="C828" s="58">
        <v>8</v>
      </c>
      <c r="D828" s="58">
        <v>111</v>
      </c>
      <c r="E828" s="59">
        <v>219.2936</v>
      </c>
    </row>
    <row r="829" spans="1:5" ht="15" x14ac:dyDescent="0.35">
      <c r="A829" s="58" t="s">
        <v>357</v>
      </c>
      <c r="B829" s="58" t="s">
        <v>182</v>
      </c>
      <c r="C829" s="58">
        <v>9</v>
      </c>
      <c r="D829" s="58">
        <v>112</v>
      </c>
      <c r="E829" s="59">
        <v>325.738</v>
      </c>
    </row>
    <row r="830" spans="1:5" ht="15" x14ac:dyDescent="0.35">
      <c r="A830" s="58" t="s">
        <v>357</v>
      </c>
      <c r="B830" s="58" t="s">
        <v>182</v>
      </c>
      <c r="C830" s="58">
        <v>10</v>
      </c>
      <c r="D830" s="58">
        <v>113</v>
      </c>
      <c r="E830" s="59">
        <v>342.07130000000001</v>
      </c>
    </row>
    <row r="831" spans="1:5" ht="15" x14ac:dyDescent="0.35">
      <c r="A831" s="58" t="s">
        <v>357</v>
      </c>
      <c r="B831" s="58" t="s">
        <v>182</v>
      </c>
      <c r="C831" s="58">
        <v>11</v>
      </c>
      <c r="D831" s="58">
        <v>114</v>
      </c>
      <c r="E831" s="59">
        <v>332.07130000000001</v>
      </c>
    </row>
    <row r="832" spans="1:5" ht="15" x14ac:dyDescent="0.35">
      <c r="A832" s="58" t="s">
        <v>357</v>
      </c>
      <c r="B832" s="58" t="s">
        <v>182</v>
      </c>
      <c r="C832" s="58">
        <v>12</v>
      </c>
      <c r="D832" s="58">
        <v>115</v>
      </c>
      <c r="E832" s="59">
        <v>338.738</v>
      </c>
    </row>
    <row r="833" spans="1:5" ht="15" x14ac:dyDescent="0.35">
      <c r="A833" s="58" t="s">
        <v>357</v>
      </c>
      <c r="B833" s="58" t="s">
        <v>176</v>
      </c>
      <c r="C833" s="58">
        <v>1</v>
      </c>
      <c r="D833" s="58">
        <v>104</v>
      </c>
      <c r="E833" s="59">
        <v>610.25</v>
      </c>
    </row>
    <row r="834" spans="1:5" ht="15" x14ac:dyDescent="0.35">
      <c r="A834" s="58" t="s">
        <v>357</v>
      </c>
      <c r="B834" s="58" t="s">
        <v>176</v>
      </c>
      <c r="C834" s="58">
        <v>2</v>
      </c>
      <c r="D834" s="58">
        <v>105</v>
      </c>
      <c r="E834" s="59">
        <v>610.25</v>
      </c>
    </row>
    <row r="835" spans="1:5" ht="15" x14ac:dyDescent="0.35">
      <c r="A835" s="58" t="s">
        <v>357</v>
      </c>
      <c r="B835" s="58" t="s">
        <v>176</v>
      </c>
      <c r="C835" s="58">
        <v>3</v>
      </c>
      <c r="D835" s="58">
        <v>106</v>
      </c>
      <c r="E835" s="59">
        <v>610.25</v>
      </c>
    </row>
    <row r="836" spans="1:5" ht="15" x14ac:dyDescent="0.35">
      <c r="A836" s="58" t="s">
        <v>357</v>
      </c>
      <c r="B836" s="58" t="s">
        <v>176</v>
      </c>
      <c r="C836" s="58">
        <v>4</v>
      </c>
      <c r="D836" s="58">
        <v>107</v>
      </c>
      <c r="E836" s="59">
        <v>610.25</v>
      </c>
    </row>
    <row r="837" spans="1:5" ht="15" x14ac:dyDescent="0.35">
      <c r="A837" s="58" t="s">
        <v>357</v>
      </c>
      <c r="B837" s="58" t="s">
        <v>176</v>
      </c>
      <c r="C837" s="58">
        <v>5</v>
      </c>
      <c r="D837" s="58">
        <v>108</v>
      </c>
      <c r="E837" s="59">
        <v>610.25</v>
      </c>
    </row>
    <row r="838" spans="1:5" ht="15" x14ac:dyDescent="0.35">
      <c r="A838" s="58" t="s">
        <v>357</v>
      </c>
      <c r="B838" s="58" t="s">
        <v>176</v>
      </c>
      <c r="C838" s="58">
        <v>6</v>
      </c>
      <c r="D838" s="58">
        <v>109</v>
      </c>
      <c r="E838" s="59">
        <v>610.25</v>
      </c>
    </row>
    <row r="839" spans="1:5" ht="15" x14ac:dyDescent="0.35">
      <c r="A839" s="58" t="s">
        <v>357</v>
      </c>
      <c r="B839" s="58" t="s">
        <v>176</v>
      </c>
      <c r="C839" s="58">
        <v>7</v>
      </c>
      <c r="D839" s="58">
        <v>110</v>
      </c>
      <c r="E839" s="59">
        <v>610.25</v>
      </c>
    </row>
    <row r="840" spans="1:5" ht="15" x14ac:dyDescent="0.35">
      <c r="A840" s="58" t="s">
        <v>357</v>
      </c>
      <c r="B840" s="58" t="s">
        <v>176</v>
      </c>
      <c r="C840" s="58">
        <v>8</v>
      </c>
      <c r="D840" s="58">
        <v>111</v>
      </c>
      <c r="E840" s="59">
        <v>610.25</v>
      </c>
    </row>
    <row r="841" spans="1:5" ht="15" x14ac:dyDescent="0.35">
      <c r="A841" s="58" t="s">
        <v>357</v>
      </c>
      <c r="B841" s="58" t="s">
        <v>176</v>
      </c>
      <c r="C841" s="58">
        <v>9</v>
      </c>
      <c r="D841" s="58">
        <v>112</v>
      </c>
      <c r="E841" s="59">
        <v>610.25</v>
      </c>
    </row>
    <row r="842" spans="1:5" ht="15" x14ac:dyDescent="0.35">
      <c r="A842" s="58" t="s">
        <v>357</v>
      </c>
      <c r="B842" s="58" t="s">
        <v>176</v>
      </c>
      <c r="C842" s="58">
        <v>10</v>
      </c>
      <c r="D842" s="58">
        <v>113</v>
      </c>
      <c r="E842" s="59">
        <v>610.25</v>
      </c>
    </row>
    <row r="843" spans="1:5" ht="15" x14ac:dyDescent="0.35">
      <c r="A843" s="58" t="s">
        <v>357</v>
      </c>
      <c r="B843" s="58" t="s">
        <v>176</v>
      </c>
      <c r="C843" s="58">
        <v>11</v>
      </c>
      <c r="D843" s="58">
        <v>114</v>
      </c>
      <c r="E843" s="59">
        <v>610.25</v>
      </c>
    </row>
    <row r="844" spans="1:5" ht="15" x14ac:dyDescent="0.35">
      <c r="A844" s="58" t="s">
        <v>357</v>
      </c>
      <c r="B844" s="58" t="s">
        <v>176</v>
      </c>
      <c r="C844" s="58">
        <v>12</v>
      </c>
      <c r="D844" s="58">
        <v>115</v>
      </c>
      <c r="E844" s="59">
        <v>610.25</v>
      </c>
    </row>
    <row r="845" spans="1:5" ht="15" x14ac:dyDescent="0.35">
      <c r="A845" s="58" t="s">
        <v>357</v>
      </c>
      <c r="B845" s="58" t="s">
        <v>172</v>
      </c>
      <c r="C845" s="58">
        <v>1</v>
      </c>
      <c r="D845" s="58">
        <v>104</v>
      </c>
      <c r="E845" s="59">
        <v>94</v>
      </c>
    </row>
    <row r="846" spans="1:5" ht="15" x14ac:dyDescent="0.35">
      <c r="A846" s="58" t="s">
        <v>357</v>
      </c>
      <c r="B846" s="58" t="s">
        <v>172</v>
      </c>
      <c r="C846" s="58">
        <v>2</v>
      </c>
      <c r="D846" s="58">
        <v>105</v>
      </c>
      <c r="E846" s="59">
        <v>94</v>
      </c>
    </row>
    <row r="847" spans="1:5" ht="15" x14ac:dyDescent="0.35">
      <c r="A847" s="58" t="s">
        <v>357</v>
      </c>
      <c r="B847" s="58" t="s">
        <v>172</v>
      </c>
      <c r="C847" s="58">
        <v>3</v>
      </c>
      <c r="D847" s="58">
        <v>106</v>
      </c>
      <c r="E847" s="59">
        <v>94</v>
      </c>
    </row>
    <row r="848" spans="1:5" ht="15" x14ac:dyDescent="0.35">
      <c r="A848" s="58" t="s">
        <v>357</v>
      </c>
      <c r="B848" s="58" t="s">
        <v>172</v>
      </c>
      <c r="C848" s="58">
        <v>4</v>
      </c>
      <c r="D848" s="58">
        <v>107</v>
      </c>
      <c r="E848" s="59">
        <v>94</v>
      </c>
    </row>
    <row r="849" spans="1:5" ht="15" x14ac:dyDescent="0.35">
      <c r="A849" s="58" t="s">
        <v>357</v>
      </c>
      <c r="B849" s="58" t="s">
        <v>172</v>
      </c>
      <c r="C849" s="58">
        <v>5</v>
      </c>
      <c r="D849" s="58">
        <v>108</v>
      </c>
      <c r="E849" s="59">
        <v>94</v>
      </c>
    </row>
    <row r="850" spans="1:5" ht="15" x14ac:dyDescent="0.35">
      <c r="A850" s="58" t="s">
        <v>357</v>
      </c>
      <c r="B850" s="58" t="s">
        <v>172</v>
      </c>
      <c r="C850" s="58">
        <v>6</v>
      </c>
      <c r="D850" s="58">
        <v>109</v>
      </c>
      <c r="E850" s="59">
        <v>94</v>
      </c>
    </row>
    <row r="851" spans="1:5" ht="15" x14ac:dyDescent="0.35">
      <c r="A851" s="58" t="s">
        <v>357</v>
      </c>
      <c r="B851" s="58" t="s">
        <v>172</v>
      </c>
      <c r="C851" s="58">
        <v>7</v>
      </c>
      <c r="D851" s="58">
        <v>110</v>
      </c>
      <c r="E851" s="59">
        <v>94</v>
      </c>
    </row>
    <row r="852" spans="1:5" ht="15" x14ac:dyDescent="0.35">
      <c r="A852" s="58" t="s">
        <v>357</v>
      </c>
      <c r="B852" s="58" t="s">
        <v>172</v>
      </c>
      <c r="C852" s="58">
        <v>8</v>
      </c>
      <c r="D852" s="58">
        <v>111</v>
      </c>
      <c r="E852" s="59">
        <v>94</v>
      </c>
    </row>
    <row r="853" spans="1:5" ht="15" x14ac:dyDescent="0.35">
      <c r="A853" s="58" t="s">
        <v>357</v>
      </c>
      <c r="B853" s="58" t="s">
        <v>172</v>
      </c>
      <c r="C853" s="58">
        <v>9</v>
      </c>
      <c r="D853" s="58">
        <v>112</v>
      </c>
      <c r="E853" s="59">
        <v>94</v>
      </c>
    </row>
    <row r="854" spans="1:5" ht="15" x14ac:dyDescent="0.35">
      <c r="A854" s="58" t="s">
        <v>357</v>
      </c>
      <c r="B854" s="58" t="s">
        <v>172</v>
      </c>
      <c r="C854" s="58">
        <v>10</v>
      </c>
      <c r="D854" s="58">
        <v>113</v>
      </c>
      <c r="E854" s="59">
        <v>94</v>
      </c>
    </row>
    <row r="855" spans="1:5" ht="15" x14ac:dyDescent="0.35">
      <c r="A855" s="58" t="s">
        <v>357</v>
      </c>
      <c r="B855" s="58" t="s">
        <v>172</v>
      </c>
      <c r="C855" s="58">
        <v>11</v>
      </c>
      <c r="D855" s="58">
        <v>114</v>
      </c>
      <c r="E855" s="59">
        <v>94</v>
      </c>
    </row>
    <row r="856" spans="1:5" ht="15" x14ac:dyDescent="0.35">
      <c r="A856" s="58" t="s">
        <v>357</v>
      </c>
      <c r="B856" s="58" t="s">
        <v>172</v>
      </c>
      <c r="C856" s="58">
        <v>12</v>
      </c>
      <c r="D856" s="58">
        <v>115</v>
      </c>
      <c r="E856" s="59">
        <v>94</v>
      </c>
    </row>
    <row r="857" spans="1:5" ht="15" x14ac:dyDescent="0.35">
      <c r="A857" s="58" t="s">
        <v>357</v>
      </c>
      <c r="B857" s="58" t="s">
        <v>180</v>
      </c>
      <c r="C857" s="58">
        <v>1</v>
      </c>
      <c r="D857" s="58">
        <v>104</v>
      </c>
      <c r="E857" s="59">
        <v>371.76280000000003</v>
      </c>
    </row>
    <row r="858" spans="1:5" ht="15" x14ac:dyDescent="0.35">
      <c r="A858" s="58" t="s">
        <v>357</v>
      </c>
      <c r="B858" s="58" t="s">
        <v>180</v>
      </c>
      <c r="C858" s="58">
        <v>2</v>
      </c>
      <c r="D858" s="58">
        <v>105</v>
      </c>
      <c r="E858" s="59">
        <v>371.76280000000003</v>
      </c>
    </row>
    <row r="859" spans="1:5" ht="15" x14ac:dyDescent="0.35">
      <c r="A859" s="58" t="s">
        <v>357</v>
      </c>
      <c r="B859" s="58" t="s">
        <v>180</v>
      </c>
      <c r="C859" s="58">
        <v>3</v>
      </c>
      <c r="D859" s="58">
        <v>106</v>
      </c>
      <c r="E859" s="59">
        <v>371.76280000000003</v>
      </c>
    </row>
    <row r="860" spans="1:5" ht="15" x14ac:dyDescent="0.35">
      <c r="A860" s="58" t="s">
        <v>357</v>
      </c>
      <c r="B860" s="58" t="s">
        <v>180</v>
      </c>
      <c r="C860" s="58">
        <v>4</v>
      </c>
      <c r="D860" s="58">
        <v>107</v>
      </c>
      <c r="E860" s="59">
        <v>371.76280000000003</v>
      </c>
    </row>
    <row r="861" spans="1:5" ht="15" x14ac:dyDescent="0.35">
      <c r="A861" s="58" t="s">
        <v>357</v>
      </c>
      <c r="B861" s="58" t="s">
        <v>180</v>
      </c>
      <c r="C861" s="58">
        <v>5</v>
      </c>
      <c r="D861" s="58">
        <v>108</v>
      </c>
      <c r="E861" s="59">
        <v>371.76280000000003</v>
      </c>
    </row>
    <row r="862" spans="1:5" ht="15" x14ac:dyDescent="0.35">
      <c r="A862" s="58" t="s">
        <v>357</v>
      </c>
      <c r="B862" s="58" t="s">
        <v>180</v>
      </c>
      <c r="C862" s="58">
        <v>6</v>
      </c>
      <c r="D862" s="58">
        <v>109</v>
      </c>
      <c r="E862" s="59">
        <v>371.76280000000003</v>
      </c>
    </row>
    <row r="863" spans="1:5" ht="15" x14ac:dyDescent="0.35">
      <c r="A863" s="58" t="s">
        <v>357</v>
      </c>
      <c r="B863" s="58" t="s">
        <v>180</v>
      </c>
      <c r="C863" s="58">
        <v>7</v>
      </c>
      <c r="D863" s="58">
        <v>110</v>
      </c>
      <c r="E863" s="59">
        <v>371.76280000000003</v>
      </c>
    </row>
    <row r="864" spans="1:5" ht="15" x14ac:dyDescent="0.35">
      <c r="A864" s="58" t="s">
        <v>357</v>
      </c>
      <c r="B864" s="58" t="s">
        <v>180</v>
      </c>
      <c r="C864" s="58">
        <v>8</v>
      </c>
      <c r="D864" s="58">
        <v>111</v>
      </c>
      <c r="E864" s="59">
        <v>371.76280000000003</v>
      </c>
    </row>
    <row r="865" spans="1:5" ht="15" x14ac:dyDescent="0.35">
      <c r="A865" s="58" t="s">
        <v>357</v>
      </c>
      <c r="B865" s="58" t="s">
        <v>180</v>
      </c>
      <c r="C865" s="58">
        <v>9</v>
      </c>
      <c r="D865" s="58">
        <v>112</v>
      </c>
      <c r="E865" s="59">
        <v>371.76280000000003</v>
      </c>
    </row>
    <row r="866" spans="1:5" ht="15" x14ac:dyDescent="0.35">
      <c r="A866" s="58" t="s">
        <v>357</v>
      </c>
      <c r="B866" s="58" t="s">
        <v>180</v>
      </c>
      <c r="C866" s="58">
        <v>10</v>
      </c>
      <c r="D866" s="58">
        <v>113</v>
      </c>
      <c r="E866" s="59">
        <v>371.76280000000003</v>
      </c>
    </row>
    <row r="867" spans="1:5" ht="15" x14ac:dyDescent="0.35">
      <c r="A867" s="58" t="s">
        <v>357</v>
      </c>
      <c r="B867" s="58" t="s">
        <v>180</v>
      </c>
      <c r="C867" s="58">
        <v>11</v>
      </c>
      <c r="D867" s="58">
        <v>114</v>
      </c>
      <c r="E867" s="59">
        <v>371.76280000000003</v>
      </c>
    </row>
    <row r="868" spans="1:5" ht="15" x14ac:dyDescent="0.35">
      <c r="A868" s="58" t="s">
        <v>357</v>
      </c>
      <c r="B868" s="58" t="s">
        <v>180</v>
      </c>
      <c r="C868" s="58">
        <v>12</v>
      </c>
      <c r="D868" s="58">
        <v>115</v>
      </c>
      <c r="E868" s="59">
        <v>371.76280000000003</v>
      </c>
    </row>
    <row r="869" spans="1:5" ht="15" x14ac:dyDescent="0.35">
      <c r="A869" s="58" t="s">
        <v>374</v>
      </c>
      <c r="B869" s="58" t="s">
        <v>182</v>
      </c>
      <c r="C869" s="58">
        <v>1</v>
      </c>
      <c r="D869" s="58">
        <v>104</v>
      </c>
      <c r="E869" s="59">
        <v>188.3845</v>
      </c>
    </row>
    <row r="870" spans="1:5" ht="15" x14ac:dyDescent="0.35">
      <c r="A870" s="58" t="s">
        <v>374</v>
      </c>
      <c r="B870" s="58" t="s">
        <v>182</v>
      </c>
      <c r="C870" s="58">
        <v>2</v>
      </c>
      <c r="D870" s="58">
        <v>105</v>
      </c>
      <c r="E870" s="59">
        <v>118.4289</v>
      </c>
    </row>
    <row r="871" spans="1:5" ht="15" x14ac:dyDescent="0.35">
      <c r="A871" s="58" t="s">
        <v>374</v>
      </c>
      <c r="B871" s="58" t="s">
        <v>182</v>
      </c>
      <c r="C871" s="58">
        <v>3</v>
      </c>
      <c r="D871" s="58">
        <v>106</v>
      </c>
      <c r="E871" s="59">
        <v>193.4956</v>
      </c>
    </row>
    <row r="872" spans="1:5" ht="15" x14ac:dyDescent="0.35">
      <c r="A872" s="58" t="s">
        <v>374</v>
      </c>
      <c r="B872" s="58" t="s">
        <v>182</v>
      </c>
      <c r="C872" s="58">
        <v>4</v>
      </c>
      <c r="D872" s="58">
        <v>107</v>
      </c>
      <c r="E872" s="59">
        <v>176.1146</v>
      </c>
    </row>
    <row r="873" spans="1:5" ht="15" x14ac:dyDescent="0.35">
      <c r="A873" s="58" t="s">
        <v>374</v>
      </c>
      <c r="B873" s="58" t="s">
        <v>182</v>
      </c>
      <c r="C873" s="58">
        <v>5</v>
      </c>
      <c r="D873" s="58">
        <v>108</v>
      </c>
      <c r="E873" s="59">
        <v>165.8289</v>
      </c>
    </row>
    <row r="874" spans="1:5" ht="15" x14ac:dyDescent="0.35">
      <c r="A874" s="58" t="s">
        <v>374</v>
      </c>
      <c r="B874" s="58" t="s">
        <v>182</v>
      </c>
      <c r="C874" s="58">
        <v>6</v>
      </c>
      <c r="D874" s="58">
        <v>109</v>
      </c>
      <c r="E874" s="59">
        <v>148.60669999999999</v>
      </c>
    </row>
    <row r="875" spans="1:5" ht="15" x14ac:dyDescent="0.35">
      <c r="A875" s="58" t="s">
        <v>374</v>
      </c>
      <c r="B875" s="58" t="s">
        <v>182</v>
      </c>
      <c r="C875" s="58">
        <v>7</v>
      </c>
      <c r="D875" s="58">
        <v>110</v>
      </c>
      <c r="E875" s="59">
        <v>143.27340000000001</v>
      </c>
    </row>
    <row r="876" spans="1:5" ht="15" x14ac:dyDescent="0.35">
      <c r="A876" s="58" t="s">
        <v>374</v>
      </c>
      <c r="B876" s="58" t="s">
        <v>182</v>
      </c>
      <c r="C876" s="58">
        <v>8</v>
      </c>
      <c r="D876" s="58">
        <v>111</v>
      </c>
      <c r="E876" s="59">
        <v>145.05109999999999</v>
      </c>
    </row>
    <row r="877" spans="1:5" ht="15" x14ac:dyDescent="0.35">
      <c r="A877" s="58" t="s">
        <v>374</v>
      </c>
      <c r="B877" s="58" t="s">
        <v>182</v>
      </c>
      <c r="C877" s="58">
        <v>9</v>
      </c>
      <c r="D877" s="58">
        <v>112</v>
      </c>
      <c r="E877" s="59">
        <v>167.4956</v>
      </c>
    </row>
    <row r="878" spans="1:5" ht="15" x14ac:dyDescent="0.35">
      <c r="A878" s="58" t="s">
        <v>374</v>
      </c>
      <c r="B878" s="58" t="s">
        <v>182</v>
      </c>
      <c r="C878" s="58">
        <v>10</v>
      </c>
      <c r="D878" s="58">
        <v>113</v>
      </c>
      <c r="E878" s="59">
        <v>213.60669999999999</v>
      </c>
    </row>
    <row r="879" spans="1:5" ht="15" x14ac:dyDescent="0.35">
      <c r="A879" s="58" t="s">
        <v>374</v>
      </c>
      <c r="B879" s="58" t="s">
        <v>182</v>
      </c>
      <c r="C879" s="58">
        <v>11</v>
      </c>
      <c r="D879" s="58">
        <v>114</v>
      </c>
      <c r="E879" s="59">
        <v>259.05110000000002</v>
      </c>
    </row>
    <row r="880" spans="1:5" ht="15" x14ac:dyDescent="0.35">
      <c r="A880" s="58" t="s">
        <v>374</v>
      </c>
      <c r="B880" s="58" t="s">
        <v>182</v>
      </c>
      <c r="C880" s="58">
        <v>12</v>
      </c>
      <c r="D880" s="58">
        <v>115</v>
      </c>
      <c r="E880" s="59">
        <v>252.27340000000001</v>
      </c>
    </row>
    <row r="881" spans="1:5" ht="15" x14ac:dyDescent="0.35">
      <c r="A881" s="58" t="s">
        <v>374</v>
      </c>
      <c r="B881" s="58" t="s">
        <v>176</v>
      </c>
      <c r="C881" s="58">
        <v>1</v>
      </c>
      <c r="D881" s="58">
        <v>104</v>
      </c>
      <c r="E881" s="59">
        <v>203.25</v>
      </c>
    </row>
    <row r="882" spans="1:5" ht="15" x14ac:dyDescent="0.35">
      <c r="A882" s="58" t="s">
        <v>374</v>
      </c>
      <c r="B882" s="58" t="s">
        <v>176</v>
      </c>
      <c r="C882" s="58">
        <v>2</v>
      </c>
      <c r="D882" s="58">
        <v>105</v>
      </c>
      <c r="E882" s="59">
        <v>203.25</v>
      </c>
    </row>
    <row r="883" spans="1:5" ht="15" x14ac:dyDescent="0.35">
      <c r="A883" s="58" t="s">
        <v>374</v>
      </c>
      <c r="B883" s="58" t="s">
        <v>176</v>
      </c>
      <c r="C883" s="58">
        <v>3</v>
      </c>
      <c r="D883" s="58">
        <v>106</v>
      </c>
      <c r="E883" s="59">
        <v>203.25</v>
      </c>
    </row>
    <row r="884" spans="1:5" ht="15" x14ac:dyDescent="0.35">
      <c r="A884" s="58" t="s">
        <v>374</v>
      </c>
      <c r="B884" s="58" t="s">
        <v>176</v>
      </c>
      <c r="C884" s="58">
        <v>4</v>
      </c>
      <c r="D884" s="58">
        <v>107</v>
      </c>
      <c r="E884" s="59">
        <v>203.25</v>
      </c>
    </row>
    <row r="885" spans="1:5" ht="15" x14ac:dyDescent="0.35">
      <c r="A885" s="58" t="s">
        <v>374</v>
      </c>
      <c r="B885" s="58" t="s">
        <v>176</v>
      </c>
      <c r="C885" s="58">
        <v>5</v>
      </c>
      <c r="D885" s="58">
        <v>108</v>
      </c>
      <c r="E885" s="59">
        <v>203.25</v>
      </c>
    </row>
    <row r="886" spans="1:5" ht="15" x14ac:dyDescent="0.35">
      <c r="A886" s="58" t="s">
        <v>374</v>
      </c>
      <c r="B886" s="58" t="s">
        <v>176</v>
      </c>
      <c r="C886" s="58">
        <v>6</v>
      </c>
      <c r="D886" s="58">
        <v>109</v>
      </c>
      <c r="E886" s="59">
        <v>203.25</v>
      </c>
    </row>
    <row r="887" spans="1:5" ht="15" x14ac:dyDescent="0.35">
      <c r="A887" s="58" t="s">
        <v>374</v>
      </c>
      <c r="B887" s="58" t="s">
        <v>176</v>
      </c>
      <c r="C887" s="58">
        <v>7</v>
      </c>
      <c r="D887" s="58">
        <v>110</v>
      </c>
      <c r="E887" s="59">
        <v>203.25</v>
      </c>
    </row>
    <row r="888" spans="1:5" ht="15" x14ac:dyDescent="0.35">
      <c r="A888" s="58" t="s">
        <v>374</v>
      </c>
      <c r="B888" s="58" t="s">
        <v>176</v>
      </c>
      <c r="C888" s="58">
        <v>8</v>
      </c>
      <c r="D888" s="58">
        <v>111</v>
      </c>
      <c r="E888" s="59">
        <v>203.25</v>
      </c>
    </row>
    <row r="889" spans="1:5" ht="15" x14ac:dyDescent="0.35">
      <c r="A889" s="58" t="s">
        <v>374</v>
      </c>
      <c r="B889" s="58" t="s">
        <v>176</v>
      </c>
      <c r="C889" s="58">
        <v>9</v>
      </c>
      <c r="D889" s="58">
        <v>112</v>
      </c>
      <c r="E889" s="59">
        <v>203.25</v>
      </c>
    </row>
    <row r="890" spans="1:5" ht="15" x14ac:dyDescent="0.35">
      <c r="A890" s="58" t="s">
        <v>374</v>
      </c>
      <c r="B890" s="58" t="s">
        <v>176</v>
      </c>
      <c r="C890" s="58">
        <v>10</v>
      </c>
      <c r="D890" s="58">
        <v>113</v>
      </c>
      <c r="E890" s="59">
        <v>203.25</v>
      </c>
    </row>
    <row r="891" spans="1:5" ht="15" x14ac:dyDescent="0.35">
      <c r="A891" s="58" t="s">
        <v>374</v>
      </c>
      <c r="B891" s="58" t="s">
        <v>176</v>
      </c>
      <c r="C891" s="58">
        <v>11</v>
      </c>
      <c r="D891" s="58">
        <v>114</v>
      </c>
      <c r="E891" s="59">
        <v>203.25</v>
      </c>
    </row>
    <row r="892" spans="1:5" ht="15" x14ac:dyDescent="0.35">
      <c r="A892" s="58" t="s">
        <v>374</v>
      </c>
      <c r="B892" s="58" t="s">
        <v>176</v>
      </c>
      <c r="C892" s="58">
        <v>12</v>
      </c>
      <c r="D892" s="58">
        <v>115</v>
      </c>
      <c r="E892" s="59">
        <v>203.25</v>
      </c>
    </row>
    <row r="893" spans="1:5" ht="15" x14ac:dyDescent="0.35">
      <c r="A893" s="58" t="s">
        <v>374</v>
      </c>
      <c r="B893" s="58" t="s">
        <v>172</v>
      </c>
      <c r="C893" s="58">
        <v>1</v>
      </c>
      <c r="D893" s="58">
        <v>104</v>
      </c>
      <c r="E893" s="59">
        <v>294</v>
      </c>
    </row>
    <row r="894" spans="1:5" ht="15" x14ac:dyDescent="0.35">
      <c r="A894" s="58" t="s">
        <v>374</v>
      </c>
      <c r="B894" s="58" t="s">
        <v>172</v>
      </c>
      <c r="C894" s="58">
        <v>2</v>
      </c>
      <c r="D894" s="58">
        <v>105</v>
      </c>
      <c r="E894" s="59">
        <v>294</v>
      </c>
    </row>
    <row r="895" spans="1:5" ht="15" x14ac:dyDescent="0.35">
      <c r="A895" s="58" t="s">
        <v>374</v>
      </c>
      <c r="B895" s="58" t="s">
        <v>172</v>
      </c>
      <c r="C895" s="58">
        <v>3</v>
      </c>
      <c r="D895" s="58">
        <v>106</v>
      </c>
      <c r="E895" s="59">
        <v>294</v>
      </c>
    </row>
    <row r="896" spans="1:5" ht="15" x14ac:dyDescent="0.35">
      <c r="A896" s="58" t="s">
        <v>374</v>
      </c>
      <c r="B896" s="58" t="s">
        <v>172</v>
      </c>
      <c r="C896" s="58">
        <v>4</v>
      </c>
      <c r="D896" s="58">
        <v>107</v>
      </c>
      <c r="E896" s="59">
        <v>294</v>
      </c>
    </row>
    <row r="897" spans="1:5" ht="15" x14ac:dyDescent="0.35">
      <c r="A897" s="58" t="s">
        <v>374</v>
      </c>
      <c r="B897" s="58" t="s">
        <v>172</v>
      </c>
      <c r="C897" s="58">
        <v>5</v>
      </c>
      <c r="D897" s="58">
        <v>108</v>
      </c>
      <c r="E897" s="59">
        <v>294</v>
      </c>
    </row>
    <row r="898" spans="1:5" ht="15" x14ac:dyDescent="0.35">
      <c r="A898" s="58" t="s">
        <v>374</v>
      </c>
      <c r="B898" s="58" t="s">
        <v>172</v>
      </c>
      <c r="C898" s="58">
        <v>6</v>
      </c>
      <c r="D898" s="58">
        <v>109</v>
      </c>
      <c r="E898" s="59">
        <v>294</v>
      </c>
    </row>
    <row r="899" spans="1:5" ht="15" x14ac:dyDescent="0.35">
      <c r="A899" s="58" t="s">
        <v>374</v>
      </c>
      <c r="B899" s="58" t="s">
        <v>172</v>
      </c>
      <c r="C899" s="58">
        <v>7</v>
      </c>
      <c r="D899" s="58">
        <v>110</v>
      </c>
      <c r="E899" s="59">
        <v>294</v>
      </c>
    </row>
    <row r="900" spans="1:5" ht="15" x14ac:dyDescent="0.35">
      <c r="A900" s="58" t="s">
        <v>374</v>
      </c>
      <c r="B900" s="58" t="s">
        <v>172</v>
      </c>
      <c r="C900" s="58">
        <v>8</v>
      </c>
      <c r="D900" s="58">
        <v>111</v>
      </c>
      <c r="E900" s="59">
        <v>294</v>
      </c>
    </row>
    <row r="901" spans="1:5" ht="15" x14ac:dyDescent="0.35">
      <c r="A901" s="58" t="s">
        <v>374</v>
      </c>
      <c r="B901" s="58" t="s">
        <v>172</v>
      </c>
      <c r="C901" s="58">
        <v>9</v>
      </c>
      <c r="D901" s="58">
        <v>112</v>
      </c>
      <c r="E901" s="59">
        <v>294</v>
      </c>
    </row>
    <row r="902" spans="1:5" ht="15" x14ac:dyDescent="0.35">
      <c r="A902" s="58" t="s">
        <v>374</v>
      </c>
      <c r="B902" s="58" t="s">
        <v>172</v>
      </c>
      <c r="C902" s="58">
        <v>10</v>
      </c>
      <c r="D902" s="58">
        <v>113</v>
      </c>
      <c r="E902" s="59">
        <v>294</v>
      </c>
    </row>
    <row r="903" spans="1:5" ht="15" x14ac:dyDescent="0.35">
      <c r="A903" s="58" t="s">
        <v>374</v>
      </c>
      <c r="B903" s="58" t="s">
        <v>172</v>
      </c>
      <c r="C903" s="58">
        <v>11</v>
      </c>
      <c r="D903" s="58">
        <v>114</v>
      </c>
      <c r="E903" s="59">
        <v>294</v>
      </c>
    </row>
    <row r="904" spans="1:5" ht="15" x14ac:dyDescent="0.35">
      <c r="A904" s="58" t="s">
        <v>374</v>
      </c>
      <c r="B904" s="58" t="s">
        <v>172</v>
      </c>
      <c r="C904" s="58">
        <v>12</v>
      </c>
      <c r="D904" s="58">
        <v>115</v>
      </c>
      <c r="E904" s="59">
        <v>294</v>
      </c>
    </row>
    <row r="905" spans="1:5" ht="15" x14ac:dyDescent="0.35">
      <c r="A905" s="58" t="s">
        <v>374</v>
      </c>
      <c r="B905" s="58" t="s">
        <v>180</v>
      </c>
      <c r="C905" s="58">
        <v>1</v>
      </c>
      <c r="D905" s="58">
        <v>104</v>
      </c>
      <c r="E905" s="59">
        <v>221.0061</v>
      </c>
    </row>
    <row r="906" spans="1:5" ht="15" x14ac:dyDescent="0.35">
      <c r="A906" s="58" t="s">
        <v>374</v>
      </c>
      <c r="B906" s="58" t="s">
        <v>180</v>
      </c>
      <c r="C906" s="58">
        <v>2</v>
      </c>
      <c r="D906" s="58">
        <v>105</v>
      </c>
      <c r="E906" s="59">
        <v>221.0061</v>
      </c>
    </row>
    <row r="907" spans="1:5" ht="15" x14ac:dyDescent="0.35">
      <c r="A907" s="58" t="s">
        <v>374</v>
      </c>
      <c r="B907" s="58" t="s">
        <v>180</v>
      </c>
      <c r="C907" s="58">
        <v>3</v>
      </c>
      <c r="D907" s="58">
        <v>106</v>
      </c>
      <c r="E907" s="59">
        <v>221.0061</v>
      </c>
    </row>
    <row r="908" spans="1:5" ht="15" x14ac:dyDescent="0.35">
      <c r="A908" s="58" t="s">
        <v>374</v>
      </c>
      <c r="B908" s="58" t="s">
        <v>180</v>
      </c>
      <c r="C908" s="58">
        <v>4</v>
      </c>
      <c r="D908" s="58">
        <v>107</v>
      </c>
      <c r="E908" s="59">
        <v>221.0061</v>
      </c>
    </row>
    <row r="909" spans="1:5" ht="15" x14ac:dyDescent="0.35">
      <c r="A909" s="58" t="s">
        <v>374</v>
      </c>
      <c r="B909" s="58" t="s">
        <v>180</v>
      </c>
      <c r="C909" s="58">
        <v>5</v>
      </c>
      <c r="D909" s="58">
        <v>108</v>
      </c>
      <c r="E909" s="59">
        <v>221.0061</v>
      </c>
    </row>
    <row r="910" spans="1:5" ht="15" x14ac:dyDescent="0.35">
      <c r="A910" s="58" t="s">
        <v>374</v>
      </c>
      <c r="B910" s="58" t="s">
        <v>180</v>
      </c>
      <c r="C910" s="58">
        <v>6</v>
      </c>
      <c r="D910" s="58">
        <v>109</v>
      </c>
      <c r="E910" s="59">
        <v>221.0061</v>
      </c>
    </row>
    <row r="911" spans="1:5" ht="15" x14ac:dyDescent="0.35">
      <c r="A911" s="58" t="s">
        <v>374</v>
      </c>
      <c r="B911" s="58" t="s">
        <v>180</v>
      </c>
      <c r="C911" s="58">
        <v>7</v>
      </c>
      <c r="D911" s="58">
        <v>110</v>
      </c>
      <c r="E911" s="59">
        <v>221.0061</v>
      </c>
    </row>
    <row r="912" spans="1:5" ht="15" x14ac:dyDescent="0.35">
      <c r="A912" s="58" t="s">
        <v>374</v>
      </c>
      <c r="B912" s="58" t="s">
        <v>180</v>
      </c>
      <c r="C912" s="58">
        <v>8</v>
      </c>
      <c r="D912" s="58">
        <v>111</v>
      </c>
      <c r="E912" s="59">
        <v>221.0061</v>
      </c>
    </row>
    <row r="913" spans="1:5" ht="15" x14ac:dyDescent="0.35">
      <c r="A913" s="58" t="s">
        <v>374</v>
      </c>
      <c r="B913" s="58" t="s">
        <v>180</v>
      </c>
      <c r="C913" s="58">
        <v>9</v>
      </c>
      <c r="D913" s="58">
        <v>112</v>
      </c>
      <c r="E913" s="59">
        <v>221.0061</v>
      </c>
    </row>
    <row r="914" spans="1:5" ht="15" x14ac:dyDescent="0.35">
      <c r="A914" s="58" t="s">
        <v>374</v>
      </c>
      <c r="B914" s="58" t="s">
        <v>180</v>
      </c>
      <c r="C914" s="58">
        <v>10</v>
      </c>
      <c r="D914" s="58">
        <v>113</v>
      </c>
      <c r="E914" s="59">
        <v>221.0061</v>
      </c>
    </row>
    <row r="915" spans="1:5" ht="15" x14ac:dyDescent="0.35">
      <c r="A915" s="58" t="s">
        <v>374</v>
      </c>
      <c r="B915" s="58" t="s">
        <v>180</v>
      </c>
      <c r="C915" s="58">
        <v>11</v>
      </c>
      <c r="D915" s="58">
        <v>114</v>
      </c>
      <c r="E915" s="59">
        <v>221.0061</v>
      </c>
    </row>
    <row r="916" spans="1:5" ht="15" x14ac:dyDescent="0.35">
      <c r="A916" s="58" t="s">
        <v>374</v>
      </c>
      <c r="B916" s="58" t="s">
        <v>180</v>
      </c>
      <c r="C916" s="58">
        <v>12</v>
      </c>
      <c r="D916" s="58">
        <v>115</v>
      </c>
      <c r="E916" s="59">
        <v>221.0061</v>
      </c>
    </row>
    <row r="917" spans="1:5" ht="15" x14ac:dyDescent="0.35">
      <c r="A917" s="58" t="s">
        <v>376</v>
      </c>
      <c r="B917" s="58" t="s">
        <v>182</v>
      </c>
      <c r="C917" s="58">
        <v>1</v>
      </c>
      <c r="D917" s="58">
        <v>104</v>
      </c>
      <c r="E917" s="59">
        <v>157.34299999999999</v>
      </c>
    </row>
    <row r="918" spans="1:5" ht="15" x14ac:dyDescent="0.35">
      <c r="A918" s="58" t="s">
        <v>376</v>
      </c>
      <c r="B918" s="58" t="s">
        <v>182</v>
      </c>
      <c r="C918" s="58">
        <v>2</v>
      </c>
      <c r="D918" s="58">
        <v>105</v>
      </c>
      <c r="E918" s="59">
        <v>165.0763</v>
      </c>
    </row>
    <row r="919" spans="1:5" ht="15" x14ac:dyDescent="0.35">
      <c r="A919" s="58" t="s">
        <v>376</v>
      </c>
      <c r="B919" s="58" t="s">
        <v>182</v>
      </c>
      <c r="C919" s="58">
        <v>3</v>
      </c>
      <c r="D919" s="58">
        <v>106</v>
      </c>
      <c r="E919" s="59">
        <v>157.34299999999999</v>
      </c>
    </row>
    <row r="920" spans="1:5" ht="15" x14ac:dyDescent="0.35">
      <c r="A920" s="58" t="s">
        <v>376</v>
      </c>
      <c r="B920" s="58" t="s">
        <v>182</v>
      </c>
      <c r="C920" s="58">
        <v>4</v>
      </c>
      <c r="D920" s="58">
        <v>107</v>
      </c>
      <c r="E920" s="59">
        <v>149.6763</v>
      </c>
    </row>
    <row r="921" spans="1:5" ht="15" x14ac:dyDescent="0.35">
      <c r="A921" s="58" t="s">
        <v>376</v>
      </c>
      <c r="B921" s="58" t="s">
        <v>182</v>
      </c>
      <c r="C921" s="58">
        <v>5</v>
      </c>
      <c r="D921" s="58">
        <v>108</v>
      </c>
      <c r="E921" s="59">
        <v>155.5513</v>
      </c>
    </row>
    <row r="922" spans="1:5" ht="15" x14ac:dyDescent="0.35">
      <c r="A922" s="58" t="s">
        <v>376</v>
      </c>
      <c r="B922" s="58" t="s">
        <v>182</v>
      </c>
      <c r="C922" s="58">
        <v>6</v>
      </c>
      <c r="D922" s="58">
        <v>109</v>
      </c>
      <c r="E922" s="59">
        <v>152.5652</v>
      </c>
    </row>
    <row r="923" spans="1:5" ht="15" x14ac:dyDescent="0.35">
      <c r="A923" s="58" t="s">
        <v>376</v>
      </c>
      <c r="B923" s="58" t="s">
        <v>182</v>
      </c>
      <c r="C923" s="58">
        <v>7</v>
      </c>
      <c r="D923" s="58">
        <v>110</v>
      </c>
      <c r="E923" s="59">
        <v>145.89850000000001</v>
      </c>
    </row>
    <row r="924" spans="1:5" ht="15" x14ac:dyDescent="0.35">
      <c r="A924" s="58" t="s">
        <v>376</v>
      </c>
      <c r="B924" s="58" t="s">
        <v>182</v>
      </c>
      <c r="C924" s="58">
        <v>8</v>
      </c>
      <c r="D924" s="58">
        <v>111</v>
      </c>
      <c r="E924" s="59">
        <v>129.2319</v>
      </c>
    </row>
    <row r="925" spans="1:5" ht="15" x14ac:dyDescent="0.35">
      <c r="A925" s="58" t="s">
        <v>376</v>
      </c>
      <c r="B925" s="58" t="s">
        <v>182</v>
      </c>
      <c r="C925" s="58">
        <v>9</v>
      </c>
      <c r="D925" s="58">
        <v>112</v>
      </c>
      <c r="E925" s="59">
        <v>128.00960000000001</v>
      </c>
    </row>
    <row r="926" spans="1:5" ht="15" x14ac:dyDescent="0.35">
      <c r="A926" s="58" t="s">
        <v>376</v>
      </c>
      <c r="B926" s="58" t="s">
        <v>182</v>
      </c>
      <c r="C926" s="58">
        <v>10</v>
      </c>
      <c r="D926" s="58">
        <v>113</v>
      </c>
      <c r="E926" s="59">
        <v>135.6763</v>
      </c>
    </row>
    <row r="927" spans="1:5" ht="15" x14ac:dyDescent="0.35">
      <c r="A927" s="58" t="s">
        <v>376</v>
      </c>
      <c r="B927" s="58" t="s">
        <v>182</v>
      </c>
      <c r="C927" s="58">
        <v>11</v>
      </c>
      <c r="D927" s="58">
        <v>114</v>
      </c>
      <c r="E927" s="59">
        <v>133.45410000000001</v>
      </c>
    </row>
    <row r="928" spans="1:5" ht="15" x14ac:dyDescent="0.35">
      <c r="A928" s="58" t="s">
        <v>376</v>
      </c>
      <c r="B928" s="58" t="s">
        <v>182</v>
      </c>
      <c r="C928" s="58">
        <v>12</v>
      </c>
      <c r="D928" s="58">
        <v>115</v>
      </c>
      <c r="E928" s="59">
        <v>134.34299999999999</v>
      </c>
    </row>
    <row r="929" spans="1:5" ht="15" x14ac:dyDescent="0.35">
      <c r="A929" s="58" t="s">
        <v>376</v>
      </c>
      <c r="B929" s="58" t="s">
        <v>176</v>
      </c>
      <c r="C929" s="58">
        <v>1</v>
      </c>
      <c r="D929" s="58">
        <v>104</v>
      </c>
      <c r="E929" s="59">
        <v>359.125</v>
      </c>
    </row>
    <row r="930" spans="1:5" ht="15" x14ac:dyDescent="0.35">
      <c r="A930" s="58" t="s">
        <v>376</v>
      </c>
      <c r="B930" s="58" t="s">
        <v>176</v>
      </c>
      <c r="C930" s="58">
        <v>2</v>
      </c>
      <c r="D930" s="58">
        <v>105</v>
      </c>
      <c r="E930" s="59">
        <v>359.125</v>
      </c>
    </row>
    <row r="931" spans="1:5" ht="15" x14ac:dyDescent="0.35">
      <c r="A931" s="58" t="s">
        <v>376</v>
      </c>
      <c r="B931" s="58" t="s">
        <v>176</v>
      </c>
      <c r="C931" s="58">
        <v>3</v>
      </c>
      <c r="D931" s="58">
        <v>106</v>
      </c>
      <c r="E931" s="59">
        <v>359.125</v>
      </c>
    </row>
    <row r="932" spans="1:5" ht="15" x14ac:dyDescent="0.35">
      <c r="A932" s="58" t="s">
        <v>376</v>
      </c>
      <c r="B932" s="58" t="s">
        <v>176</v>
      </c>
      <c r="C932" s="58">
        <v>4</v>
      </c>
      <c r="D932" s="58">
        <v>107</v>
      </c>
      <c r="E932" s="59">
        <v>359.125</v>
      </c>
    </row>
    <row r="933" spans="1:5" ht="15" x14ac:dyDescent="0.35">
      <c r="A933" s="58" t="s">
        <v>376</v>
      </c>
      <c r="B933" s="58" t="s">
        <v>176</v>
      </c>
      <c r="C933" s="58">
        <v>5</v>
      </c>
      <c r="D933" s="58">
        <v>108</v>
      </c>
      <c r="E933" s="59">
        <v>359.125</v>
      </c>
    </row>
    <row r="934" spans="1:5" ht="15" x14ac:dyDescent="0.35">
      <c r="A934" s="58" t="s">
        <v>376</v>
      </c>
      <c r="B934" s="58" t="s">
        <v>176</v>
      </c>
      <c r="C934" s="58">
        <v>6</v>
      </c>
      <c r="D934" s="58">
        <v>109</v>
      </c>
      <c r="E934" s="59">
        <v>359.125</v>
      </c>
    </row>
    <row r="935" spans="1:5" ht="15" x14ac:dyDescent="0.35">
      <c r="A935" s="58" t="s">
        <v>376</v>
      </c>
      <c r="B935" s="58" t="s">
        <v>176</v>
      </c>
      <c r="C935" s="58">
        <v>7</v>
      </c>
      <c r="D935" s="58">
        <v>110</v>
      </c>
      <c r="E935" s="59">
        <v>359.125</v>
      </c>
    </row>
    <row r="936" spans="1:5" ht="15" x14ac:dyDescent="0.35">
      <c r="A936" s="58" t="s">
        <v>376</v>
      </c>
      <c r="B936" s="58" t="s">
        <v>176</v>
      </c>
      <c r="C936" s="58">
        <v>8</v>
      </c>
      <c r="D936" s="58">
        <v>111</v>
      </c>
      <c r="E936" s="59">
        <v>359.125</v>
      </c>
    </row>
    <row r="937" spans="1:5" ht="15" x14ac:dyDescent="0.35">
      <c r="A937" s="58" t="s">
        <v>376</v>
      </c>
      <c r="B937" s="58" t="s">
        <v>176</v>
      </c>
      <c r="C937" s="58">
        <v>9</v>
      </c>
      <c r="D937" s="58">
        <v>112</v>
      </c>
      <c r="E937" s="59">
        <v>359.125</v>
      </c>
    </row>
    <row r="938" spans="1:5" ht="15" x14ac:dyDescent="0.35">
      <c r="A938" s="58" t="s">
        <v>376</v>
      </c>
      <c r="B938" s="58" t="s">
        <v>176</v>
      </c>
      <c r="C938" s="58">
        <v>10</v>
      </c>
      <c r="D938" s="58">
        <v>113</v>
      </c>
      <c r="E938" s="59">
        <v>359.125</v>
      </c>
    </row>
    <row r="939" spans="1:5" ht="15" x14ac:dyDescent="0.35">
      <c r="A939" s="58" t="s">
        <v>376</v>
      </c>
      <c r="B939" s="58" t="s">
        <v>176</v>
      </c>
      <c r="C939" s="58">
        <v>11</v>
      </c>
      <c r="D939" s="58">
        <v>114</v>
      </c>
      <c r="E939" s="59">
        <v>359.125</v>
      </c>
    </row>
    <row r="940" spans="1:5" ht="15" x14ac:dyDescent="0.35">
      <c r="A940" s="58" t="s">
        <v>376</v>
      </c>
      <c r="B940" s="58" t="s">
        <v>176</v>
      </c>
      <c r="C940" s="58">
        <v>12</v>
      </c>
      <c r="D940" s="58">
        <v>115</v>
      </c>
      <c r="E940" s="59">
        <v>359.125</v>
      </c>
    </row>
    <row r="941" spans="1:5" ht="15" x14ac:dyDescent="0.35">
      <c r="A941" s="58" t="s">
        <v>376</v>
      </c>
      <c r="B941" s="58" t="s">
        <v>172</v>
      </c>
      <c r="C941" s="58">
        <v>1</v>
      </c>
      <c r="D941" s="58">
        <v>104</v>
      </c>
      <c r="E941" s="59">
        <v>371</v>
      </c>
    </row>
    <row r="942" spans="1:5" ht="15" x14ac:dyDescent="0.35">
      <c r="A942" s="58" t="s">
        <v>376</v>
      </c>
      <c r="B942" s="58" t="s">
        <v>172</v>
      </c>
      <c r="C942" s="58">
        <v>2</v>
      </c>
      <c r="D942" s="58">
        <v>105</v>
      </c>
      <c r="E942" s="59">
        <v>371</v>
      </c>
    </row>
    <row r="943" spans="1:5" ht="15" x14ac:dyDescent="0.35">
      <c r="A943" s="58" t="s">
        <v>376</v>
      </c>
      <c r="B943" s="58" t="s">
        <v>172</v>
      </c>
      <c r="C943" s="58">
        <v>3</v>
      </c>
      <c r="D943" s="58">
        <v>106</v>
      </c>
      <c r="E943" s="59">
        <v>371</v>
      </c>
    </row>
    <row r="944" spans="1:5" ht="15" x14ac:dyDescent="0.35">
      <c r="A944" s="58" t="s">
        <v>376</v>
      </c>
      <c r="B944" s="58" t="s">
        <v>172</v>
      </c>
      <c r="C944" s="58">
        <v>4</v>
      </c>
      <c r="D944" s="58">
        <v>107</v>
      </c>
      <c r="E944" s="59">
        <v>371</v>
      </c>
    </row>
    <row r="945" spans="1:5" ht="15" x14ac:dyDescent="0.35">
      <c r="A945" s="58" t="s">
        <v>376</v>
      </c>
      <c r="B945" s="58" t="s">
        <v>172</v>
      </c>
      <c r="C945" s="58">
        <v>5</v>
      </c>
      <c r="D945" s="58">
        <v>108</v>
      </c>
      <c r="E945" s="59">
        <v>371</v>
      </c>
    </row>
    <row r="946" spans="1:5" ht="15" x14ac:dyDescent="0.35">
      <c r="A946" s="58" t="s">
        <v>376</v>
      </c>
      <c r="B946" s="58" t="s">
        <v>172</v>
      </c>
      <c r="C946" s="58">
        <v>6</v>
      </c>
      <c r="D946" s="58">
        <v>109</v>
      </c>
      <c r="E946" s="59">
        <v>371</v>
      </c>
    </row>
    <row r="947" spans="1:5" ht="15" x14ac:dyDescent="0.35">
      <c r="A947" s="58" t="s">
        <v>376</v>
      </c>
      <c r="B947" s="58" t="s">
        <v>172</v>
      </c>
      <c r="C947" s="58">
        <v>7</v>
      </c>
      <c r="D947" s="58">
        <v>110</v>
      </c>
      <c r="E947" s="59">
        <v>371</v>
      </c>
    </row>
    <row r="948" spans="1:5" ht="15" x14ac:dyDescent="0.35">
      <c r="A948" s="58" t="s">
        <v>376</v>
      </c>
      <c r="B948" s="58" t="s">
        <v>172</v>
      </c>
      <c r="C948" s="58">
        <v>8</v>
      </c>
      <c r="D948" s="58">
        <v>111</v>
      </c>
      <c r="E948" s="59">
        <v>371</v>
      </c>
    </row>
    <row r="949" spans="1:5" ht="15" x14ac:dyDescent="0.35">
      <c r="A949" s="58" t="s">
        <v>376</v>
      </c>
      <c r="B949" s="58" t="s">
        <v>172</v>
      </c>
      <c r="C949" s="58">
        <v>9</v>
      </c>
      <c r="D949" s="58">
        <v>112</v>
      </c>
      <c r="E949" s="59">
        <v>371</v>
      </c>
    </row>
    <row r="950" spans="1:5" ht="15" x14ac:dyDescent="0.35">
      <c r="A950" s="58" t="s">
        <v>376</v>
      </c>
      <c r="B950" s="58" t="s">
        <v>172</v>
      </c>
      <c r="C950" s="58">
        <v>10</v>
      </c>
      <c r="D950" s="58">
        <v>113</v>
      </c>
      <c r="E950" s="59">
        <v>371</v>
      </c>
    </row>
    <row r="951" spans="1:5" ht="15" x14ac:dyDescent="0.35">
      <c r="A951" s="58" t="s">
        <v>376</v>
      </c>
      <c r="B951" s="58" t="s">
        <v>172</v>
      </c>
      <c r="C951" s="58">
        <v>11</v>
      </c>
      <c r="D951" s="58">
        <v>114</v>
      </c>
      <c r="E951" s="59">
        <v>371</v>
      </c>
    </row>
    <row r="952" spans="1:5" ht="15" x14ac:dyDescent="0.35">
      <c r="A952" s="58" t="s">
        <v>376</v>
      </c>
      <c r="B952" s="58" t="s">
        <v>172</v>
      </c>
      <c r="C952" s="58">
        <v>12</v>
      </c>
      <c r="D952" s="58">
        <v>115</v>
      </c>
      <c r="E952" s="59">
        <v>371</v>
      </c>
    </row>
    <row r="953" spans="1:5" ht="15" x14ac:dyDescent="0.35">
      <c r="A953" s="58" t="s">
        <v>376</v>
      </c>
      <c r="B953" s="58" t="s">
        <v>180</v>
      </c>
      <c r="C953" s="58">
        <v>1</v>
      </c>
      <c r="D953" s="58">
        <v>104</v>
      </c>
      <c r="E953" s="59">
        <v>156.32910000000001</v>
      </c>
    </row>
    <row r="954" spans="1:5" ht="15" x14ac:dyDescent="0.35">
      <c r="A954" s="58" t="s">
        <v>376</v>
      </c>
      <c r="B954" s="58" t="s">
        <v>180</v>
      </c>
      <c r="C954" s="58">
        <v>2</v>
      </c>
      <c r="D954" s="58">
        <v>105</v>
      </c>
      <c r="E954" s="59">
        <v>156.32910000000001</v>
      </c>
    </row>
    <row r="955" spans="1:5" ht="15" x14ac:dyDescent="0.35">
      <c r="A955" s="58" t="s">
        <v>376</v>
      </c>
      <c r="B955" s="58" t="s">
        <v>180</v>
      </c>
      <c r="C955" s="58">
        <v>3</v>
      </c>
      <c r="D955" s="58">
        <v>106</v>
      </c>
      <c r="E955" s="59">
        <v>156.32910000000001</v>
      </c>
    </row>
    <row r="956" spans="1:5" ht="15" x14ac:dyDescent="0.35">
      <c r="A956" s="58" t="s">
        <v>376</v>
      </c>
      <c r="B956" s="58" t="s">
        <v>180</v>
      </c>
      <c r="C956" s="58">
        <v>4</v>
      </c>
      <c r="D956" s="58">
        <v>107</v>
      </c>
      <c r="E956" s="59">
        <v>156.32910000000001</v>
      </c>
    </row>
    <row r="957" spans="1:5" ht="15" x14ac:dyDescent="0.35">
      <c r="A957" s="58" t="s">
        <v>376</v>
      </c>
      <c r="B957" s="58" t="s">
        <v>180</v>
      </c>
      <c r="C957" s="58">
        <v>5</v>
      </c>
      <c r="D957" s="58">
        <v>108</v>
      </c>
      <c r="E957" s="59">
        <v>156.32910000000001</v>
      </c>
    </row>
    <row r="958" spans="1:5" ht="15" x14ac:dyDescent="0.35">
      <c r="A958" s="58" t="s">
        <v>376</v>
      </c>
      <c r="B958" s="58" t="s">
        <v>180</v>
      </c>
      <c r="C958" s="58">
        <v>6</v>
      </c>
      <c r="D958" s="58">
        <v>109</v>
      </c>
      <c r="E958" s="59">
        <v>156.32910000000001</v>
      </c>
    </row>
    <row r="959" spans="1:5" ht="15" x14ac:dyDescent="0.35">
      <c r="A959" s="58" t="s">
        <v>376</v>
      </c>
      <c r="B959" s="58" t="s">
        <v>180</v>
      </c>
      <c r="C959" s="58">
        <v>7</v>
      </c>
      <c r="D959" s="58">
        <v>110</v>
      </c>
      <c r="E959" s="59">
        <v>156.32910000000001</v>
      </c>
    </row>
    <row r="960" spans="1:5" ht="15" x14ac:dyDescent="0.35">
      <c r="A960" s="58" t="s">
        <v>376</v>
      </c>
      <c r="B960" s="58" t="s">
        <v>180</v>
      </c>
      <c r="C960" s="58">
        <v>8</v>
      </c>
      <c r="D960" s="58">
        <v>111</v>
      </c>
      <c r="E960" s="59">
        <v>156.32910000000001</v>
      </c>
    </row>
    <row r="961" spans="1:5" ht="15" x14ac:dyDescent="0.35">
      <c r="A961" s="58" t="s">
        <v>376</v>
      </c>
      <c r="B961" s="58" t="s">
        <v>180</v>
      </c>
      <c r="C961" s="58">
        <v>9</v>
      </c>
      <c r="D961" s="58">
        <v>112</v>
      </c>
      <c r="E961" s="59">
        <v>156.32910000000001</v>
      </c>
    </row>
    <row r="962" spans="1:5" ht="15" x14ac:dyDescent="0.35">
      <c r="A962" s="58" t="s">
        <v>376</v>
      </c>
      <c r="B962" s="58" t="s">
        <v>180</v>
      </c>
      <c r="C962" s="58">
        <v>10</v>
      </c>
      <c r="D962" s="58">
        <v>113</v>
      </c>
      <c r="E962" s="59">
        <v>156.32910000000001</v>
      </c>
    </row>
    <row r="963" spans="1:5" ht="15" x14ac:dyDescent="0.35">
      <c r="A963" s="58" t="s">
        <v>376</v>
      </c>
      <c r="B963" s="58" t="s">
        <v>180</v>
      </c>
      <c r="C963" s="58">
        <v>11</v>
      </c>
      <c r="D963" s="58">
        <v>114</v>
      </c>
      <c r="E963" s="59">
        <v>156.32910000000001</v>
      </c>
    </row>
    <row r="964" spans="1:5" ht="15" x14ac:dyDescent="0.35">
      <c r="A964" s="58" t="s">
        <v>376</v>
      </c>
      <c r="B964" s="58" t="s">
        <v>180</v>
      </c>
      <c r="C964" s="58">
        <v>12</v>
      </c>
      <c r="D964" s="58">
        <v>115</v>
      </c>
      <c r="E964" s="59">
        <v>156.32910000000001</v>
      </c>
    </row>
    <row r="965" spans="1:5" ht="15" x14ac:dyDescent="0.35">
      <c r="A965" s="58" t="s">
        <v>256</v>
      </c>
      <c r="B965" s="58" t="s">
        <v>182</v>
      </c>
      <c r="C965" s="58">
        <v>1</v>
      </c>
      <c r="D965" s="58">
        <v>104</v>
      </c>
      <c r="E965" s="59">
        <v>381.32510000000002</v>
      </c>
    </row>
    <row r="966" spans="1:5" ht="15" x14ac:dyDescent="0.35">
      <c r="A966" s="58" t="s">
        <v>256</v>
      </c>
      <c r="B966" s="58" t="s">
        <v>182</v>
      </c>
      <c r="C966" s="58">
        <v>2</v>
      </c>
      <c r="D966" s="58">
        <v>105</v>
      </c>
      <c r="E966" s="59">
        <v>141.81399999999999</v>
      </c>
    </row>
    <row r="967" spans="1:5" ht="15" x14ac:dyDescent="0.35">
      <c r="A967" s="58" t="s">
        <v>256</v>
      </c>
      <c r="B967" s="58" t="s">
        <v>182</v>
      </c>
      <c r="C967" s="58">
        <v>3</v>
      </c>
      <c r="D967" s="58">
        <v>106</v>
      </c>
      <c r="E967" s="59">
        <v>132.88069999999999</v>
      </c>
    </row>
    <row r="968" spans="1:5" ht="15" x14ac:dyDescent="0.35">
      <c r="A968" s="58" t="s">
        <v>256</v>
      </c>
      <c r="B968" s="58" t="s">
        <v>182</v>
      </c>
      <c r="C968" s="58">
        <v>4</v>
      </c>
      <c r="D968" s="58">
        <v>107</v>
      </c>
      <c r="E968" s="59">
        <v>126.92829999999999</v>
      </c>
    </row>
    <row r="969" spans="1:5" ht="15" x14ac:dyDescent="0.35">
      <c r="A969" s="58" t="s">
        <v>256</v>
      </c>
      <c r="B969" s="58" t="s">
        <v>182</v>
      </c>
      <c r="C969" s="58">
        <v>5</v>
      </c>
      <c r="D969" s="58">
        <v>108</v>
      </c>
      <c r="E969" s="59">
        <v>121.839</v>
      </c>
    </row>
    <row r="970" spans="1:5" ht="15" x14ac:dyDescent="0.35">
      <c r="A970" s="58" t="s">
        <v>256</v>
      </c>
      <c r="B970" s="58" t="s">
        <v>182</v>
      </c>
      <c r="C970" s="58">
        <v>6</v>
      </c>
      <c r="D970" s="58">
        <v>109</v>
      </c>
      <c r="E970" s="59">
        <v>136.99180000000001</v>
      </c>
    </row>
    <row r="971" spans="1:5" ht="15" x14ac:dyDescent="0.35">
      <c r="A971" s="58" t="s">
        <v>256</v>
      </c>
      <c r="B971" s="58" t="s">
        <v>182</v>
      </c>
      <c r="C971" s="58">
        <v>7</v>
      </c>
      <c r="D971" s="58">
        <v>110</v>
      </c>
      <c r="E971" s="59">
        <v>104.214</v>
      </c>
    </row>
    <row r="972" spans="1:5" ht="15" x14ac:dyDescent="0.35">
      <c r="A972" s="58" t="s">
        <v>256</v>
      </c>
      <c r="B972" s="58" t="s">
        <v>182</v>
      </c>
      <c r="C972" s="58">
        <v>8</v>
      </c>
      <c r="D972" s="58">
        <v>111</v>
      </c>
      <c r="E972" s="59">
        <v>86.547300000000007</v>
      </c>
    </row>
    <row r="973" spans="1:5" ht="15" x14ac:dyDescent="0.35">
      <c r="A973" s="58" t="s">
        <v>256</v>
      </c>
      <c r="B973" s="58" t="s">
        <v>182</v>
      </c>
      <c r="C973" s="58">
        <v>9</v>
      </c>
      <c r="D973" s="58">
        <v>112</v>
      </c>
      <c r="E973" s="59">
        <v>105.54730000000001</v>
      </c>
    </row>
    <row r="974" spans="1:5" ht="15" x14ac:dyDescent="0.35">
      <c r="A974" s="58" t="s">
        <v>256</v>
      </c>
      <c r="B974" s="58" t="s">
        <v>182</v>
      </c>
      <c r="C974" s="58">
        <v>10</v>
      </c>
      <c r="D974" s="58">
        <v>113</v>
      </c>
      <c r="E974" s="59">
        <v>116.6584</v>
      </c>
    </row>
    <row r="975" spans="1:5" ht="15" x14ac:dyDescent="0.35">
      <c r="A975" s="58" t="s">
        <v>256</v>
      </c>
      <c r="B975" s="58" t="s">
        <v>182</v>
      </c>
      <c r="C975" s="58">
        <v>11</v>
      </c>
      <c r="D975" s="58">
        <v>114</v>
      </c>
      <c r="E975" s="59">
        <v>118.32510000000001</v>
      </c>
    </row>
    <row r="976" spans="1:5" ht="15" x14ac:dyDescent="0.35">
      <c r="A976" s="58" t="s">
        <v>256</v>
      </c>
      <c r="B976" s="58" t="s">
        <v>182</v>
      </c>
      <c r="C976" s="58">
        <v>12</v>
      </c>
      <c r="D976" s="58">
        <v>115</v>
      </c>
      <c r="E976" s="59">
        <v>117.76949999999999</v>
      </c>
    </row>
    <row r="977" spans="1:5" ht="15" x14ac:dyDescent="0.35">
      <c r="A977" s="58" t="s">
        <v>256</v>
      </c>
      <c r="B977" s="58" t="s">
        <v>176</v>
      </c>
      <c r="C977" s="58">
        <v>1</v>
      </c>
      <c r="D977" s="58">
        <v>104</v>
      </c>
      <c r="E977" s="59">
        <v>341.25</v>
      </c>
    </row>
    <row r="978" spans="1:5" ht="15" x14ac:dyDescent="0.35">
      <c r="A978" s="58" t="s">
        <v>256</v>
      </c>
      <c r="B978" s="58" t="s">
        <v>176</v>
      </c>
      <c r="C978" s="58">
        <v>2</v>
      </c>
      <c r="D978" s="58">
        <v>105</v>
      </c>
      <c r="E978" s="59">
        <v>341.25</v>
      </c>
    </row>
    <row r="979" spans="1:5" ht="15" x14ac:dyDescent="0.35">
      <c r="A979" s="58" t="s">
        <v>256</v>
      </c>
      <c r="B979" s="58" t="s">
        <v>176</v>
      </c>
      <c r="C979" s="58">
        <v>3</v>
      </c>
      <c r="D979" s="58">
        <v>106</v>
      </c>
      <c r="E979" s="59">
        <v>341.25</v>
      </c>
    </row>
    <row r="980" spans="1:5" ht="15" x14ac:dyDescent="0.35">
      <c r="A980" s="58" t="s">
        <v>256</v>
      </c>
      <c r="B980" s="58" t="s">
        <v>176</v>
      </c>
      <c r="C980" s="58">
        <v>4</v>
      </c>
      <c r="D980" s="58">
        <v>107</v>
      </c>
      <c r="E980" s="59">
        <v>341.25</v>
      </c>
    </row>
    <row r="981" spans="1:5" ht="15" x14ac:dyDescent="0.35">
      <c r="A981" s="58" t="s">
        <v>256</v>
      </c>
      <c r="B981" s="58" t="s">
        <v>176</v>
      </c>
      <c r="C981" s="58">
        <v>5</v>
      </c>
      <c r="D981" s="58">
        <v>108</v>
      </c>
      <c r="E981" s="59">
        <v>341.25</v>
      </c>
    </row>
    <row r="982" spans="1:5" ht="15" x14ac:dyDescent="0.35">
      <c r="A982" s="58" t="s">
        <v>256</v>
      </c>
      <c r="B982" s="58" t="s">
        <v>176</v>
      </c>
      <c r="C982" s="58">
        <v>6</v>
      </c>
      <c r="D982" s="58">
        <v>109</v>
      </c>
      <c r="E982" s="59">
        <v>341.25</v>
      </c>
    </row>
    <row r="983" spans="1:5" ht="15" x14ac:dyDescent="0.35">
      <c r="A983" s="58" t="s">
        <v>256</v>
      </c>
      <c r="B983" s="58" t="s">
        <v>176</v>
      </c>
      <c r="C983" s="58">
        <v>7</v>
      </c>
      <c r="D983" s="58">
        <v>110</v>
      </c>
      <c r="E983" s="59">
        <v>341.25</v>
      </c>
    </row>
    <row r="984" spans="1:5" ht="15" x14ac:dyDescent="0.35">
      <c r="A984" s="58" t="s">
        <v>256</v>
      </c>
      <c r="B984" s="58" t="s">
        <v>176</v>
      </c>
      <c r="C984" s="58">
        <v>8</v>
      </c>
      <c r="D984" s="58">
        <v>111</v>
      </c>
      <c r="E984" s="59">
        <v>341.25</v>
      </c>
    </row>
    <row r="985" spans="1:5" ht="15" x14ac:dyDescent="0.35">
      <c r="A985" s="58" t="s">
        <v>256</v>
      </c>
      <c r="B985" s="58" t="s">
        <v>176</v>
      </c>
      <c r="C985" s="58">
        <v>9</v>
      </c>
      <c r="D985" s="58">
        <v>112</v>
      </c>
      <c r="E985" s="59">
        <v>341.25</v>
      </c>
    </row>
    <row r="986" spans="1:5" ht="15" x14ac:dyDescent="0.35">
      <c r="A986" s="58" t="s">
        <v>256</v>
      </c>
      <c r="B986" s="58" t="s">
        <v>176</v>
      </c>
      <c r="C986" s="58">
        <v>10</v>
      </c>
      <c r="D986" s="58">
        <v>113</v>
      </c>
      <c r="E986" s="59">
        <v>341.25</v>
      </c>
    </row>
    <row r="987" spans="1:5" ht="15" x14ac:dyDescent="0.35">
      <c r="A987" s="58" t="s">
        <v>256</v>
      </c>
      <c r="B987" s="58" t="s">
        <v>176</v>
      </c>
      <c r="C987" s="58">
        <v>11</v>
      </c>
      <c r="D987" s="58">
        <v>114</v>
      </c>
      <c r="E987" s="59">
        <v>341.25</v>
      </c>
    </row>
    <row r="988" spans="1:5" ht="15" x14ac:dyDescent="0.35">
      <c r="A988" s="58" t="s">
        <v>256</v>
      </c>
      <c r="B988" s="58" t="s">
        <v>176</v>
      </c>
      <c r="C988" s="58">
        <v>12</v>
      </c>
      <c r="D988" s="58">
        <v>115</v>
      </c>
      <c r="E988" s="59">
        <v>341.25</v>
      </c>
    </row>
    <row r="989" spans="1:5" ht="15" x14ac:dyDescent="0.35">
      <c r="A989" s="58" t="s">
        <v>256</v>
      </c>
      <c r="B989" s="58" t="s">
        <v>172</v>
      </c>
      <c r="C989" s="58">
        <v>1</v>
      </c>
      <c r="D989" s="58">
        <v>104</v>
      </c>
      <c r="E989" s="59">
        <v>580</v>
      </c>
    </row>
    <row r="990" spans="1:5" ht="15" x14ac:dyDescent="0.35">
      <c r="A990" s="58" t="s">
        <v>256</v>
      </c>
      <c r="B990" s="58" t="s">
        <v>172</v>
      </c>
      <c r="C990" s="58">
        <v>2</v>
      </c>
      <c r="D990" s="58">
        <v>105</v>
      </c>
      <c r="E990" s="59">
        <v>580</v>
      </c>
    </row>
    <row r="991" spans="1:5" ht="15" x14ac:dyDescent="0.35">
      <c r="A991" s="58" t="s">
        <v>256</v>
      </c>
      <c r="B991" s="58" t="s">
        <v>172</v>
      </c>
      <c r="C991" s="58">
        <v>3</v>
      </c>
      <c r="D991" s="58">
        <v>106</v>
      </c>
      <c r="E991" s="59">
        <v>580</v>
      </c>
    </row>
    <row r="992" spans="1:5" ht="15" x14ac:dyDescent="0.35">
      <c r="A992" s="58" t="s">
        <v>256</v>
      </c>
      <c r="B992" s="58" t="s">
        <v>172</v>
      </c>
      <c r="C992" s="58">
        <v>4</v>
      </c>
      <c r="D992" s="58">
        <v>107</v>
      </c>
      <c r="E992" s="59">
        <v>580</v>
      </c>
    </row>
    <row r="993" spans="1:5" ht="15" x14ac:dyDescent="0.35">
      <c r="A993" s="58" t="s">
        <v>256</v>
      </c>
      <c r="B993" s="58" t="s">
        <v>172</v>
      </c>
      <c r="C993" s="58">
        <v>5</v>
      </c>
      <c r="D993" s="58">
        <v>108</v>
      </c>
      <c r="E993" s="59">
        <v>580</v>
      </c>
    </row>
    <row r="994" spans="1:5" ht="15" x14ac:dyDescent="0.35">
      <c r="A994" s="58" t="s">
        <v>256</v>
      </c>
      <c r="B994" s="58" t="s">
        <v>172</v>
      </c>
      <c r="C994" s="58">
        <v>6</v>
      </c>
      <c r="D994" s="58">
        <v>109</v>
      </c>
      <c r="E994" s="59">
        <v>580</v>
      </c>
    </row>
    <row r="995" spans="1:5" ht="15" x14ac:dyDescent="0.35">
      <c r="A995" s="58" t="s">
        <v>256</v>
      </c>
      <c r="B995" s="58" t="s">
        <v>172</v>
      </c>
      <c r="C995" s="58">
        <v>7</v>
      </c>
      <c r="D995" s="58">
        <v>110</v>
      </c>
      <c r="E995" s="59">
        <v>580</v>
      </c>
    </row>
    <row r="996" spans="1:5" ht="15" x14ac:dyDescent="0.35">
      <c r="A996" s="58" t="s">
        <v>256</v>
      </c>
      <c r="B996" s="58" t="s">
        <v>172</v>
      </c>
      <c r="C996" s="58">
        <v>8</v>
      </c>
      <c r="D996" s="58">
        <v>111</v>
      </c>
      <c r="E996" s="59">
        <v>580</v>
      </c>
    </row>
    <row r="997" spans="1:5" ht="15" x14ac:dyDescent="0.35">
      <c r="A997" s="58" t="s">
        <v>256</v>
      </c>
      <c r="B997" s="58" t="s">
        <v>172</v>
      </c>
      <c r="C997" s="58">
        <v>9</v>
      </c>
      <c r="D997" s="58">
        <v>112</v>
      </c>
      <c r="E997" s="59">
        <v>580</v>
      </c>
    </row>
    <row r="998" spans="1:5" ht="15" x14ac:dyDescent="0.35">
      <c r="A998" s="58" t="s">
        <v>256</v>
      </c>
      <c r="B998" s="58" t="s">
        <v>172</v>
      </c>
      <c r="C998" s="58">
        <v>10</v>
      </c>
      <c r="D998" s="58">
        <v>113</v>
      </c>
      <c r="E998" s="59">
        <v>580</v>
      </c>
    </row>
    <row r="999" spans="1:5" ht="15" x14ac:dyDescent="0.35">
      <c r="A999" s="58" t="s">
        <v>256</v>
      </c>
      <c r="B999" s="58" t="s">
        <v>172</v>
      </c>
      <c r="C999" s="58">
        <v>11</v>
      </c>
      <c r="D999" s="58">
        <v>114</v>
      </c>
      <c r="E999" s="59">
        <v>580</v>
      </c>
    </row>
    <row r="1000" spans="1:5" ht="15" x14ac:dyDescent="0.35">
      <c r="A1000" s="58" t="s">
        <v>256</v>
      </c>
      <c r="B1000" s="58" t="s">
        <v>172</v>
      </c>
      <c r="C1000" s="58">
        <v>12</v>
      </c>
      <c r="D1000" s="58">
        <v>115</v>
      </c>
      <c r="E1000" s="59">
        <v>580</v>
      </c>
    </row>
    <row r="1001" spans="1:5" ht="15" x14ac:dyDescent="0.35">
      <c r="A1001" s="58" t="s">
        <v>256</v>
      </c>
      <c r="B1001" s="58" t="s">
        <v>180</v>
      </c>
      <c r="C1001" s="58">
        <v>1</v>
      </c>
      <c r="D1001" s="58">
        <v>104</v>
      </c>
      <c r="E1001" s="59">
        <v>368.31709999999998</v>
      </c>
    </row>
    <row r="1002" spans="1:5" ht="15" x14ac:dyDescent="0.35">
      <c r="A1002" s="58" t="s">
        <v>256</v>
      </c>
      <c r="B1002" s="58" t="s">
        <v>180</v>
      </c>
      <c r="C1002" s="58">
        <v>2</v>
      </c>
      <c r="D1002" s="58">
        <v>105</v>
      </c>
      <c r="E1002" s="59">
        <v>368.31709999999998</v>
      </c>
    </row>
    <row r="1003" spans="1:5" ht="15" x14ac:dyDescent="0.35">
      <c r="A1003" s="58" t="s">
        <v>256</v>
      </c>
      <c r="B1003" s="58" t="s">
        <v>180</v>
      </c>
      <c r="C1003" s="58">
        <v>3</v>
      </c>
      <c r="D1003" s="58">
        <v>106</v>
      </c>
      <c r="E1003" s="59">
        <v>368.31709999999998</v>
      </c>
    </row>
    <row r="1004" spans="1:5" ht="15" x14ac:dyDescent="0.35">
      <c r="A1004" s="58" t="s">
        <v>256</v>
      </c>
      <c r="B1004" s="58" t="s">
        <v>180</v>
      </c>
      <c r="C1004" s="58">
        <v>4</v>
      </c>
      <c r="D1004" s="58">
        <v>107</v>
      </c>
      <c r="E1004" s="59">
        <v>368.31709999999998</v>
      </c>
    </row>
    <row r="1005" spans="1:5" ht="15" x14ac:dyDescent="0.35">
      <c r="A1005" s="58" t="s">
        <v>256</v>
      </c>
      <c r="B1005" s="58" t="s">
        <v>180</v>
      </c>
      <c r="C1005" s="58">
        <v>5</v>
      </c>
      <c r="D1005" s="58">
        <v>108</v>
      </c>
      <c r="E1005" s="59">
        <v>368.31709999999998</v>
      </c>
    </row>
    <row r="1006" spans="1:5" ht="15" x14ac:dyDescent="0.35">
      <c r="A1006" s="58" t="s">
        <v>256</v>
      </c>
      <c r="B1006" s="58" t="s">
        <v>180</v>
      </c>
      <c r="C1006" s="58">
        <v>6</v>
      </c>
      <c r="D1006" s="58">
        <v>109</v>
      </c>
      <c r="E1006" s="59">
        <v>368.31709999999998</v>
      </c>
    </row>
    <row r="1007" spans="1:5" ht="15" x14ac:dyDescent="0.35">
      <c r="A1007" s="58" t="s">
        <v>256</v>
      </c>
      <c r="B1007" s="58" t="s">
        <v>180</v>
      </c>
      <c r="C1007" s="58">
        <v>7</v>
      </c>
      <c r="D1007" s="58">
        <v>110</v>
      </c>
      <c r="E1007" s="59">
        <v>368.31709999999998</v>
      </c>
    </row>
    <row r="1008" spans="1:5" ht="15" x14ac:dyDescent="0.35">
      <c r="A1008" s="58" t="s">
        <v>256</v>
      </c>
      <c r="B1008" s="58" t="s">
        <v>180</v>
      </c>
      <c r="C1008" s="58">
        <v>8</v>
      </c>
      <c r="D1008" s="58">
        <v>111</v>
      </c>
      <c r="E1008" s="59">
        <v>368.31709999999998</v>
      </c>
    </row>
    <row r="1009" spans="1:5" ht="15" x14ac:dyDescent="0.35">
      <c r="A1009" s="58" t="s">
        <v>256</v>
      </c>
      <c r="B1009" s="58" t="s">
        <v>180</v>
      </c>
      <c r="C1009" s="58">
        <v>9</v>
      </c>
      <c r="D1009" s="58">
        <v>112</v>
      </c>
      <c r="E1009" s="59">
        <v>368.31709999999998</v>
      </c>
    </row>
    <row r="1010" spans="1:5" ht="15" x14ac:dyDescent="0.35">
      <c r="A1010" s="58" t="s">
        <v>256</v>
      </c>
      <c r="B1010" s="58" t="s">
        <v>180</v>
      </c>
      <c r="C1010" s="58">
        <v>10</v>
      </c>
      <c r="D1010" s="58">
        <v>113</v>
      </c>
      <c r="E1010" s="59">
        <v>368.31709999999998</v>
      </c>
    </row>
    <row r="1011" spans="1:5" ht="15" x14ac:dyDescent="0.35">
      <c r="A1011" s="58" t="s">
        <v>256</v>
      </c>
      <c r="B1011" s="58" t="s">
        <v>180</v>
      </c>
      <c r="C1011" s="58">
        <v>11</v>
      </c>
      <c r="D1011" s="58">
        <v>114</v>
      </c>
      <c r="E1011" s="59">
        <v>368.31709999999998</v>
      </c>
    </row>
    <row r="1012" spans="1:5" ht="15" x14ac:dyDescent="0.35">
      <c r="A1012" s="58" t="s">
        <v>256</v>
      </c>
      <c r="B1012" s="58" t="s">
        <v>180</v>
      </c>
      <c r="C1012" s="58">
        <v>12</v>
      </c>
      <c r="D1012" s="58">
        <v>115</v>
      </c>
      <c r="E1012" s="59">
        <v>368.31709999999998</v>
      </c>
    </row>
    <row r="1013" spans="1:5" ht="15" x14ac:dyDescent="0.35">
      <c r="A1013" s="58" t="s">
        <v>317</v>
      </c>
      <c r="B1013" s="58" t="s">
        <v>182</v>
      </c>
      <c r="C1013" s="58">
        <v>1</v>
      </c>
      <c r="D1013" s="58">
        <v>104</v>
      </c>
      <c r="E1013" s="59">
        <v>137.93870000000001</v>
      </c>
    </row>
    <row r="1014" spans="1:5" ht="15" x14ac:dyDescent="0.35">
      <c r="A1014" s="58" t="s">
        <v>317</v>
      </c>
      <c r="B1014" s="58" t="s">
        <v>182</v>
      </c>
      <c r="C1014" s="58">
        <v>2</v>
      </c>
      <c r="D1014" s="58">
        <v>105</v>
      </c>
      <c r="E1014" s="59">
        <v>0</v>
      </c>
    </row>
    <row r="1015" spans="1:5" ht="15" x14ac:dyDescent="0.35">
      <c r="A1015" s="58" t="s">
        <v>317</v>
      </c>
      <c r="B1015" s="58" t="s">
        <v>182</v>
      </c>
      <c r="C1015" s="58">
        <v>3</v>
      </c>
      <c r="D1015" s="58">
        <v>106</v>
      </c>
      <c r="E1015" s="59">
        <v>0</v>
      </c>
    </row>
    <row r="1016" spans="1:5" ht="15" x14ac:dyDescent="0.35">
      <c r="A1016" s="58" t="s">
        <v>317</v>
      </c>
      <c r="B1016" s="58" t="s">
        <v>182</v>
      </c>
      <c r="C1016" s="58">
        <v>4</v>
      </c>
      <c r="D1016" s="58">
        <v>107</v>
      </c>
      <c r="E1016" s="59">
        <v>0</v>
      </c>
    </row>
    <row r="1017" spans="1:5" ht="15" x14ac:dyDescent="0.35">
      <c r="A1017" s="58" t="s">
        <v>317</v>
      </c>
      <c r="B1017" s="58" t="s">
        <v>182</v>
      </c>
      <c r="C1017" s="58">
        <v>5</v>
      </c>
      <c r="D1017" s="58">
        <v>108</v>
      </c>
      <c r="E1017" s="59">
        <v>0</v>
      </c>
    </row>
    <row r="1018" spans="1:5" ht="15" x14ac:dyDescent="0.35">
      <c r="A1018" s="58" t="s">
        <v>317</v>
      </c>
      <c r="B1018" s="58" t="s">
        <v>182</v>
      </c>
      <c r="C1018" s="58">
        <v>6</v>
      </c>
      <c r="D1018" s="58">
        <v>109</v>
      </c>
      <c r="E1018" s="59">
        <v>20.938700000000001</v>
      </c>
    </row>
    <row r="1019" spans="1:5" ht="15" x14ac:dyDescent="0.35">
      <c r="A1019" s="58" t="s">
        <v>317</v>
      </c>
      <c r="B1019" s="58" t="s">
        <v>182</v>
      </c>
      <c r="C1019" s="58">
        <v>7</v>
      </c>
      <c r="D1019" s="58">
        <v>110</v>
      </c>
      <c r="E1019" s="59">
        <v>25.8276</v>
      </c>
    </row>
    <row r="1020" spans="1:5" ht="15" x14ac:dyDescent="0.35">
      <c r="A1020" s="58" t="s">
        <v>317</v>
      </c>
      <c r="B1020" s="58" t="s">
        <v>182</v>
      </c>
      <c r="C1020" s="58">
        <v>8</v>
      </c>
      <c r="D1020" s="58">
        <v>111</v>
      </c>
      <c r="E1020" s="59">
        <v>54.049900000000001</v>
      </c>
    </row>
    <row r="1021" spans="1:5" ht="15" x14ac:dyDescent="0.35">
      <c r="A1021" s="58" t="s">
        <v>317</v>
      </c>
      <c r="B1021" s="58" t="s">
        <v>182</v>
      </c>
      <c r="C1021" s="58">
        <v>9</v>
      </c>
      <c r="D1021" s="58">
        <v>112</v>
      </c>
      <c r="E1021" s="59">
        <v>67.383200000000002</v>
      </c>
    </row>
    <row r="1022" spans="1:5" ht="15" x14ac:dyDescent="0.35">
      <c r="A1022" s="58" t="s">
        <v>317</v>
      </c>
      <c r="B1022" s="58" t="s">
        <v>182</v>
      </c>
      <c r="C1022" s="58">
        <v>10</v>
      </c>
      <c r="D1022" s="58">
        <v>113</v>
      </c>
      <c r="E1022" s="59">
        <v>166.27209999999999</v>
      </c>
    </row>
    <row r="1023" spans="1:5" ht="15" x14ac:dyDescent="0.35">
      <c r="A1023" s="58" t="s">
        <v>317</v>
      </c>
      <c r="B1023" s="58" t="s">
        <v>182</v>
      </c>
      <c r="C1023" s="58">
        <v>11</v>
      </c>
      <c r="D1023" s="58">
        <v>114</v>
      </c>
      <c r="E1023" s="59">
        <v>181.38319999999999</v>
      </c>
    </row>
    <row r="1024" spans="1:5" ht="15" x14ac:dyDescent="0.35">
      <c r="A1024" s="58" t="s">
        <v>317</v>
      </c>
      <c r="B1024" s="58" t="s">
        <v>182</v>
      </c>
      <c r="C1024" s="58">
        <v>12</v>
      </c>
      <c r="D1024" s="58">
        <v>115</v>
      </c>
      <c r="E1024" s="59">
        <v>229.93870000000001</v>
      </c>
    </row>
    <row r="1025" spans="1:5" ht="15" x14ac:dyDescent="0.35">
      <c r="A1025" s="58" t="s">
        <v>317</v>
      </c>
      <c r="B1025" s="58" t="s">
        <v>176</v>
      </c>
      <c r="C1025" s="58">
        <v>1</v>
      </c>
      <c r="D1025" s="58">
        <v>104</v>
      </c>
      <c r="E1025" s="59">
        <v>190.625</v>
      </c>
    </row>
    <row r="1026" spans="1:5" ht="15" x14ac:dyDescent="0.35">
      <c r="A1026" s="58" t="s">
        <v>317</v>
      </c>
      <c r="B1026" s="58" t="s">
        <v>176</v>
      </c>
      <c r="C1026" s="58">
        <v>2</v>
      </c>
      <c r="D1026" s="58">
        <v>105</v>
      </c>
      <c r="E1026" s="59">
        <v>190.625</v>
      </c>
    </row>
    <row r="1027" spans="1:5" ht="15" x14ac:dyDescent="0.35">
      <c r="A1027" s="58" t="s">
        <v>317</v>
      </c>
      <c r="B1027" s="58" t="s">
        <v>176</v>
      </c>
      <c r="C1027" s="58">
        <v>3</v>
      </c>
      <c r="D1027" s="58">
        <v>106</v>
      </c>
      <c r="E1027" s="59">
        <v>190.625</v>
      </c>
    </row>
    <row r="1028" spans="1:5" ht="15" x14ac:dyDescent="0.35">
      <c r="A1028" s="58" t="s">
        <v>317</v>
      </c>
      <c r="B1028" s="58" t="s">
        <v>176</v>
      </c>
      <c r="C1028" s="58">
        <v>4</v>
      </c>
      <c r="D1028" s="58">
        <v>107</v>
      </c>
      <c r="E1028" s="59">
        <v>190.625</v>
      </c>
    </row>
    <row r="1029" spans="1:5" ht="15" x14ac:dyDescent="0.35">
      <c r="A1029" s="58" t="s">
        <v>317</v>
      </c>
      <c r="B1029" s="58" t="s">
        <v>176</v>
      </c>
      <c r="C1029" s="58">
        <v>5</v>
      </c>
      <c r="D1029" s="58">
        <v>108</v>
      </c>
      <c r="E1029" s="59">
        <v>190.625</v>
      </c>
    </row>
    <row r="1030" spans="1:5" ht="15" x14ac:dyDescent="0.35">
      <c r="A1030" s="58" t="s">
        <v>317</v>
      </c>
      <c r="B1030" s="58" t="s">
        <v>176</v>
      </c>
      <c r="C1030" s="58">
        <v>6</v>
      </c>
      <c r="D1030" s="58">
        <v>109</v>
      </c>
      <c r="E1030" s="59">
        <v>190.625</v>
      </c>
    </row>
    <row r="1031" spans="1:5" ht="15" x14ac:dyDescent="0.35">
      <c r="A1031" s="58" t="s">
        <v>317</v>
      </c>
      <c r="B1031" s="58" t="s">
        <v>176</v>
      </c>
      <c r="C1031" s="58">
        <v>7</v>
      </c>
      <c r="D1031" s="58">
        <v>110</v>
      </c>
      <c r="E1031" s="59">
        <v>190.625</v>
      </c>
    </row>
    <row r="1032" spans="1:5" ht="15" x14ac:dyDescent="0.35">
      <c r="A1032" s="58" t="s">
        <v>317</v>
      </c>
      <c r="B1032" s="58" t="s">
        <v>176</v>
      </c>
      <c r="C1032" s="58">
        <v>8</v>
      </c>
      <c r="D1032" s="58">
        <v>111</v>
      </c>
      <c r="E1032" s="59">
        <v>190.625</v>
      </c>
    </row>
    <row r="1033" spans="1:5" ht="15" x14ac:dyDescent="0.35">
      <c r="A1033" s="58" t="s">
        <v>317</v>
      </c>
      <c r="B1033" s="58" t="s">
        <v>176</v>
      </c>
      <c r="C1033" s="58">
        <v>9</v>
      </c>
      <c r="D1033" s="58">
        <v>112</v>
      </c>
      <c r="E1033" s="59">
        <v>190.625</v>
      </c>
    </row>
    <row r="1034" spans="1:5" ht="15" x14ac:dyDescent="0.35">
      <c r="A1034" s="58" t="s">
        <v>317</v>
      </c>
      <c r="B1034" s="58" t="s">
        <v>176</v>
      </c>
      <c r="C1034" s="58">
        <v>10</v>
      </c>
      <c r="D1034" s="58">
        <v>113</v>
      </c>
      <c r="E1034" s="59">
        <v>190.625</v>
      </c>
    </row>
    <row r="1035" spans="1:5" ht="15" x14ac:dyDescent="0.35">
      <c r="A1035" s="58" t="s">
        <v>317</v>
      </c>
      <c r="B1035" s="58" t="s">
        <v>176</v>
      </c>
      <c r="C1035" s="58">
        <v>11</v>
      </c>
      <c r="D1035" s="58">
        <v>114</v>
      </c>
      <c r="E1035" s="59">
        <v>190.625</v>
      </c>
    </row>
    <row r="1036" spans="1:5" ht="15" x14ac:dyDescent="0.35">
      <c r="A1036" s="58" t="s">
        <v>317</v>
      </c>
      <c r="B1036" s="58" t="s">
        <v>176</v>
      </c>
      <c r="C1036" s="58">
        <v>12</v>
      </c>
      <c r="D1036" s="58">
        <v>115</v>
      </c>
      <c r="E1036" s="59">
        <v>190.625</v>
      </c>
    </row>
    <row r="1037" spans="1:5" ht="15" x14ac:dyDescent="0.35">
      <c r="A1037" s="58" t="s">
        <v>317</v>
      </c>
      <c r="B1037" s="58" t="s">
        <v>172</v>
      </c>
      <c r="C1037" s="58">
        <v>1</v>
      </c>
      <c r="D1037" s="58">
        <v>104</v>
      </c>
      <c r="E1037" s="59">
        <v>12</v>
      </c>
    </row>
    <row r="1038" spans="1:5" ht="15" x14ac:dyDescent="0.35">
      <c r="A1038" s="58" t="s">
        <v>317</v>
      </c>
      <c r="B1038" s="58" t="s">
        <v>172</v>
      </c>
      <c r="C1038" s="58">
        <v>2</v>
      </c>
      <c r="D1038" s="58">
        <v>105</v>
      </c>
      <c r="E1038" s="59">
        <v>12</v>
      </c>
    </row>
    <row r="1039" spans="1:5" ht="15" x14ac:dyDescent="0.35">
      <c r="A1039" s="58" t="s">
        <v>317</v>
      </c>
      <c r="B1039" s="58" t="s">
        <v>172</v>
      </c>
      <c r="C1039" s="58">
        <v>3</v>
      </c>
      <c r="D1039" s="58">
        <v>106</v>
      </c>
      <c r="E1039" s="59">
        <v>12</v>
      </c>
    </row>
    <row r="1040" spans="1:5" ht="15" x14ac:dyDescent="0.35">
      <c r="A1040" s="58" t="s">
        <v>317</v>
      </c>
      <c r="B1040" s="58" t="s">
        <v>172</v>
      </c>
      <c r="C1040" s="58">
        <v>4</v>
      </c>
      <c r="D1040" s="58">
        <v>107</v>
      </c>
      <c r="E1040" s="59">
        <v>12</v>
      </c>
    </row>
    <row r="1041" spans="1:5" ht="15" x14ac:dyDescent="0.35">
      <c r="A1041" s="58" t="s">
        <v>317</v>
      </c>
      <c r="B1041" s="58" t="s">
        <v>172</v>
      </c>
      <c r="C1041" s="58">
        <v>5</v>
      </c>
      <c r="D1041" s="58">
        <v>108</v>
      </c>
      <c r="E1041" s="59">
        <v>12</v>
      </c>
    </row>
    <row r="1042" spans="1:5" ht="15" x14ac:dyDescent="0.35">
      <c r="A1042" s="58" t="s">
        <v>317</v>
      </c>
      <c r="B1042" s="58" t="s">
        <v>172</v>
      </c>
      <c r="C1042" s="58">
        <v>6</v>
      </c>
      <c r="D1042" s="58">
        <v>109</v>
      </c>
      <c r="E1042" s="59">
        <v>12</v>
      </c>
    </row>
    <row r="1043" spans="1:5" ht="15" x14ac:dyDescent="0.35">
      <c r="A1043" s="58" t="s">
        <v>317</v>
      </c>
      <c r="B1043" s="58" t="s">
        <v>172</v>
      </c>
      <c r="C1043" s="58">
        <v>7</v>
      </c>
      <c r="D1043" s="58">
        <v>110</v>
      </c>
      <c r="E1043" s="59">
        <v>12</v>
      </c>
    </row>
    <row r="1044" spans="1:5" ht="15" x14ac:dyDescent="0.35">
      <c r="A1044" s="58" t="s">
        <v>317</v>
      </c>
      <c r="B1044" s="58" t="s">
        <v>172</v>
      </c>
      <c r="C1044" s="58">
        <v>8</v>
      </c>
      <c r="D1044" s="58">
        <v>111</v>
      </c>
      <c r="E1044" s="59">
        <v>12</v>
      </c>
    </row>
    <row r="1045" spans="1:5" ht="15" x14ac:dyDescent="0.35">
      <c r="A1045" s="58" t="s">
        <v>317</v>
      </c>
      <c r="B1045" s="58" t="s">
        <v>172</v>
      </c>
      <c r="C1045" s="58">
        <v>9</v>
      </c>
      <c r="D1045" s="58">
        <v>112</v>
      </c>
      <c r="E1045" s="59">
        <v>12</v>
      </c>
    </row>
    <row r="1046" spans="1:5" ht="15" x14ac:dyDescent="0.35">
      <c r="A1046" s="58" t="s">
        <v>317</v>
      </c>
      <c r="B1046" s="58" t="s">
        <v>172</v>
      </c>
      <c r="C1046" s="58">
        <v>10</v>
      </c>
      <c r="D1046" s="58">
        <v>113</v>
      </c>
      <c r="E1046" s="59">
        <v>12</v>
      </c>
    </row>
    <row r="1047" spans="1:5" ht="15" x14ac:dyDescent="0.35">
      <c r="A1047" s="58" t="s">
        <v>317</v>
      </c>
      <c r="B1047" s="58" t="s">
        <v>172</v>
      </c>
      <c r="C1047" s="58">
        <v>11</v>
      </c>
      <c r="D1047" s="58">
        <v>114</v>
      </c>
      <c r="E1047" s="59">
        <v>12</v>
      </c>
    </row>
    <row r="1048" spans="1:5" ht="15" x14ac:dyDescent="0.35">
      <c r="A1048" s="58" t="s">
        <v>317</v>
      </c>
      <c r="B1048" s="58" t="s">
        <v>172</v>
      </c>
      <c r="C1048" s="58">
        <v>12</v>
      </c>
      <c r="D1048" s="58">
        <v>115</v>
      </c>
      <c r="E1048" s="59">
        <v>12</v>
      </c>
    </row>
    <row r="1049" spans="1:5" ht="15" x14ac:dyDescent="0.35">
      <c r="A1049" s="58" t="s">
        <v>317</v>
      </c>
      <c r="B1049" s="58" t="s">
        <v>180</v>
      </c>
      <c r="C1049" s="58">
        <v>1</v>
      </c>
      <c r="D1049" s="58">
        <v>104</v>
      </c>
      <c r="E1049" s="59">
        <v>186.47229999999999</v>
      </c>
    </row>
    <row r="1050" spans="1:5" ht="15" x14ac:dyDescent="0.35">
      <c r="A1050" s="58" t="s">
        <v>317</v>
      </c>
      <c r="B1050" s="58" t="s">
        <v>180</v>
      </c>
      <c r="C1050" s="58">
        <v>2</v>
      </c>
      <c r="D1050" s="58">
        <v>105</v>
      </c>
      <c r="E1050" s="59">
        <v>186.47229999999999</v>
      </c>
    </row>
    <row r="1051" spans="1:5" ht="15" x14ac:dyDescent="0.35">
      <c r="A1051" s="58" t="s">
        <v>317</v>
      </c>
      <c r="B1051" s="58" t="s">
        <v>180</v>
      </c>
      <c r="C1051" s="58">
        <v>3</v>
      </c>
      <c r="D1051" s="58">
        <v>106</v>
      </c>
      <c r="E1051" s="59">
        <v>186.47229999999999</v>
      </c>
    </row>
    <row r="1052" spans="1:5" ht="15" x14ac:dyDescent="0.35">
      <c r="A1052" s="58" t="s">
        <v>317</v>
      </c>
      <c r="B1052" s="58" t="s">
        <v>180</v>
      </c>
      <c r="C1052" s="58">
        <v>4</v>
      </c>
      <c r="D1052" s="58">
        <v>107</v>
      </c>
      <c r="E1052" s="59">
        <v>186.47229999999999</v>
      </c>
    </row>
    <row r="1053" spans="1:5" ht="15" x14ac:dyDescent="0.35">
      <c r="A1053" s="58" t="s">
        <v>317</v>
      </c>
      <c r="B1053" s="58" t="s">
        <v>180</v>
      </c>
      <c r="C1053" s="58">
        <v>5</v>
      </c>
      <c r="D1053" s="58">
        <v>108</v>
      </c>
      <c r="E1053" s="59">
        <v>186.47229999999999</v>
      </c>
    </row>
    <row r="1054" spans="1:5" ht="15" x14ac:dyDescent="0.35">
      <c r="A1054" s="58" t="s">
        <v>317</v>
      </c>
      <c r="B1054" s="58" t="s">
        <v>180</v>
      </c>
      <c r="C1054" s="58">
        <v>6</v>
      </c>
      <c r="D1054" s="58">
        <v>109</v>
      </c>
      <c r="E1054" s="59">
        <v>186.47229999999999</v>
      </c>
    </row>
    <row r="1055" spans="1:5" ht="15" x14ac:dyDescent="0.35">
      <c r="A1055" s="58" t="s">
        <v>317</v>
      </c>
      <c r="B1055" s="58" t="s">
        <v>180</v>
      </c>
      <c r="C1055" s="58">
        <v>7</v>
      </c>
      <c r="D1055" s="58">
        <v>110</v>
      </c>
      <c r="E1055" s="59">
        <v>186.47229999999999</v>
      </c>
    </row>
    <row r="1056" spans="1:5" ht="15" x14ac:dyDescent="0.35">
      <c r="A1056" s="58" t="s">
        <v>317</v>
      </c>
      <c r="B1056" s="58" t="s">
        <v>180</v>
      </c>
      <c r="C1056" s="58">
        <v>8</v>
      </c>
      <c r="D1056" s="58">
        <v>111</v>
      </c>
      <c r="E1056" s="59">
        <v>186.47229999999999</v>
      </c>
    </row>
    <row r="1057" spans="1:5" ht="15" x14ac:dyDescent="0.35">
      <c r="A1057" s="58" t="s">
        <v>317</v>
      </c>
      <c r="B1057" s="58" t="s">
        <v>180</v>
      </c>
      <c r="C1057" s="58">
        <v>9</v>
      </c>
      <c r="D1057" s="58">
        <v>112</v>
      </c>
      <c r="E1057" s="59">
        <v>186.47229999999999</v>
      </c>
    </row>
    <row r="1058" spans="1:5" ht="15" x14ac:dyDescent="0.35">
      <c r="A1058" s="58" t="s">
        <v>317</v>
      </c>
      <c r="B1058" s="58" t="s">
        <v>180</v>
      </c>
      <c r="C1058" s="58">
        <v>10</v>
      </c>
      <c r="D1058" s="58">
        <v>113</v>
      </c>
      <c r="E1058" s="59">
        <v>186.47229999999999</v>
      </c>
    </row>
    <row r="1059" spans="1:5" ht="15" x14ac:dyDescent="0.35">
      <c r="A1059" s="58" t="s">
        <v>317</v>
      </c>
      <c r="B1059" s="58" t="s">
        <v>180</v>
      </c>
      <c r="C1059" s="58">
        <v>11</v>
      </c>
      <c r="D1059" s="58">
        <v>114</v>
      </c>
      <c r="E1059" s="59">
        <v>186.47229999999999</v>
      </c>
    </row>
    <row r="1060" spans="1:5" ht="15" x14ac:dyDescent="0.35">
      <c r="A1060" s="58" t="s">
        <v>317</v>
      </c>
      <c r="B1060" s="58" t="s">
        <v>180</v>
      </c>
      <c r="C1060" s="58">
        <v>12</v>
      </c>
      <c r="D1060" s="58">
        <v>115</v>
      </c>
      <c r="E1060" s="59">
        <v>186.47229999999999</v>
      </c>
    </row>
    <row r="1061" spans="1:5" ht="15" x14ac:dyDescent="0.35">
      <c r="A1061" s="58" t="s">
        <v>290</v>
      </c>
      <c r="B1061" s="58" t="s">
        <v>182</v>
      </c>
      <c r="C1061" s="58">
        <v>1</v>
      </c>
      <c r="D1061" s="58">
        <v>104</v>
      </c>
      <c r="E1061" s="59">
        <v>180.0581</v>
      </c>
    </row>
    <row r="1062" spans="1:5" ht="15" x14ac:dyDescent="0.35">
      <c r="A1062" s="58" t="s">
        <v>290</v>
      </c>
      <c r="B1062" s="58" t="s">
        <v>182</v>
      </c>
      <c r="C1062" s="58">
        <v>2</v>
      </c>
      <c r="D1062" s="58">
        <v>105</v>
      </c>
      <c r="E1062" s="59">
        <v>238.85810000000001</v>
      </c>
    </row>
    <row r="1063" spans="1:5" ht="15" x14ac:dyDescent="0.35">
      <c r="A1063" s="58" t="s">
        <v>290</v>
      </c>
      <c r="B1063" s="58" t="s">
        <v>182</v>
      </c>
      <c r="C1063" s="58">
        <v>3</v>
      </c>
      <c r="D1063" s="58">
        <v>106</v>
      </c>
      <c r="E1063" s="59">
        <v>218.89150000000001</v>
      </c>
    </row>
    <row r="1064" spans="1:5" ht="15" x14ac:dyDescent="0.35">
      <c r="A1064" s="58" t="s">
        <v>290</v>
      </c>
      <c r="B1064" s="58" t="s">
        <v>182</v>
      </c>
      <c r="C1064" s="58">
        <v>4</v>
      </c>
      <c r="D1064" s="58">
        <v>107</v>
      </c>
      <c r="E1064" s="59">
        <v>207.0581</v>
      </c>
    </row>
    <row r="1065" spans="1:5" ht="15" x14ac:dyDescent="0.35">
      <c r="A1065" s="58" t="s">
        <v>290</v>
      </c>
      <c r="B1065" s="58" t="s">
        <v>182</v>
      </c>
      <c r="C1065" s="58">
        <v>5</v>
      </c>
      <c r="D1065" s="58">
        <v>108</v>
      </c>
      <c r="E1065" s="59">
        <v>206.3081</v>
      </c>
    </row>
    <row r="1066" spans="1:5" ht="15" x14ac:dyDescent="0.35">
      <c r="A1066" s="58" t="s">
        <v>290</v>
      </c>
      <c r="B1066" s="58" t="s">
        <v>182</v>
      </c>
      <c r="C1066" s="58">
        <v>6</v>
      </c>
      <c r="D1066" s="58">
        <v>109</v>
      </c>
      <c r="E1066" s="59">
        <v>199.5026</v>
      </c>
    </row>
    <row r="1067" spans="1:5" ht="15" x14ac:dyDescent="0.35">
      <c r="A1067" s="58" t="s">
        <v>290</v>
      </c>
      <c r="B1067" s="58" t="s">
        <v>182</v>
      </c>
      <c r="C1067" s="58">
        <v>7</v>
      </c>
      <c r="D1067" s="58">
        <v>110</v>
      </c>
      <c r="E1067" s="59">
        <v>184.0581</v>
      </c>
    </row>
    <row r="1068" spans="1:5" ht="15" x14ac:dyDescent="0.35">
      <c r="A1068" s="58" t="s">
        <v>290</v>
      </c>
      <c r="B1068" s="58" t="s">
        <v>182</v>
      </c>
      <c r="C1068" s="58">
        <v>8</v>
      </c>
      <c r="D1068" s="58">
        <v>111</v>
      </c>
      <c r="E1068" s="59">
        <v>185.0581</v>
      </c>
    </row>
    <row r="1069" spans="1:5" ht="15" x14ac:dyDescent="0.35">
      <c r="A1069" s="58" t="s">
        <v>290</v>
      </c>
      <c r="B1069" s="58" t="s">
        <v>182</v>
      </c>
      <c r="C1069" s="58">
        <v>9</v>
      </c>
      <c r="D1069" s="58">
        <v>112</v>
      </c>
      <c r="E1069" s="59">
        <v>159.28030000000001</v>
      </c>
    </row>
    <row r="1070" spans="1:5" ht="15" x14ac:dyDescent="0.35">
      <c r="A1070" s="58" t="s">
        <v>290</v>
      </c>
      <c r="B1070" s="58" t="s">
        <v>182</v>
      </c>
      <c r="C1070" s="58">
        <v>10</v>
      </c>
      <c r="D1070" s="58">
        <v>113</v>
      </c>
      <c r="E1070" s="59">
        <v>230.5026</v>
      </c>
    </row>
    <row r="1071" spans="1:5" ht="15" x14ac:dyDescent="0.35">
      <c r="A1071" s="58" t="s">
        <v>290</v>
      </c>
      <c r="B1071" s="58" t="s">
        <v>182</v>
      </c>
      <c r="C1071" s="58">
        <v>11</v>
      </c>
      <c r="D1071" s="58">
        <v>114</v>
      </c>
      <c r="E1071" s="59">
        <v>243.83590000000001</v>
      </c>
    </row>
    <row r="1072" spans="1:5" ht="15" x14ac:dyDescent="0.35">
      <c r="A1072" s="58" t="s">
        <v>290</v>
      </c>
      <c r="B1072" s="58" t="s">
        <v>182</v>
      </c>
      <c r="C1072" s="58">
        <v>12</v>
      </c>
      <c r="D1072" s="58">
        <v>115</v>
      </c>
      <c r="E1072" s="59">
        <v>279.50259999999997</v>
      </c>
    </row>
    <row r="1073" spans="1:5" ht="15" x14ac:dyDescent="0.35">
      <c r="A1073" s="58" t="s">
        <v>290</v>
      </c>
      <c r="B1073" s="58" t="s">
        <v>176</v>
      </c>
      <c r="C1073" s="58">
        <v>1</v>
      </c>
      <c r="D1073" s="58">
        <v>104</v>
      </c>
      <c r="E1073" s="59">
        <v>272.625</v>
      </c>
    </row>
    <row r="1074" spans="1:5" ht="15" x14ac:dyDescent="0.35">
      <c r="A1074" s="58" t="s">
        <v>290</v>
      </c>
      <c r="B1074" s="58" t="s">
        <v>176</v>
      </c>
      <c r="C1074" s="58">
        <v>2</v>
      </c>
      <c r="D1074" s="58">
        <v>105</v>
      </c>
      <c r="E1074" s="59">
        <v>272.625</v>
      </c>
    </row>
    <row r="1075" spans="1:5" ht="15" x14ac:dyDescent="0.35">
      <c r="A1075" s="58" t="s">
        <v>290</v>
      </c>
      <c r="B1075" s="58" t="s">
        <v>176</v>
      </c>
      <c r="C1075" s="58">
        <v>3</v>
      </c>
      <c r="D1075" s="58">
        <v>106</v>
      </c>
      <c r="E1075" s="59">
        <v>272.625</v>
      </c>
    </row>
    <row r="1076" spans="1:5" ht="15" x14ac:dyDescent="0.35">
      <c r="A1076" s="58" t="s">
        <v>290</v>
      </c>
      <c r="B1076" s="58" t="s">
        <v>176</v>
      </c>
      <c r="C1076" s="58">
        <v>4</v>
      </c>
      <c r="D1076" s="58">
        <v>107</v>
      </c>
      <c r="E1076" s="59">
        <v>272.625</v>
      </c>
    </row>
    <row r="1077" spans="1:5" ht="15" x14ac:dyDescent="0.35">
      <c r="A1077" s="58" t="s">
        <v>290</v>
      </c>
      <c r="B1077" s="58" t="s">
        <v>176</v>
      </c>
      <c r="C1077" s="58">
        <v>5</v>
      </c>
      <c r="D1077" s="58">
        <v>108</v>
      </c>
      <c r="E1077" s="59">
        <v>272.625</v>
      </c>
    </row>
    <row r="1078" spans="1:5" ht="15" x14ac:dyDescent="0.35">
      <c r="A1078" s="58" t="s">
        <v>290</v>
      </c>
      <c r="B1078" s="58" t="s">
        <v>176</v>
      </c>
      <c r="C1078" s="58">
        <v>6</v>
      </c>
      <c r="D1078" s="58">
        <v>109</v>
      </c>
      <c r="E1078" s="59">
        <v>272.625</v>
      </c>
    </row>
    <row r="1079" spans="1:5" ht="15" x14ac:dyDescent="0.35">
      <c r="A1079" s="58" t="s">
        <v>290</v>
      </c>
      <c r="B1079" s="58" t="s">
        <v>176</v>
      </c>
      <c r="C1079" s="58">
        <v>7</v>
      </c>
      <c r="D1079" s="58">
        <v>110</v>
      </c>
      <c r="E1079" s="59">
        <v>272.625</v>
      </c>
    </row>
    <row r="1080" spans="1:5" ht="15" x14ac:dyDescent="0.35">
      <c r="A1080" s="58" t="s">
        <v>290</v>
      </c>
      <c r="B1080" s="58" t="s">
        <v>176</v>
      </c>
      <c r="C1080" s="58">
        <v>8</v>
      </c>
      <c r="D1080" s="58">
        <v>111</v>
      </c>
      <c r="E1080" s="59">
        <v>272.625</v>
      </c>
    </row>
    <row r="1081" spans="1:5" ht="15" x14ac:dyDescent="0.35">
      <c r="A1081" s="58" t="s">
        <v>290</v>
      </c>
      <c r="B1081" s="58" t="s">
        <v>176</v>
      </c>
      <c r="C1081" s="58">
        <v>9</v>
      </c>
      <c r="D1081" s="58">
        <v>112</v>
      </c>
      <c r="E1081" s="59">
        <v>272.625</v>
      </c>
    </row>
    <row r="1082" spans="1:5" ht="15" x14ac:dyDescent="0.35">
      <c r="A1082" s="58" t="s">
        <v>290</v>
      </c>
      <c r="B1082" s="58" t="s">
        <v>176</v>
      </c>
      <c r="C1082" s="58">
        <v>10</v>
      </c>
      <c r="D1082" s="58">
        <v>113</v>
      </c>
      <c r="E1082" s="59">
        <v>272.625</v>
      </c>
    </row>
    <row r="1083" spans="1:5" ht="15" x14ac:dyDescent="0.35">
      <c r="A1083" s="58" t="s">
        <v>290</v>
      </c>
      <c r="B1083" s="58" t="s">
        <v>176</v>
      </c>
      <c r="C1083" s="58">
        <v>11</v>
      </c>
      <c r="D1083" s="58">
        <v>114</v>
      </c>
      <c r="E1083" s="59">
        <v>272.625</v>
      </c>
    </row>
    <row r="1084" spans="1:5" ht="15" x14ac:dyDescent="0.35">
      <c r="A1084" s="58" t="s">
        <v>290</v>
      </c>
      <c r="B1084" s="58" t="s">
        <v>176</v>
      </c>
      <c r="C1084" s="58">
        <v>12</v>
      </c>
      <c r="D1084" s="58">
        <v>115</v>
      </c>
      <c r="E1084" s="59">
        <v>272.625</v>
      </c>
    </row>
    <row r="1085" spans="1:5" ht="15" x14ac:dyDescent="0.35">
      <c r="A1085" s="58" t="s">
        <v>290</v>
      </c>
      <c r="B1085" s="58" t="s">
        <v>172</v>
      </c>
      <c r="C1085" s="58">
        <v>1</v>
      </c>
      <c r="D1085" s="58">
        <v>104</v>
      </c>
      <c r="E1085" s="59">
        <v>337</v>
      </c>
    </row>
    <row r="1086" spans="1:5" ht="15" x14ac:dyDescent="0.35">
      <c r="A1086" s="58" t="s">
        <v>290</v>
      </c>
      <c r="B1086" s="58" t="s">
        <v>172</v>
      </c>
      <c r="C1086" s="58">
        <v>2</v>
      </c>
      <c r="D1086" s="58">
        <v>105</v>
      </c>
      <c r="E1086" s="59">
        <v>337</v>
      </c>
    </row>
    <row r="1087" spans="1:5" ht="15" x14ac:dyDescent="0.35">
      <c r="A1087" s="58" t="s">
        <v>290</v>
      </c>
      <c r="B1087" s="58" t="s">
        <v>172</v>
      </c>
      <c r="C1087" s="58">
        <v>3</v>
      </c>
      <c r="D1087" s="58">
        <v>106</v>
      </c>
      <c r="E1087" s="59">
        <v>337</v>
      </c>
    </row>
    <row r="1088" spans="1:5" ht="15" x14ac:dyDescent="0.35">
      <c r="A1088" s="58" t="s">
        <v>290</v>
      </c>
      <c r="B1088" s="58" t="s">
        <v>172</v>
      </c>
      <c r="C1088" s="58">
        <v>4</v>
      </c>
      <c r="D1088" s="58">
        <v>107</v>
      </c>
      <c r="E1088" s="59">
        <v>337</v>
      </c>
    </row>
    <row r="1089" spans="1:5" ht="15" x14ac:dyDescent="0.35">
      <c r="A1089" s="58" t="s">
        <v>290</v>
      </c>
      <c r="B1089" s="58" t="s">
        <v>172</v>
      </c>
      <c r="C1089" s="58">
        <v>5</v>
      </c>
      <c r="D1089" s="58">
        <v>108</v>
      </c>
      <c r="E1089" s="59">
        <v>337</v>
      </c>
    </row>
    <row r="1090" spans="1:5" ht="15" x14ac:dyDescent="0.35">
      <c r="A1090" s="58" t="s">
        <v>290</v>
      </c>
      <c r="B1090" s="58" t="s">
        <v>172</v>
      </c>
      <c r="C1090" s="58">
        <v>6</v>
      </c>
      <c r="D1090" s="58">
        <v>109</v>
      </c>
      <c r="E1090" s="59">
        <v>337</v>
      </c>
    </row>
    <row r="1091" spans="1:5" ht="15" x14ac:dyDescent="0.35">
      <c r="A1091" s="58" t="s">
        <v>290</v>
      </c>
      <c r="B1091" s="58" t="s">
        <v>172</v>
      </c>
      <c r="C1091" s="58">
        <v>7</v>
      </c>
      <c r="D1091" s="58">
        <v>110</v>
      </c>
      <c r="E1091" s="59">
        <v>337</v>
      </c>
    </row>
    <row r="1092" spans="1:5" ht="15" x14ac:dyDescent="0.35">
      <c r="A1092" s="58" t="s">
        <v>290</v>
      </c>
      <c r="B1092" s="58" t="s">
        <v>172</v>
      </c>
      <c r="C1092" s="58">
        <v>8</v>
      </c>
      <c r="D1092" s="58">
        <v>111</v>
      </c>
      <c r="E1092" s="59">
        <v>337</v>
      </c>
    </row>
    <row r="1093" spans="1:5" ht="15" x14ac:dyDescent="0.35">
      <c r="A1093" s="58" t="s">
        <v>290</v>
      </c>
      <c r="B1093" s="58" t="s">
        <v>172</v>
      </c>
      <c r="C1093" s="58">
        <v>9</v>
      </c>
      <c r="D1093" s="58">
        <v>112</v>
      </c>
      <c r="E1093" s="59">
        <v>337</v>
      </c>
    </row>
    <row r="1094" spans="1:5" ht="15" x14ac:dyDescent="0.35">
      <c r="A1094" s="58" t="s">
        <v>290</v>
      </c>
      <c r="B1094" s="58" t="s">
        <v>172</v>
      </c>
      <c r="C1094" s="58">
        <v>10</v>
      </c>
      <c r="D1094" s="58">
        <v>113</v>
      </c>
      <c r="E1094" s="59">
        <v>337</v>
      </c>
    </row>
    <row r="1095" spans="1:5" ht="15" x14ac:dyDescent="0.35">
      <c r="A1095" s="58" t="s">
        <v>290</v>
      </c>
      <c r="B1095" s="58" t="s">
        <v>172</v>
      </c>
      <c r="C1095" s="58">
        <v>11</v>
      </c>
      <c r="D1095" s="58">
        <v>114</v>
      </c>
      <c r="E1095" s="59">
        <v>337</v>
      </c>
    </row>
    <row r="1096" spans="1:5" ht="15" x14ac:dyDescent="0.35">
      <c r="A1096" s="58" t="s">
        <v>290</v>
      </c>
      <c r="B1096" s="58" t="s">
        <v>172</v>
      </c>
      <c r="C1096" s="58">
        <v>12</v>
      </c>
      <c r="D1096" s="58">
        <v>115</v>
      </c>
      <c r="E1096" s="59">
        <v>337</v>
      </c>
    </row>
    <row r="1097" spans="1:5" ht="15" x14ac:dyDescent="0.35">
      <c r="A1097" s="58" t="s">
        <v>290</v>
      </c>
      <c r="B1097" s="58" t="s">
        <v>180</v>
      </c>
      <c r="C1097" s="58">
        <v>1</v>
      </c>
      <c r="D1097" s="58">
        <v>104</v>
      </c>
      <c r="E1097" s="59">
        <v>199.67949999999999</v>
      </c>
    </row>
    <row r="1098" spans="1:5" ht="15" x14ac:dyDescent="0.35">
      <c r="A1098" s="58" t="s">
        <v>290</v>
      </c>
      <c r="B1098" s="58" t="s">
        <v>180</v>
      </c>
      <c r="C1098" s="58">
        <v>2</v>
      </c>
      <c r="D1098" s="58">
        <v>105</v>
      </c>
      <c r="E1098" s="59">
        <v>199.67949999999999</v>
      </c>
    </row>
    <row r="1099" spans="1:5" ht="15" x14ac:dyDescent="0.35">
      <c r="A1099" s="58" t="s">
        <v>290</v>
      </c>
      <c r="B1099" s="58" t="s">
        <v>180</v>
      </c>
      <c r="C1099" s="58">
        <v>3</v>
      </c>
      <c r="D1099" s="58">
        <v>106</v>
      </c>
      <c r="E1099" s="59">
        <v>199.67949999999999</v>
      </c>
    </row>
    <row r="1100" spans="1:5" ht="15" x14ac:dyDescent="0.35">
      <c r="A1100" s="58" t="s">
        <v>290</v>
      </c>
      <c r="B1100" s="58" t="s">
        <v>180</v>
      </c>
      <c r="C1100" s="58">
        <v>4</v>
      </c>
      <c r="D1100" s="58">
        <v>107</v>
      </c>
      <c r="E1100" s="59">
        <v>199.67949999999999</v>
      </c>
    </row>
    <row r="1101" spans="1:5" ht="15" x14ac:dyDescent="0.35">
      <c r="A1101" s="58" t="s">
        <v>290</v>
      </c>
      <c r="B1101" s="58" t="s">
        <v>180</v>
      </c>
      <c r="C1101" s="58">
        <v>5</v>
      </c>
      <c r="D1101" s="58">
        <v>108</v>
      </c>
      <c r="E1101" s="59">
        <v>199.67949999999999</v>
      </c>
    </row>
    <row r="1102" spans="1:5" ht="15" x14ac:dyDescent="0.35">
      <c r="A1102" s="58" t="s">
        <v>290</v>
      </c>
      <c r="B1102" s="58" t="s">
        <v>180</v>
      </c>
      <c r="C1102" s="58">
        <v>6</v>
      </c>
      <c r="D1102" s="58">
        <v>109</v>
      </c>
      <c r="E1102" s="59">
        <v>199.67949999999999</v>
      </c>
    </row>
    <row r="1103" spans="1:5" ht="15" x14ac:dyDescent="0.35">
      <c r="A1103" s="58" t="s">
        <v>290</v>
      </c>
      <c r="B1103" s="58" t="s">
        <v>180</v>
      </c>
      <c r="C1103" s="58">
        <v>7</v>
      </c>
      <c r="D1103" s="58">
        <v>110</v>
      </c>
      <c r="E1103" s="59">
        <v>199.67949999999999</v>
      </c>
    </row>
    <row r="1104" spans="1:5" ht="15" x14ac:dyDescent="0.35">
      <c r="A1104" s="58" t="s">
        <v>290</v>
      </c>
      <c r="B1104" s="58" t="s">
        <v>180</v>
      </c>
      <c r="C1104" s="58">
        <v>8</v>
      </c>
      <c r="D1104" s="58">
        <v>111</v>
      </c>
      <c r="E1104" s="59">
        <v>199.67949999999999</v>
      </c>
    </row>
    <row r="1105" spans="1:5" ht="15" x14ac:dyDescent="0.35">
      <c r="A1105" s="58" t="s">
        <v>290</v>
      </c>
      <c r="B1105" s="58" t="s">
        <v>180</v>
      </c>
      <c r="C1105" s="58">
        <v>9</v>
      </c>
      <c r="D1105" s="58">
        <v>112</v>
      </c>
      <c r="E1105" s="59">
        <v>199.67949999999999</v>
      </c>
    </row>
    <row r="1106" spans="1:5" ht="15" x14ac:dyDescent="0.35">
      <c r="A1106" s="58" t="s">
        <v>290</v>
      </c>
      <c r="B1106" s="58" t="s">
        <v>180</v>
      </c>
      <c r="C1106" s="58">
        <v>10</v>
      </c>
      <c r="D1106" s="58">
        <v>113</v>
      </c>
      <c r="E1106" s="59">
        <v>199.67949999999999</v>
      </c>
    </row>
    <row r="1107" spans="1:5" ht="15" x14ac:dyDescent="0.35">
      <c r="A1107" s="58" t="s">
        <v>290</v>
      </c>
      <c r="B1107" s="58" t="s">
        <v>180</v>
      </c>
      <c r="C1107" s="58">
        <v>11</v>
      </c>
      <c r="D1107" s="58">
        <v>114</v>
      </c>
      <c r="E1107" s="59">
        <v>199.67949999999999</v>
      </c>
    </row>
    <row r="1108" spans="1:5" ht="15" x14ac:dyDescent="0.35">
      <c r="A1108" s="58" t="s">
        <v>290</v>
      </c>
      <c r="B1108" s="58" t="s">
        <v>180</v>
      </c>
      <c r="C1108" s="58">
        <v>12</v>
      </c>
      <c r="D1108" s="58">
        <v>115</v>
      </c>
      <c r="E1108" s="59">
        <v>199.67949999999999</v>
      </c>
    </row>
    <row r="1109" spans="1:5" ht="15" x14ac:dyDescent="0.35">
      <c r="A1109" s="58" t="s">
        <v>286</v>
      </c>
      <c r="B1109" s="58" t="s">
        <v>182</v>
      </c>
      <c r="C1109" s="58">
        <v>1</v>
      </c>
      <c r="D1109" s="58">
        <v>104</v>
      </c>
      <c r="E1109" s="59">
        <v>151.5317</v>
      </c>
    </row>
    <row r="1110" spans="1:5" ht="15" x14ac:dyDescent="0.35">
      <c r="A1110" s="58" t="s">
        <v>286</v>
      </c>
      <c r="B1110" s="58" t="s">
        <v>182</v>
      </c>
      <c r="C1110" s="58">
        <v>2</v>
      </c>
      <c r="D1110" s="58">
        <v>105</v>
      </c>
      <c r="E1110" s="59">
        <v>79.131699999999995</v>
      </c>
    </row>
    <row r="1111" spans="1:5" ht="15" x14ac:dyDescent="0.35">
      <c r="A1111" s="58" t="s">
        <v>286</v>
      </c>
      <c r="B1111" s="58" t="s">
        <v>182</v>
      </c>
      <c r="C1111" s="58">
        <v>3</v>
      </c>
      <c r="D1111" s="58">
        <v>106</v>
      </c>
      <c r="E1111" s="59">
        <v>54.698399999999999</v>
      </c>
    </row>
    <row r="1112" spans="1:5" ht="15" x14ac:dyDescent="0.35">
      <c r="A1112" s="58" t="s">
        <v>286</v>
      </c>
      <c r="B1112" s="58" t="s">
        <v>182</v>
      </c>
      <c r="C1112" s="58">
        <v>4</v>
      </c>
      <c r="D1112" s="58">
        <v>107</v>
      </c>
      <c r="E1112" s="59">
        <v>39.960299999999997</v>
      </c>
    </row>
    <row r="1113" spans="1:5" ht="15" x14ac:dyDescent="0.35">
      <c r="A1113" s="58" t="s">
        <v>286</v>
      </c>
      <c r="B1113" s="58" t="s">
        <v>182</v>
      </c>
      <c r="C1113" s="58">
        <v>5</v>
      </c>
      <c r="D1113" s="58">
        <v>108</v>
      </c>
      <c r="E1113" s="59">
        <v>33.656700000000001</v>
      </c>
    </row>
    <row r="1114" spans="1:5" ht="15" x14ac:dyDescent="0.35">
      <c r="A1114" s="58" t="s">
        <v>286</v>
      </c>
      <c r="B1114" s="58" t="s">
        <v>182</v>
      </c>
      <c r="C1114" s="58">
        <v>6</v>
      </c>
      <c r="D1114" s="58">
        <v>109</v>
      </c>
      <c r="E1114" s="59">
        <v>51.4206</v>
      </c>
    </row>
    <row r="1115" spans="1:5" ht="15" x14ac:dyDescent="0.35">
      <c r="A1115" s="58" t="s">
        <v>286</v>
      </c>
      <c r="B1115" s="58" t="s">
        <v>182</v>
      </c>
      <c r="C1115" s="58">
        <v>7</v>
      </c>
      <c r="D1115" s="58">
        <v>110</v>
      </c>
      <c r="E1115" s="59">
        <v>24.4206</v>
      </c>
    </row>
    <row r="1116" spans="1:5" ht="15" x14ac:dyDescent="0.35">
      <c r="A1116" s="58" t="s">
        <v>286</v>
      </c>
      <c r="B1116" s="58" t="s">
        <v>182</v>
      </c>
      <c r="C1116" s="58">
        <v>8</v>
      </c>
      <c r="D1116" s="58">
        <v>111</v>
      </c>
      <c r="E1116" s="59">
        <v>8.9762000000000004</v>
      </c>
    </row>
    <row r="1117" spans="1:5" ht="15" x14ac:dyDescent="0.35">
      <c r="A1117" s="58" t="s">
        <v>286</v>
      </c>
      <c r="B1117" s="58" t="s">
        <v>182</v>
      </c>
      <c r="C1117" s="58">
        <v>9</v>
      </c>
      <c r="D1117" s="58">
        <v>112</v>
      </c>
      <c r="E1117" s="59">
        <v>0</v>
      </c>
    </row>
    <row r="1118" spans="1:5" ht="15" x14ac:dyDescent="0.35">
      <c r="A1118" s="58" t="s">
        <v>286</v>
      </c>
      <c r="B1118" s="58" t="s">
        <v>182</v>
      </c>
      <c r="C1118" s="58">
        <v>10</v>
      </c>
      <c r="D1118" s="58">
        <v>113</v>
      </c>
      <c r="E1118" s="59">
        <v>82.642799999999994</v>
      </c>
    </row>
    <row r="1119" spans="1:5" ht="15" x14ac:dyDescent="0.35">
      <c r="A1119" s="58" t="s">
        <v>286</v>
      </c>
      <c r="B1119" s="58" t="s">
        <v>182</v>
      </c>
      <c r="C1119" s="58">
        <v>11</v>
      </c>
      <c r="D1119" s="58">
        <v>114</v>
      </c>
      <c r="E1119" s="59">
        <v>94.976200000000006</v>
      </c>
    </row>
    <row r="1120" spans="1:5" ht="15" x14ac:dyDescent="0.35">
      <c r="A1120" s="58" t="s">
        <v>286</v>
      </c>
      <c r="B1120" s="58" t="s">
        <v>182</v>
      </c>
      <c r="C1120" s="58">
        <v>12</v>
      </c>
      <c r="D1120" s="58">
        <v>115</v>
      </c>
      <c r="E1120" s="59">
        <v>149.5317</v>
      </c>
    </row>
    <row r="1121" spans="1:5" ht="15" x14ac:dyDescent="0.35">
      <c r="A1121" s="58" t="s">
        <v>286</v>
      </c>
      <c r="B1121" s="58" t="s">
        <v>176</v>
      </c>
      <c r="C1121" s="58">
        <v>1</v>
      </c>
      <c r="D1121" s="58">
        <v>104</v>
      </c>
      <c r="E1121" s="59">
        <v>278.75</v>
      </c>
    </row>
    <row r="1122" spans="1:5" ht="15" x14ac:dyDescent="0.35">
      <c r="A1122" s="58" t="s">
        <v>286</v>
      </c>
      <c r="B1122" s="58" t="s">
        <v>176</v>
      </c>
      <c r="C1122" s="58">
        <v>2</v>
      </c>
      <c r="D1122" s="58">
        <v>105</v>
      </c>
      <c r="E1122" s="59">
        <v>278.75</v>
      </c>
    </row>
    <row r="1123" spans="1:5" ht="15" x14ac:dyDescent="0.35">
      <c r="A1123" s="58" t="s">
        <v>286</v>
      </c>
      <c r="B1123" s="58" t="s">
        <v>176</v>
      </c>
      <c r="C1123" s="58">
        <v>3</v>
      </c>
      <c r="D1123" s="58">
        <v>106</v>
      </c>
      <c r="E1123" s="59">
        <v>278.75</v>
      </c>
    </row>
    <row r="1124" spans="1:5" ht="15" x14ac:dyDescent="0.35">
      <c r="A1124" s="58" t="s">
        <v>286</v>
      </c>
      <c r="B1124" s="58" t="s">
        <v>176</v>
      </c>
      <c r="C1124" s="58">
        <v>4</v>
      </c>
      <c r="D1124" s="58">
        <v>107</v>
      </c>
      <c r="E1124" s="59">
        <v>278.75</v>
      </c>
    </row>
    <row r="1125" spans="1:5" ht="15" x14ac:dyDescent="0.35">
      <c r="A1125" s="58" t="s">
        <v>286</v>
      </c>
      <c r="B1125" s="58" t="s">
        <v>176</v>
      </c>
      <c r="C1125" s="58">
        <v>5</v>
      </c>
      <c r="D1125" s="58">
        <v>108</v>
      </c>
      <c r="E1125" s="59">
        <v>278.75</v>
      </c>
    </row>
    <row r="1126" spans="1:5" ht="15" x14ac:dyDescent="0.35">
      <c r="A1126" s="58" t="s">
        <v>286</v>
      </c>
      <c r="B1126" s="58" t="s">
        <v>176</v>
      </c>
      <c r="C1126" s="58">
        <v>6</v>
      </c>
      <c r="D1126" s="58">
        <v>109</v>
      </c>
      <c r="E1126" s="59">
        <v>278.75</v>
      </c>
    </row>
    <row r="1127" spans="1:5" ht="15" x14ac:dyDescent="0.35">
      <c r="A1127" s="58" t="s">
        <v>286</v>
      </c>
      <c r="B1127" s="58" t="s">
        <v>176</v>
      </c>
      <c r="C1127" s="58">
        <v>7</v>
      </c>
      <c r="D1127" s="58">
        <v>110</v>
      </c>
      <c r="E1127" s="59">
        <v>278.75</v>
      </c>
    </row>
    <row r="1128" spans="1:5" ht="15" x14ac:dyDescent="0.35">
      <c r="A1128" s="58" t="s">
        <v>286</v>
      </c>
      <c r="B1128" s="58" t="s">
        <v>176</v>
      </c>
      <c r="C1128" s="58">
        <v>8</v>
      </c>
      <c r="D1128" s="58">
        <v>111</v>
      </c>
      <c r="E1128" s="59">
        <v>278.75</v>
      </c>
    </row>
    <row r="1129" spans="1:5" ht="15" x14ac:dyDescent="0.35">
      <c r="A1129" s="58" t="s">
        <v>286</v>
      </c>
      <c r="B1129" s="58" t="s">
        <v>176</v>
      </c>
      <c r="C1129" s="58">
        <v>9</v>
      </c>
      <c r="D1129" s="58">
        <v>112</v>
      </c>
      <c r="E1129" s="59">
        <v>278.75</v>
      </c>
    </row>
    <row r="1130" spans="1:5" ht="15" x14ac:dyDescent="0.35">
      <c r="A1130" s="58" t="s">
        <v>286</v>
      </c>
      <c r="B1130" s="58" t="s">
        <v>176</v>
      </c>
      <c r="C1130" s="58">
        <v>10</v>
      </c>
      <c r="D1130" s="58">
        <v>113</v>
      </c>
      <c r="E1130" s="59">
        <v>278.75</v>
      </c>
    </row>
    <row r="1131" spans="1:5" ht="15" x14ac:dyDescent="0.35">
      <c r="A1131" s="58" t="s">
        <v>286</v>
      </c>
      <c r="B1131" s="58" t="s">
        <v>176</v>
      </c>
      <c r="C1131" s="58">
        <v>11</v>
      </c>
      <c r="D1131" s="58">
        <v>114</v>
      </c>
      <c r="E1131" s="59">
        <v>278.75</v>
      </c>
    </row>
    <row r="1132" spans="1:5" ht="15" x14ac:dyDescent="0.35">
      <c r="A1132" s="58" t="s">
        <v>286</v>
      </c>
      <c r="B1132" s="58" t="s">
        <v>176</v>
      </c>
      <c r="C1132" s="58">
        <v>12</v>
      </c>
      <c r="D1132" s="58">
        <v>115</v>
      </c>
      <c r="E1132" s="59">
        <v>278.75</v>
      </c>
    </row>
    <row r="1133" spans="1:5" ht="15" x14ac:dyDescent="0.35">
      <c r="A1133" s="58" t="s">
        <v>286</v>
      </c>
      <c r="B1133" s="58" t="s">
        <v>172</v>
      </c>
      <c r="C1133" s="58">
        <v>1</v>
      </c>
      <c r="D1133" s="58">
        <v>104</v>
      </c>
      <c r="E1133" s="59">
        <v>41</v>
      </c>
    </row>
    <row r="1134" spans="1:5" ht="15" x14ac:dyDescent="0.35">
      <c r="A1134" s="58" t="s">
        <v>286</v>
      </c>
      <c r="B1134" s="58" t="s">
        <v>172</v>
      </c>
      <c r="C1134" s="58">
        <v>2</v>
      </c>
      <c r="D1134" s="58">
        <v>105</v>
      </c>
      <c r="E1134" s="59">
        <v>41</v>
      </c>
    </row>
    <row r="1135" spans="1:5" ht="15" x14ac:dyDescent="0.35">
      <c r="A1135" s="58" t="s">
        <v>286</v>
      </c>
      <c r="B1135" s="58" t="s">
        <v>172</v>
      </c>
      <c r="C1135" s="58">
        <v>3</v>
      </c>
      <c r="D1135" s="58">
        <v>106</v>
      </c>
      <c r="E1135" s="59">
        <v>41</v>
      </c>
    </row>
    <row r="1136" spans="1:5" ht="15" x14ac:dyDescent="0.35">
      <c r="A1136" s="58" t="s">
        <v>286</v>
      </c>
      <c r="B1136" s="58" t="s">
        <v>172</v>
      </c>
      <c r="C1136" s="58">
        <v>4</v>
      </c>
      <c r="D1136" s="58">
        <v>107</v>
      </c>
      <c r="E1136" s="59">
        <v>41</v>
      </c>
    </row>
    <row r="1137" spans="1:5" ht="15" x14ac:dyDescent="0.35">
      <c r="A1137" s="58" t="s">
        <v>286</v>
      </c>
      <c r="B1137" s="58" t="s">
        <v>172</v>
      </c>
      <c r="C1137" s="58">
        <v>5</v>
      </c>
      <c r="D1137" s="58">
        <v>108</v>
      </c>
      <c r="E1137" s="59">
        <v>41</v>
      </c>
    </row>
    <row r="1138" spans="1:5" ht="15" x14ac:dyDescent="0.35">
      <c r="A1138" s="58" t="s">
        <v>286</v>
      </c>
      <c r="B1138" s="58" t="s">
        <v>172</v>
      </c>
      <c r="C1138" s="58">
        <v>6</v>
      </c>
      <c r="D1138" s="58">
        <v>109</v>
      </c>
      <c r="E1138" s="59">
        <v>41</v>
      </c>
    </row>
    <row r="1139" spans="1:5" ht="15" x14ac:dyDescent="0.35">
      <c r="A1139" s="58" t="s">
        <v>286</v>
      </c>
      <c r="B1139" s="58" t="s">
        <v>172</v>
      </c>
      <c r="C1139" s="58">
        <v>7</v>
      </c>
      <c r="D1139" s="58">
        <v>110</v>
      </c>
      <c r="E1139" s="59">
        <v>41</v>
      </c>
    </row>
    <row r="1140" spans="1:5" ht="15" x14ac:dyDescent="0.35">
      <c r="A1140" s="58" t="s">
        <v>286</v>
      </c>
      <c r="B1140" s="58" t="s">
        <v>172</v>
      </c>
      <c r="C1140" s="58">
        <v>8</v>
      </c>
      <c r="D1140" s="58">
        <v>111</v>
      </c>
      <c r="E1140" s="59">
        <v>41</v>
      </c>
    </row>
    <row r="1141" spans="1:5" ht="15" x14ac:dyDescent="0.35">
      <c r="A1141" s="58" t="s">
        <v>286</v>
      </c>
      <c r="B1141" s="58" t="s">
        <v>172</v>
      </c>
      <c r="C1141" s="58">
        <v>9</v>
      </c>
      <c r="D1141" s="58">
        <v>112</v>
      </c>
      <c r="E1141" s="59">
        <v>41</v>
      </c>
    </row>
    <row r="1142" spans="1:5" ht="15" x14ac:dyDescent="0.35">
      <c r="A1142" s="58" t="s">
        <v>286</v>
      </c>
      <c r="B1142" s="58" t="s">
        <v>172</v>
      </c>
      <c r="C1142" s="58">
        <v>10</v>
      </c>
      <c r="D1142" s="58">
        <v>113</v>
      </c>
      <c r="E1142" s="59">
        <v>41</v>
      </c>
    </row>
    <row r="1143" spans="1:5" ht="15" x14ac:dyDescent="0.35">
      <c r="A1143" s="58" t="s">
        <v>286</v>
      </c>
      <c r="B1143" s="58" t="s">
        <v>172</v>
      </c>
      <c r="C1143" s="58">
        <v>11</v>
      </c>
      <c r="D1143" s="58">
        <v>114</v>
      </c>
      <c r="E1143" s="59">
        <v>41</v>
      </c>
    </row>
    <row r="1144" spans="1:5" ht="15" x14ac:dyDescent="0.35">
      <c r="A1144" s="58" t="s">
        <v>286</v>
      </c>
      <c r="B1144" s="58" t="s">
        <v>172</v>
      </c>
      <c r="C1144" s="58">
        <v>12</v>
      </c>
      <c r="D1144" s="58">
        <v>115</v>
      </c>
      <c r="E1144" s="59">
        <v>41</v>
      </c>
    </row>
    <row r="1145" spans="1:5" ht="15" x14ac:dyDescent="0.35">
      <c r="A1145" s="58" t="s">
        <v>286</v>
      </c>
      <c r="B1145" s="58" t="s">
        <v>180</v>
      </c>
      <c r="C1145" s="58">
        <v>1</v>
      </c>
      <c r="D1145" s="58">
        <v>104</v>
      </c>
      <c r="E1145" s="59">
        <v>159.1317</v>
      </c>
    </row>
    <row r="1146" spans="1:5" ht="15" x14ac:dyDescent="0.35">
      <c r="A1146" s="58" t="s">
        <v>286</v>
      </c>
      <c r="B1146" s="58" t="s">
        <v>180</v>
      </c>
      <c r="C1146" s="58">
        <v>2</v>
      </c>
      <c r="D1146" s="58">
        <v>105</v>
      </c>
      <c r="E1146" s="59">
        <v>159.1317</v>
      </c>
    </row>
    <row r="1147" spans="1:5" ht="15" x14ac:dyDescent="0.35">
      <c r="A1147" s="58" t="s">
        <v>286</v>
      </c>
      <c r="B1147" s="58" t="s">
        <v>180</v>
      </c>
      <c r="C1147" s="58">
        <v>3</v>
      </c>
      <c r="D1147" s="58">
        <v>106</v>
      </c>
      <c r="E1147" s="59">
        <v>159.1317</v>
      </c>
    </row>
    <row r="1148" spans="1:5" ht="15" x14ac:dyDescent="0.35">
      <c r="A1148" s="58" t="s">
        <v>286</v>
      </c>
      <c r="B1148" s="58" t="s">
        <v>180</v>
      </c>
      <c r="C1148" s="58">
        <v>4</v>
      </c>
      <c r="D1148" s="58">
        <v>107</v>
      </c>
      <c r="E1148" s="59">
        <v>159.1317</v>
      </c>
    </row>
    <row r="1149" spans="1:5" ht="15" x14ac:dyDescent="0.35">
      <c r="A1149" s="58" t="s">
        <v>286</v>
      </c>
      <c r="B1149" s="58" t="s">
        <v>180</v>
      </c>
      <c r="C1149" s="58">
        <v>5</v>
      </c>
      <c r="D1149" s="58">
        <v>108</v>
      </c>
      <c r="E1149" s="59">
        <v>159.1317</v>
      </c>
    </row>
    <row r="1150" spans="1:5" ht="15" x14ac:dyDescent="0.35">
      <c r="A1150" s="58" t="s">
        <v>286</v>
      </c>
      <c r="B1150" s="58" t="s">
        <v>180</v>
      </c>
      <c r="C1150" s="58">
        <v>6</v>
      </c>
      <c r="D1150" s="58">
        <v>109</v>
      </c>
      <c r="E1150" s="59">
        <v>159.1317</v>
      </c>
    </row>
    <row r="1151" spans="1:5" ht="15" x14ac:dyDescent="0.35">
      <c r="A1151" s="58" t="s">
        <v>286</v>
      </c>
      <c r="B1151" s="58" t="s">
        <v>180</v>
      </c>
      <c r="C1151" s="58">
        <v>7</v>
      </c>
      <c r="D1151" s="58">
        <v>110</v>
      </c>
      <c r="E1151" s="59">
        <v>159.1317</v>
      </c>
    </row>
    <row r="1152" spans="1:5" ht="15" x14ac:dyDescent="0.35">
      <c r="A1152" s="58" t="s">
        <v>286</v>
      </c>
      <c r="B1152" s="58" t="s">
        <v>180</v>
      </c>
      <c r="C1152" s="58">
        <v>8</v>
      </c>
      <c r="D1152" s="58">
        <v>111</v>
      </c>
      <c r="E1152" s="59">
        <v>159.1317</v>
      </c>
    </row>
    <row r="1153" spans="1:5" ht="15" x14ac:dyDescent="0.35">
      <c r="A1153" s="58" t="s">
        <v>286</v>
      </c>
      <c r="B1153" s="58" t="s">
        <v>180</v>
      </c>
      <c r="C1153" s="58">
        <v>9</v>
      </c>
      <c r="D1153" s="58">
        <v>112</v>
      </c>
      <c r="E1153" s="59">
        <v>159.1317</v>
      </c>
    </row>
    <row r="1154" spans="1:5" ht="15" x14ac:dyDescent="0.35">
      <c r="A1154" s="58" t="s">
        <v>286</v>
      </c>
      <c r="B1154" s="58" t="s">
        <v>180</v>
      </c>
      <c r="C1154" s="58">
        <v>10</v>
      </c>
      <c r="D1154" s="58">
        <v>113</v>
      </c>
      <c r="E1154" s="59">
        <v>159.1317</v>
      </c>
    </row>
    <row r="1155" spans="1:5" ht="15" x14ac:dyDescent="0.35">
      <c r="A1155" s="58" t="s">
        <v>286</v>
      </c>
      <c r="B1155" s="58" t="s">
        <v>180</v>
      </c>
      <c r="C1155" s="58">
        <v>11</v>
      </c>
      <c r="D1155" s="58">
        <v>114</v>
      </c>
      <c r="E1155" s="59">
        <v>159.1317</v>
      </c>
    </row>
    <row r="1156" spans="1:5" ht="15" x14ac:dyDescent="0.35">
      <c r="A1156" s="58" t="s">
        <v>286</v>
      </c>
      <c r="B1156" s="58" t="s">
        <v>180</v>
      </c>
      <c r="C1156" s="58">
        <v>12</v>
      </c>
      <c r="D1156" s="58">
        <v>115</v>
      </c>
      <c r="E1156" s="59">
        <v>159.1317</v>
      </c>
    </row>
    <row r="1157" spans="1:5" ht="15" x14ac:dyDescent="0.35">
      <c r="A1157" s="58" t="s">
        <v>304</v>
      </c>
      <c r="B1157" s="58" t="s">
        <v>182</v>
      </c>
      <c r="C1157" s="58">
        <v>1</v>
      </c>
      <c r="D1157" s="58">
        <v>104</v>
      </c>
      <c r="E1157" s="59">
        <v>406.77640000000002</v>
      </c>
    </row>
    <row r="1158" spans="1:5" ht="15" x14ac:dyDescent="0.35">
      <c r="A1158" s="58" t="s">
        <v>304</v>
      </c>
      <c r="B1158" s="58" t="s">
        <v>182</v>
      </c>
      <c r="C1158" s="58">
        <v>2</v>
      </c>
      <c r="D1158" s="58">
        <v>105</v>
      </c>
      <c r="E1158" s="59">
        <v>137.09610000000001</v>
      </c>
    </row>
    <row r="1159" spans="1:5" ht="15" x14ac:dyDescent="0.35">
      <c r="A1159" s="58" t="s">
        <v>304</v>
      </c>
      <c r="B1159" s="58" t="s">
        <v>182</v>
      </c>
      <c r="C1159" s="58">
        <v>3</v>
      </c>
      <c r="D1159" s="58">
        <v>106</v>
      </c>
      <c r="E1159" s="59">
        <v>67.482399999999998</v>
      </c>
    </row>
    <row r="1160" spans="1:5" ht="15" x14ac:dyDescent="0.35">
      <c r="A1160" s="58" t="s">
        <v>304</v>
      </c>
      <c r="B1160" s="58" t="s">
        <v>182</v>
      </c>
      <c r="C1160" s="58">
        <v>4</v>
      </c>
      <c r="D1160" s="58">
        <v>107</v>
      </c>
      <c r="E1160" s="59">
        <v>113.5258</v>
      </c>
    </row>
    <row r="1161" spans="1:5" ht="15" x14ac:dyDescent="0.35">
      <c r="A1161" s="58" t="s">
        <v>304</v>
      </c>
      <c r="B1161" s="58" t="s">
        <v>182</v>
      </c>
      <c r="C1161" s="58">
        <v>5</v>
      </c>
      <c r="D1161" s="58">
        <v>108</v>
      </c>
      <c r="E1161" s="59">
        <v>174.85499999999999</v>
      </c>
    </row>
    <row r="1162" spans="1:5" ht="15" x14ac:dyDescent="0.35">
      <c r="A1162" s="58" t="s">
        <v>304</v>
      </c>
      <c r="B1162" s="58" t="s">
        <v>182</v>
      </c>
      <c r="C1162" s="58">
        <v>6</v>
      </c>
      <c r="D1162" s="58">
        <v>109</v>
      </c>
      <c r="E1162" s="59">
        <v>166.93020000000001</v>
      </c>
    </row>
    <row r="1163" spans="1:5" ht="15" x14ac:dyDescent="0.35">
      <c r="A1163" s="58" t="s">
        <v>304</v>
      </c>
      <c r="B1163" s="58" t="s">
        <v>182</v>
      </c>
      <c r="C1163" s="58">
        <v>7</v>
      </c>
      <c r="D1163" s="58">
        <v>110</v>
      </c>
      <c r="E1163" s="59">
        <v>134.44990000000001</v>
      </c>
    </row>
    <row r="1164" spans="1:5" ht="15" x14ac:dyDescent="0.35">
      <c r="A1164" s="58" t="s">
        <v>304</v>
      </c>
      <c r="B1164" s="58" t="s">
        <v>182</v>
      </c>
      <c r="C1164" s="58">
        <v>8</v>
      </c>
      <c r="D1164" s="58">
        <v>111</v>
      </c>
      <c r="E1164" s="59">
        <v>41.747300000000003</v>
      </c>
    </row>
    <row r="1165" spans="1:5" ht="15" x14ac:dyDescent="0.35">
      <c r="A1165" s="58" t="s">
        <v>304</v>
      </c>
      <c r="B1165" s="58" t="s">
        <v>182</v>
      </c>
      <c r="C1165" s="58">
        <v>9</v>
      </c>
      <c r="D1165" s="58">
        <v>112</v>
      </c>
      <c r="E1165" s="59">
        <v>110.4892</v>
      </c>
    </row>
    <row r="1166" spans="1:5" ht="15" x14ac:dyDescent="0.35">
      <c r="A1166" s="58" t="s">
        <v>304</v>
      </c>
      <c r="B1166" s="58" t="s">
        <v>182</v>
      </c>
      <c r="C1166" s="58">
        <v>10</v>
      </c>
      <c r="D1166" s="58">
        <v>113</v>
      </c>
      <c r="E1166" s="59">
        <v>242.6755</v>
      </c>
    </row>
    <row r="1167" spans="1:5" ht="15" x14ac:dyDescent="0.35">
      <c r="A1167" s="58" t="s">
        <v>304</v>
      </c>
      <c r="B1167" s="58" t="s">
        <v>182</v>
      </c>
      <c r="C1167" s="58">
        <v>11</v>
      </c>
      <c r="D1167" s="58">
        <v>114</v>
      </c>
      <c r="E1167" s="59">
        <v>206.41739999999999</v>
      </c>
    </row>
    <row r="1168" spans="1:5" ht="15" x14ac:dyDescent="0.35">
      <c r="A1168" s="58" t="s">
        <v>304</v>
      </c>
      <c r="B1168" s="58" t="s">
        <v>182</v>
      </c>
      <c r="C1168" s="58">
        <v>12</v>
      </c>
      <c r="D1168" s="58">
        <v>115</v>
      </c>
      <c r="E1168" s="59">
        <v>281.04820000000001</v>
      </c>
    </row>
    <row r="1169" spans="1:5" ht="15" x14ac:dyDescent="0.35">
      <c r="A1169" s="58" t="s">
        <v>304</v>
      </c>
      <c r="B1169" s="58" t="s">
        <v>176</v>
      </c>
      <c r="C1169" s="58">
        <v>1</v>
      </c>
      <c r="D1169" s="58">
        <v>104</v>
      </c>
      <c r="E1169" s="59">
        <v>534.5</v>
      </c>
    </row>
    <row r="1170" spans="1:5" ht="15" x14ac:dyDescent="0.35">
      <c r="A1170" s="58" t="s">
        <v>304</v>
      </c>
      <c r="B1170" s="58" t="s">
        <v>176</v>
      </c>
      <c r="C1170" s="58">
        <v>2</v>
      </c>
      <c r="D1170" s="58">
        <v>105</v>
      </c>
      <c r="E1170" s="59">
        <v>534.5</v>
      </c>
    </row>
    <row r="1171" spans="1:5" ht="15" x14ac:dyDescent="0.35">
      <c r="A1171" s="58" t="s">
        <v>304</v>
      </c>
      <c r="B1171" s="58" t="s">
        <v>176</v>
      </c>
      <c r="C1171" s="58">
        <v>3</v>
      </c>
      <c r="D1171" s="58">
        <v>106</v>
      </c>
      <c r="E1171" s="59">
        <v>534.5</v>
      </c>
    </row>
    <row r="1172" spans="1:5" ht="15" x14ac:dyDescent="0.35">
      <c r="A1172" s="58" t="s">
        <v>304</v>
      </c>
      <c r="B1172" s="58" t="s">
        <v>176</v>
      </c>
      <c r="C1172" s="58">
        <v>4</v>
      </c>
      <c r="D1172" s="58">
        <v>107</v>
      </c>
      <c r="E1172" s="59">
        <v>534.5</v>
      </c>
    </row>
    <row r="1173" spans="1:5" ht="15" x14ac:dyDescent="0.35">
      <c r="A1173" s="58" t="s">
        <v>304</v>
      </c>
      <c r="B1173" s="58" t="s">
        <v>176</v>
      </c>
      <c r="C1173" s="58">
        <v>5</v>
      </c>
      <c r="D1173" s="58">
        <v>108</v>
      </c>
      <c r="E1173" s="59">
        <v>534.5</v>
      </c>
    </row>
    <row r="1174" spans="1:5" ht="15" x14ac:dyDescent="0.35">
      <c r="A1174" s="58" t="s">
        <v>304</v>
      </c>
      <c r="B1174" s="58" t="s">
        <v>176</v>
      </c>
      <c r="C1174" s="58">
        <v>6</v>
      </c>
      <c r="D1174" s="58">
        <v>109</v>
      </c>
      <c r="E1174" s="59">
        <v>534.5</v>
      </c>
    </row>
    <row r="1175" spans="1:5" ht="15" x14ac:dyDescent="0.35">
      <c r="A1175" s="58" t="s">
        <v>304</v>
      </c>
      <c r="B1175" s="58" t="s">
        <v>176</v>
      </c>
      <c r="C1175" s="58">
        <v>7</v>
      </c>
      <c r="D1175" s="58">
        <v>110</v>
      </c>
      <c r="E1175" s="59">
        <v>534.5</v>
      </c>
    </row>
    <row r="1176" spans="1:5" ht="15" x14ac:dyDescent="0.35">
      <c r="A1176" s="58" t="s">
        <v>304</v>
      </c>
      <c r="B1176" s="58" t="s">
        <v>176</v>
      </c>
      <c r="C1176" s="58">
        <v>8</v>
      </c>
      <c r="D1176" s="58">
        <v>111</v>
      </c>
      <c r="E1176" s="59">
        <v>534.5</v>
      </c>
    </row>
    <row r="1177" spans="1:5" ht="15" x14ac:dyDescent="0.35">
      <c r="A1177" s="58" t="s">
        <v>304</v>
      </c>
      <c r="B1177" s="58" t="s">
        <v>176</v>
      </c>
      <c r="C1177" s="58">
        <v>9</v>
      </c>
      <c r="D1177" s="58">
        <v>112</v>
      </c>
      <c r="E1177" s="59">
        <v>534.5</v>
      </c>
    </row>
    <row r="1178" spans="1:5" ht="15" x14ac:dyDescent="0.35">
      <c r="A1178" s="58" t="s">
        <v>304</v>
      </c>
      <c r="B1178" s="58" t="s">
        <v>176</v>
      </c>
      <c r="C1178" s="58">
        <v>10</v>
      </c>
      <c r="D1178" s="58">
        <v>113</v>
      </c>
      <c r="E1178" s="59">
        <v>534.5</v>
      </c>
    </row>
    <row r="1179" spans="1:5" ht="15" x14ac:dyDescent="0.35">
      <c r="A1179" s="58" t="s">
        <v>304</v>
      </c>
      <c r="B1179" s="58" t="s">
        <v>176</v>
      </c>
      <c r="C1179" s="58">
        <v>11</v>
      </c>
      <c r="D1179" s="58">
        <v>114</v>
      </c>
      <c r="E1179" s="59">
        <v>534.5</v>
      </c>
    </row>
    <row r="1180" spans="1:5" ht="15" x14ac:dyDescent="0.35">
      <c r="A1180" s="58" t="s">
        <v>304</v>
      </c>
      <c r="B1180" s="58" t="s">
        <v>176</v>
      </c>
      <c r="C1180" s="58">
        <v>12</v>
      </c>
      <c r="D1180" s="58">
        <v>115</v>
      </c>
      <c r="E1180" s="59">
        <v>534.5</v>
      </c>
    </row>
    <row r="1181" spans="1:5" ht="15" x14ac:dyDescent="0.35">
      <c r="A1181" s="58" t="s">
        <v>304</v>
      </c>
      <c r="B1181" s="58" t="s">
        <v>172</v>
      </c>
      <c r="C1181" s="58">
        <v>1</v>
      </c>
      <c r="D1181" s="58">
        <v>104</v>
      </c>
      <c r="E1181" s="59">
        <v>341</v>
      </c>
    </row>
    <row r="1182" spans="1:5" ht="15" x14ac:dyDescent="0.35">
      <c r="A1182" s="58" t="s">
        <v>304</v>
      </c>
      <c r="B1182" s="58" t="s">
        <v>172</v>
      </c>
      <c r="C1182" s="58">
        <v>2</v>
      </c>
      <c r="D1182" s="58">
        <v>105</v>
      </c>
      <c r="E1182" s="59">
        <v>341</v>
      </c>
    </row>
    <row r="1183" spans="1:5" ht="15" x14ac:dyDescent="0.35">
      <c r="A1183" s="58" t="s">
        <v>304</v>
      </c>
      <c r="B1183" s="58" t="s">
        <v>172</v>
      </c>
      <c r="C1183" s="58">
        <v>3</v>
      </c>
      <c r="D1183" s="58">
        <v>106</v>
      </c>
      <c r="E1183" s="59">
        <v>341</v>
      </c>
    </row>
    <row r="1184" spans="1:5" ht="15" x14ac:dyDescent="0.35">
      <c r="A1184" s="58" t="s">
        <v>304</v>
      </c>
      <c r="B1184" s="58" t="s">
        <v>172</v>
      </c>
      <c r="C1184" s="58">
        <v>4</v>
      </c>
      <c r="D1184" s="58">
        <v>107</v>
      </c>
      <c r="E1184" s="59">
        <v>341</v>
      </c>
    </row>
    <row r="1185" spans="1:5" ht="15" x14ac:dyDescent="0.35">
      <c r="A1185" s="58" t="s">
        <v>304</v>
      </c>
      <c r="B1185" s="58" t="s">
        <v>172</v>
      </c>
      <c r="C1185" s="58">
        <v>5</v>
      </c>
      <c r="D1185" s="58">
        <v>108</v>
      </c>
      <c r="E1185" s="59">
        <v>341</v>
      </c>
    </row>
    <row r="1186" spans="1:5" ht="15" x14ac:dyDescent="0.35">
      <c r="A1186" s="58" t="s">
        <v>304</v>
      </c>
      <c r="B1186" s="58" t="s">
        <v>172</v>
      </c>
      <c r="C1186" s="58">
        <v>6</v>
      </c>
      <c r="D1186" s="58">
        <v>109</v>
      </c>
      <c r="E1186" s="59">
        <v>341</v>
      </c>
    </row>
    <row r="1187" spans="1:5" ht="15" x14ac:dyDescent="0.35">
      <c r="A1187" s="58" t="s">
        <v>304</v>
      </c>
      <c r="B1187" s="58" t="s">
        <v>172</v>
      </c>
      <c r="C1187" s="58">
        <v>7</v>
      </c>
      <c r="D1187" s="58">
        <v>110</v>
      </c>
      <c r="E1187" s="59">
        <v>341</v>
      </c>
    </row>
    <row r="1188" spans="1:5" ht="15" x14ac:dyDescent="0.35">
      <c r="A1188" s="58" t="s">
        <v>304</v>
      </c>
      <c r="B1188" s="58" t="s">
        <v>172</v>
      </c>
      <c r="C1188" s="58">
        <v>8</v>
      </c>
      <c r="D1188" s="58">
        <v>111</v>
      </c>
      <c r="E1188" s="59">
        <v>341</v>
      </c>
    </row>
    <row r="1189" spans="1:5" ht="15" x14ac:dyDescent="0.35">
      <c r="A1189" s="58" t="s">
        <v>304</v>
      </c>
      <c r="B1189" s="58" t="s">
        <v>172</v>
      </c>
      <c r="C1189" s="58">
        <v>9</v>
      </c>
      <c r="D1189" s="58">
        <v>112</v>
      </c>
      <c r="E1189" s="59">
        <v>341</v>
      </c>
    </row>
    <row r="1190" spans="1:5" ht="15" x14ac:dyDescent="0.35">
      <c r="A1190" s="58" t="s">
        <v>304</v>
      </c>
      <c r="B1190" s="58" t="s">
        <v>172</v>
      </c>
      <c r="C1190" s="58">
        <v>10</v>
      </c>
      <c r="D1190" s="58">
        <v>113</v>
      </c>
      <c r="E1190" s="59">
        <v>341</v>
      </c>
    </row>
    <row r="1191" spans="1:5" ht="15" x14ac:dyDescent="0.35">
      <c r="A1191" s="58" t="s">
        <v>304</v>
      </c>
      <c r="B1191" s="58" t="s">
        <v>172</v>
      </c>
      <c r="C1191" s="58">
        <v>11</v>
      </c>
      <c r="D1191" s="58">
        <v>114</v>
      </c>
      <c r="E1191" s="59">
        <v>341</v>
      </c>
    </row>
    <row r="1192" spans="1:5" ht="15" x14ac:dyDescent="0.35">
      <c r="A1192" s="58" t="s">
        <v>304</v>
      </c>
      <c r="B1192" s="58" t="s">
        <v>172</v>
      </c>
      <c r="C1192" s="58">
        <v>12</v>
      </c>
      <c r="D1192" s="58">
        <v>115</v>
      </c>
      <c r="E1192" s="59">
        <v>341</v>
      </c>
    </row>
    <row r="1193" spans="1:5" ht="15" x14ac:dyDescent="0.35">
      <c r="A1193" s="58" t="s">
        <v>304</v>
      </c>
      <c r="B1193" s="58" t="s">
        <v>180</v>
      </c>
      <c r="C1193" s="58">
        <v>1</v>
      </c>
      <c r="D1193" s="58">
        <v>104</v>
      </c>
      <c r="E1193" s="59">
        <v>594.46990000000005</v>
      </c>
    </row>
    <row r="1194" spans="1:5" ht="15" x14ac:dyDescent="0.35">
      <c r="A1194" s="58" t="s">
        <v>304</v>
      </c>
      <c r="B1194" s="58" t="s">
        <v>180</v>
      </c>
      <c r="C1194" s="58">
        <v>2</v>
      </c>
      <c r="D1194" s="58">
        <v>105</v>
      </c>
      <c r="E1194" s="59">
        <v>594.46990000000005</v>
      </c>
    </row>
    <row r="1195" spans="1:5" ht="15" x14ac:dyDescent="0.35">
      <c r="A1195" s="58" t="s">
        <v>304</v>
      </c>
      <c r="B1195" s="58" t="s">
        <v>180</v>
      </c>
      <c r="C1195" s="58">
        <v>3</v>
      </c>
      <c r="D1195" s="58">
        <v>106</v>
      </c>
      <c r="E1195" s="59">
        <v>594.46990000000005</v>
      </c>
    </row>
    <row r="1196" spans="1:5" ht="15" x14ac:dyDescent="0.35">
      <c r="A1196" s="58" t="s">
        <v>304</v>
      </c>
      <c r="B1196" s="58" t="s">
        <v>180</v>
      </c>
      <c r="C1196" s="58">
        <v>4</v>
      </c>
      <c r="D1196" s="58">
        <v>107</v>
      </c>
      <c r="E1196" s="59">
        <v>594.46990000000005</v>
      </c>
    </row>
    <row r="1197" spans="1:5" ht="15" x14ac:dyDescent="0.35">
      <c r="A1197" s="58" t="s">
        <v>304</v>
      </c>
      <c r="B1197" s="58" t="s">
        <v>180</v>
      </c>
      <c r="C1197" s="58">
        <v>5</v>
      </c>
      <c r="D1197" s="58">
        <v>108</v>
      </c>
      <c r="E1197" s="59">
        <v>594.46990000000005</v>
      </c>
    </row>
    <row r="1198" spans="1:5" ht="15" x14ac:dyDescent="0.35">
      <c r="A1198" s="58" t="s">
        <v>304</v>
      </c>
      <c r="B1198" s="58" t="s">
        <v>180</v>
      </c>
      <c r="C1198" s="58">
        <v>6</v>
      </c>
      <c r="D1198" s="58">
        <v>109</v>
      </c>
      <c r="E1198" s="59">
        <v>594.46990000000005</v>
      </c>
    </row>
    <row r="1199" spans="1:5" ht="15" x14ac:dyDescent="0.35">
      <c r="A1199" s="58" t="s">
        <v>304</v>
      </c>
      <c r="B1199" s="58" t="s">
        <v>180</v>
      </c>
      <c r="C1199" s="58">
        <v>7</v>
      </c>
      <c r="D1199" s="58">
        <v>110</v>
      </c>
      <c r="E1199" s="59">
        <v>594.46990000000005</v>
      </c>
    </row>
    <row r="1200" spans="1:5" ht="15" x14ac:dyDescent="0.35">
      <c r="A1200" s="58" t="s">
        <v>304</v>
      </c>
      <c r="B1200" s="58" t="s">
        <v>180</v>
      </c>
      <c r="C1200" s="58">
        <v>8</v>
      </c>
      <c r="D1200" s="58">
        <v>111</v>
      </c>
      <c r="E1200" s="59">
        <v>594.46990000000005</v>
      </c>
    </row>
    <row r="1201" spans="1:5" ht="15" x14ac:dyDescent="0.35">
      <c r="A1201" s="58" t="s">
        <v>304</v>
      </c>
      <c r="B1201" s="58" t="s">
        <v>180</v>
      </c>
      <c r="C1201" s="58">
        <v>9</v>
      </c>
      <c r="D1201" s="58">
        <v>112</v>
      </c>
      <c r="E1201" s="59">
        <v>594.46990000000005</v>
      </c>
    </row>
    <row r="1202" spans="1:5" ht="15" x14ac:dyDescent="0.35">
      <c r="A1202" s="58" t="s">
        <v>304</v>
      </c>
      <c r="B1202" s="58" t="s">
        <v>180</v>
      </c>
      <c r="C1202" s="58">
        <v>10</v>
      </c>
      <c r="D1202" s="58">
        <v>113</v>
      </c>
      <c r="E1202" s="59">
        <v>594.46990000000005</v>
      </c>
    </row>
    <row r="1203" spans="1:5" ht="15" x14ac:dyDescent="0.35">
      <c r="A1203" s="58" t="s">
        <v>304</v>
      </c>
      <c r="B1203" s="58" t="s">
        <v>180</v>
      </c>
      <c r="C1203" s="58">
        <v>11</v>
      </c>
      <c r="D1203" s="58">
        <v>114</v>
      </c>
      <c r="E1203" s="59">
        <v>594.46990000000005</v>
      </c>
    </row>
    <row r="1204" spans="1:5" ht="15" x14ac:dyDescent="0.35">
      <c r="A1204" s="58" t="s">
        <v>304</v>
      </c>
      <c r="B1204" s="58" t="s">
        <v>180</v>
      </c>
      <c r="C1204" s="58">
        <v>12</v>
      </c>
      <c r="D1204" s="58">
        <v>115</v>
      </c>
      <c r="E1204" s="59">
        <v>594.46990000000005</v>
      </c>
    </row>
    <row r="1205" spans="1:5" ht="15" x14ac:dyDescent="0.35">
      <c r="A1205" s="58" t="s">
        <v>378</v>
      </c>
      <c r="B1205" s="58" t="s">
        <v>182</v>
      </c>
      <c r="C1205" s="58">
        <v>1</v>
      </c>
      <c r="D1205" s="58">
        <v>104</v>
      </c>
      <c r="E1205" s="59">
        <v>38.161200000000001</v>
      </c>
    </row>
    <row r="1206" spans="1:5" ht="15" x14ac:dyDescent="0.35">
      <c r="A1206" s="58" t="s">
        <v>378</v>
      </c>
      <c r="B1206" s="58" t="s">
        <v>182</v>
      </c>
      <c r="C1206" s="58">
        <v>2</v>
      </c>
      <c r="D1206" s="58">
        <v>105</v>
      </c>
      <c r="E1206" s="59">
        <v>44.872300000000003</v>
      </c>
    </row>
    <row r="1207" spans="1:5" ht="15" x14ac:dyDescent="0.35">
      <c r="A1207" s="58" t="s">
        <v>378</v>
      </c>
      <c r="B1207" s="58" t="s">
        <v>182</v>
      </c>
      <c r="C1207" s="58">
        <v>3</v>
      </c>
      <c r="D1207" s="58">
        <v>106</v>
      </c>
      <c r="E1207" s="59">
        <v>47.272300000000001</v>
      </c>
    </row>
    <row r="1208" spans="1:5" ht="15" x14ac:dyDescent="0.35">
      <c r="A1208" s="58" t="s">
        <v>378</v>
      </c>
      <c r="B1208" s="58" t="s">
        <v>182</v>
      </c>
      <c r="C1208" s="58">
        <v>4</v>
      </c>
      <c r="D1208" s="58">
        <v>107</v>
      </c>
      <c r="E1208" s="59">
        <v>49.415199999999999</v>
      </c>
    </row>
    <row r="1209" spans="1:5" ht="15" x14ac:dyDescent="0.35">
      <c r="A1209" s="58" t="s">
        <v>378</v>
      </c>
      <c r="B1209" s="58" t="s">
        <v>182</v>
      </c>
      <c r="C1209" s="58">
        <v>5</v>
      </c>
      <c r="D1209" s="58">
        <v>108</v>
      </c>
      <c r="E1209" s="59">
        <v>64.897300000000001</v>
      </c>
    </row>
    <row r="1210" spans="1:5" ht="15" x14ac:dyDescent="0.35">
      <c r="A1210" s="58" t="s">
        <v>378</v>
      </c>
      <c r="B1210" s="58" t="s">
        <v>182</v>
      </c>
      <c r="C1210" s="58">
        <v>6</v>
      </c>
      <c r="D1210" s="58">
        <v>109</v>
      </c>
      <c r="E1210" s="59">
        <v>71.0501</v>
      </c>
    </row>
    <row r="1211" spans="1:5" ht="15" x14ac:dyDescent="0.35">
      <c r="A1211" s="58" t="s">
        <v>378</v>
      </c>
      <c r="B1211" s="58" t="s">
        <v>182</v>
      </c>
      <c r="C1211" s="58">
        <v>7</v>
      </c>
      <c r="D1211" s="58">
        <v>110</v>
      </c>
      <c r="E1211" s="59">
        <v>72.161199999999994</v>
      </c>
    </row>
    <row r="1212" spans="1:5" ht="15" x14ac:dyDescent="0.35">
      <c r="A1212" s="58" t="s">
        <v>378</v>
      </c>
      <c r="B1212" s="58" t="s">
        <v>182</v>
      </c>
      <c r="C1212" s="58">
        <v>8</v>
      </c>
      <c r="D1212" s="58">
        <v>111</v>
      </c>
      <c r="E1212" s="59">
        <v>74.605599999999995</v>
      </c>
    </row>
    <row r="1213" spans="1:5" ht="15" x14ac:dyDescent="0.35">
      <c r="A1213" s="58" t="s">
        <v>378</v>
      </c>
      <c r="B1213" s="58" t="s">
        <v>182</v>
      </c>
      <c r="C1213" s="58">
        <v>9</v>
      </c>
      <c r="D1213" s="58">
        <v>112</v>
      </c>
      <c r="E1213" s="59">
        <v>67.716700000000003</v>
      </c>
    </row>
    <row r="1214" spans="1:5" ht="15" x14ac:dyDescent="0.35">
      <c r="A1214" s="58" t="s">
        <v>378</v>
      </c>
      <c r="B1214" s="58" t="s">
        <v>182</v>
      </c>
      <c r="C1214" s="58">
        <v>10</v>
      </c>
      <c r="D1214" s="58">
        <v>113</v>
      </c>
      <c r="E1214" s="59">
        <v>75.383399999999995</v>
      </c>
    </row>
    <row r="1215" spans="1:5" ht="15" x14ac:dyDescent="0.35">
      <c r="A1215" s="58" t="s">
        <v>378</v>
      </c>
      <c r="B1215" s="58" t="s">
        <v>182</v>
      </c>
      <c r="C1215" s="58">
        <v>11</v>
      </c>
      <c r="D1215" s="58">
        <v>114</v>
      </c>
      <c r="E1215" s="59">
        <v>73.716700000000003</v>
      </c>
    </row>
    <row r="1216" spans="1:5" ht="15" x14ac:dyDescent="0.35">
      <c r="A1216" s="58" t="s">
        <v>378</v>
      </c>
      <c r="B1216" s="58" t="s">
        <v>182</v>
      </c>
      <c r="C1216" s="58">
        <v>12</v>
      </c>
      <c r="D1216" s="58">
        <v>115</v>
      </c>
      <c r="E1216" s="59">
        <v>73.161199999999994</v>
      </c>
    </row>
    <row r="1217" spans="1:5" ht="15" x14ac:dyDescent="0.35">
      <c r="A1217" s="58" t="s">
        <v>378</v>
      </c>
      <c r="B1217" s="58" t="s">
        <v>176</v>
      </c>
      <c r="C1217" s="58">
        <v>1</v>
      </c>
      <c r="D1217" s="58">
        <v>104</v>
      </c>
      <c r="E1217" s="59">
        <v>23.875</v>
      </c>
    </row>
    <row r="1218" spans="1:5" ht="15" x14ac:dyDescent="0.35">
      <c r="A1218" s="58" t="s">
        <v>378</v>
      </c>
      <c r="B1218" s="58" t="s">
        <v>176</v>
      </c>
      <c r="C1218" s="58">
        <v>2</v>
      </c>
      <c r="D1218" s="58">
        <v>105</v>
      </c>
      <c r="E1218" s="59">
        <v>23.875</v>
      </c>
    </row>
    <row r="1219" spans="1:5" ht="15" x14ac:dyDescent="0.35">
      <c r="A1219" s="58" t="s">
        <v>378</v>
      </c>
      <c r="B1219" s="58" t="s">
        <v>176</v>
      </c>
      <c r="C1219" s="58">
        <v>3</v>
      </c>
      <c r="D1219" s="58">
        <v>106</v>
      </c>
      <c r="E1219" s="59">
        <v>23.875</v>
      </c>
    </row>
    <row r="1220" spans="1:5" ht="15" x14ac:dyDescent="0.35">
      <c r="A1220" s="58" t="s">
        <v>378</v>
      </c>
      <c r="B1220" s="58" t="s">
        <v>176</v>
      </c>
      <c r="C1220" s="58">
        <v>4</v>
      </c>
      <c r="D1220" s="58">
        <v>107</v>
      </c>
      <c r="E1220" s="59">
        <v>23.875</v>
      </c>
    </row>
    <row r="1221" spans="1:5" ht="15" x14ac:dyDescent="0.35">
      <c r="A1221" s="58" t="s">
        <v>378</v>
      </c>
      <c r="B1221" s="58" t="s">
        <v>176</v>
      </c>
      <c r="C1221" s="58">
        <v>5</v>
      </c>
      <c r="D1221" s="58">
        <v>108</v>
      </c>
      <c r="E1221" s="59">
        <v>23.875</v>
      </c>
    </row>
    <row r="1222" spans="1:5" ht="15" x14ac:dyDescent="0.35">
      <c r="A1222" s="58" t="s">
        <v>378</v>
      </c>
      <c r="B1222" s="58" t="s">
        <v>176</v>
      </c>
      <c r="C1222" s="58">
        <v>6</v>
      </c>
      <c r="D1222" s="58">
        <v>109</v>
      </c>
      <c r="E1222" s="59">
        <v>23.875</v>
      </c>
    </row>
    <row r="1223" spans="1:5" ht="15" x14ac:dyDescent="0.35">
      <c r="A1223" s="58" t="s">
        <v>378</v>
      </c>
      <c r="B1223" s="58" t="s">
        <v>176</v>
      </c>
      <c r="C1223" s="58">
        <v>7</v>
      </c>
      <c r="D1223" s="58">
        <v>110</v>
      </c>
      <c r="E1223" s="59">
        <v>23.875</v>
      </c>
    </row>
    <row r="1224" spans="1:5" ht="15" x14ac:dyDescent="0.35">
      <c r="A1224" s="58" t="s">
        <v>378</v>
      </c>
      <c r="B1224" s="58" t="s">
        <v>176</v>
      </c>
      <c r="C1224" s="58">
        <v>8</v>
      </c>
      <c r="D1224" s="58">
        <v>111</v>
      </c>
      <c r="E1224" s="59">
        <v>23.875</v>
      </c>
    </row>
    <row r="1225" spans="1:5" ht="15" x14ac:dyDescent="0.35">
      <c r="A1225" s="58" t="s">
        <v>378</v>
      </c>
      <c r="B1225" s="58" t="s">
        <v>176</v>
      </c>
      <c r="C1225" s="58">
        <v>9</v>
      </c>
      <c r="D1225" s="58">
        <v>112</v>
      </c>
      <c r="E1225" s="59">
        <v>23.875</v>
      </c>
    </row>
    <row r="1226" spans="1:5" ht="15" x14ac:dyDescent="0.35">
      <c r="A1226" s="58" t="s">
        <v>378</v>
      </c>
      <c r="B1226" s="58" t="s">
        <v>176</v>
      </c>
      <c r="C1226" s="58">
        <v>10</v>
      </c>
      <c r="D1226" s="58">
        <v>113</v>
      </c>
      <c r="E1226" s="59">
        <v>23.875</v>
      </c>
    </row>
    <row r="1227" spans="1:5" ht="15" x14ac:dyDescent="0.35">
      <c r="A1227" s="58" t="s">
        <v>378</v>
      </c>
      <c r="B1227" s="58" t="s">
        <v>176</v>
      </c>
      <c r="C1227" s="58">
        <v>11</v>
      </c>
      <c r="D1227" s="58">
        <v>114</v>
      </c>
      <c r="E1227" s="59">
        <v>23.875</v>
      </c>
    </row>
    <row r="1228" spans="1:5" ht="15" x14ac:dyDescent="0.35">
      <c r="A1228" s="58" t="s">
        <v>378</v>
      </c>
      <c r="B1228" s="58" t="s">
        <v>176</v>
      </c>
      <c r="C1228" s="58">
        <v>12</v>
      </c>
      <c r="D1228" s="58">
        <v>115</v>
      </c>
      <c r="E1228" s="59">
        <v>23.875</v>
      </c>
    </row>
    <row r="1229" spans="1:5" ht="15" x14ac:dyDescent="0.35">
      <c r="A1229" s="58" t="s">
        <v>378</v>
      </c>
      <c r="B1229" s="58" t="s">
        <v>172</v>
      </c>
      <c r="C1229" s="58">
        <v>1</v>
      </c>
      <c r="D1229" s="58">
        <v>104</v>
      </c>
      <c r="E1229" s="59">
        <v>44</v>
      </c>
    </row>
    <row r="1230" spans="1:5" ht="15" x14ac:dyDescent="0.35">
      <c r="A1230" s="58" t="s">
        <v>378</v>
      </c>
      <c r="B1230" s="58" t="s">
        <v>172</v>
      </c>
      <c r="C1230" s="58">
        <v>2</v>
      </c>
      <c r="D1230" s="58">
        <v>105</v>
      </c>
      <c r="E1230" s="59">
        <v>44</v>
      </c>
    </row>
    <row r="1231" spans="1:5" ht="15" x14ac:dyDescent="0.35">
      <c r="A1231" s="58" t="s">
        <v>378</v>
      </c>
      <c r="B1231" s="58" t="s">
        <v>172</v>
      </c>
      <c r="C1231" s="58">
        <v>3</v>
      </c>
      <c r="D1231" s="58">
        <v>106</v>
      </c>
      <c r="E1231" s="59">
        <v>44</v>
      </c>
    </row>
    <row r="1232" spans="1:5" ht="15" x14ac:dyDescent="0.35">
      <c r="A1232" s="58" t="s">
        <v>378</v>
      </c>
      <c r="B1232" s="58" t="s">
        <v>172</v>
      </c>
      <c r="C1232" s="58">
        <v>4</v>
      </c>
      <c r="D1232" s="58">
        <v>107</v>
      </c>
      <c r="E1232" s="59">
        <v>44</v>
      </c>
    </row>
    <row r="1233" spans="1:5" ht="15" x14ac:dyDescent="0.35">
      <c r="A1233" s="58" t="s">
        <v>378</v>
      </c>
      <c r="B1233" s="58" t="s">
        <v>172</v>
      </c>
      <c r="C1233" s="58">
        <v>5</v>
      </c>
      <c r="D1233" s="58">
        <v>108</v>
      </c>
      <c r="E1233" s="59">
        <v>44</v>
      </c>
    </row>
    <row r="1234" spans="1:5" ht="15" x14ac:dyDescent="0.35">
      <c r="A1234" s="58" t="s">
        <v>378</v>
      </c>
      <c r="B1234" s="58" t="s">
        <v>172</v>
      </c>
      <c r="C1234" s="58">
        <v>6</v>
      </c>
      <c r="D1234" s="58">
        <v>109</v>
      </c>
      <c r="E1234" s="59">
        <v>44</v>
      </c>
    </row>
    <row r="1235" spans="1:5" ht="15" x14ac:dyDescent="0.35">
      <c r="A1235" s="58" t="s">
        <v>378</v>
      </c>
      <c r="B1235" s="58" t="s">
        <v>172</v>
      </c>
      <c r="C1235" s="58">
        <v>7</v>
      </c>
      <c r="D1235" s="58">
        <v>110</v>
      </c>
      <c r="E1235" s="59">
        <v>44</v>
      </c>
    </row>
    <row r="1236" spans="1:5" ht="15" x14ac:dyDescent="0.35">
      <c r="A1236" s="58" t="s">
        <v>378</v>
      </c>
      <c r="B1236" s="58" t="s">
        <v>172</v>
      </c>
      <c r="C1236" s="58">
        <v>8</v>
      </c>
      <c r="D1236" s="58">
        <v>111</v>
      </c>
      <c r="E1236" s="59">
        <v>44</v>
      </c>
    </row>
    <row r="1237" spans="1:5" ht="15" x14ac:dyDescent="0.35">
      <c r="A1237" s="58" t="s">
        <v>378</v>
      </c>
      <c r="B1237" s="58" t="s">
        <v>172</v>
      </c>
      <c r="C1237" s="58">
        <v>9</v>
      </c>
      <c r="D1237" s="58">
        <v>112</v>
      </c>
      <c r="E1237" s="59">
        <v>44</v>
      </c>
    </row>
    <row r="1238" spans="1:5" ht="15" x14ac:dyDescent="0.35">
      <c r="A1238" s="58" t="s">
        <v>378</v>
      </c>
      <c r="B1238" s="58" t="s">
        <v>172</v>
      </c>
      <c r="C1238" s="58">
        <v>10</v>
      </c>
      <c r="D1238" s="58">
        <v>113</v>
      </c>
      <c r="E1238" s="59">
        <v>44</v>
      </c>
    </row>
    <row r="1239" spans="1:5" ht="15" x14ac:dyDescent="0.35">
      <c r="A1239" s="58" t="s">
        <v>378</v>
      </c>
      <c r="B1239" s="58" t="s">
        <v>172</v>
      </c>
      <c r="C1239" s="58">
        <v>11</v>
      </c>
      <c r="D1239" s="58">
        <v>114</v>
      </c>
      <c r="E1239" s="59">
        <v>44</v>
      </c>
    </row>
    <row r="1240" spans="1:5" ht="15" x14ac:dyDescent="0.35">
      <c r="A1240" s="58" t="s">
        <v>378</v>
      </c>
      <c r="B1240" s="58" t="s">
        <v>172</v>
      </c>
      <c r="C1240" s="58">
        <v>12</v>
      </c>
      <c r="D1240" s="58">
        <v>115</v>
      </c>
      <c r="E1240" s="59">
        <v>44</v>
      </c>
    </row>
    <row r="1241" spans="1:5" ht="15" x14ac:dyDescent="0.35">
      <c r="A1241" s="58" t="s">
        <v>378</v>
      </c>
      <c r="B1241" s="58" t="s">
        <v>180</v>
      </c>
      <c r="C1241" s="58">
        <v>1</v>
      </c>
      <c r="D1241" s="58">
        <v>104</v>
      </c>
      <c r="E1241" s="59">
        <v>32.283499999999997</v>
      </c>
    </row>
    <row r="1242" spans="1:5" ht="15" x14ac:dyDescent="0.35">
      <c r="A1242" s="58" t="s">
        <v>378</v>
      </c>
      <c r="B1242" s="58" t="s">
        <v>180</v>
      </c>
      <c r="C1242" s="58">
        <v>2</v>
      </c>
      <c r="D1242" s="58">
        <v>105</v>
      </c>
      <c r="E1242" s="59">
        <v>32.283499999999997</v>
      </c>
    </row>
    <row r="1243" spans="1:5" ht="15" x14ac:dyDescent="0.35">
      <c r="A1243" s="58" t="s">
        <v>378</v>
      </c>
      <c r="B1243" s="58" t="s">
        <v>180</v>
      </c>
      <c r="C1243" s="58">
        <v>3</v>
      </c>
      <c r="D1243" s="58">
        <v>106</v>
      </c>
      <c r="E1243" s="59">
        <v>32.283499999999997</v>
      </c>
    </row>
    <row r="1244" spans="1:5" ht="15" x14ac:dyDescent="0.35">
      <c r="A1244" s="58" t="s">
        <v>378</v>
      </c>
      <c r="B1244" s="58" t="s">
        <v>180</v>
      </c>
      <c r="C1244" s="58">
        <v>4</v>
      </c>
      <c r="D1244" s="58">
        <v>107</v>
      </c>
      <c r="E1244" s="59">
        <v>32.283499999999997</v>
      </c>
    </row>
    <row r="1245" spans="1:5" ht="15" x14ac:dyDescent="0.35">
      <c r="A1245" s="58" t="s">
        <v>378</v>
      </c>
      <c r="B1245" s="58" t="s">
        <v>180</v>
      </c>
      <c r="C1245" s="58">
        <v>5</v>
      </c>
      <c r="D1245" s="58">
        <v>108</v>
      </c>
      <c r="E1245" s="59">
        <v>32.283499999999997</v>
      </c>
    </row>
    <row r="1246" spans="1:5" ht="15" x14ac:dyDescent="0.35">
      <c r="A1246" s="58" t="s">
        <v>378</v>
      </c>
      <c r="B1246" s="58" t="s">
        <v>180</v>
      </c>
      <c r="C1246" s="58">
        <v>6</v>
      </c>
      <c r="D1246" s="58">
        <v>109</v>
      </c>
      <c r="E1246" s="59">
        <v>32.283499999999997</v>
      </c>
    </row>
    <row r="1247" spans="1:5" ht="15" x14ac:dyDescent="0.35">
      <c r="A1247" s="58" t="s">
        <v>378</v>
      </c>
      <c r="B1247" s="58" t="s">
        <v>180</v>
      </c>
      <c r="C1247" s="58">
        <v>7</v>
      </c>
      <c r="D1247" s="58">
        <v>110</v>
      </c>
      <c r="E1247" s="59">
        <v>32.283499999999997</v>
      </c>
    </row>
    <row r="1248" spans="1:5" ht="15" x14ac:dyDescent="0.35">
      <c r="A1248" s="58" t="s">
        <v>378</v>
      </c>
      <c r="B1248" s="58" t="s">
        <v>180</v>
      </c>
      <c r="C1248" s="58">
        <v>8</v>
      </c>
      <c r="D1248" s="58">
        <v>111</v>
      </c>
      <c r="E1248" s="59">
        <v>32.283499999999997</v>
      </c>
    </row>
    <row r="1249" spans="1:5" ht="15" x14ac:dyDescent="0.35">
      <c r="A1249" s="58" t="s">
        <v>378</v>
      </c>
      <c r="B1249" s="58" t="s">
        <v>180</v>
      </c>
      <c r="C1249" s="58">
        <v>9</v>
      </c>
      <c r="D1249" s="58">
        <v>112</v>
      </c>
      <c r="E1249" s="59">
        <v>32.283499999999997</v>
      </c>
    </row>
    <row r="1250" spans="1:5" ht="15" x14ac:dyDescent="0.35">
      <c r="A1250" s="58" t="s">
        <v>378</v>
      </c>
      <c r="B1250" s="58" t="s">
        <v>180</v>
      </c>
      <c r="C1250" s="58">
        <v>10</v>
      </c>
      <c r="D1250" s="58">
        <v>113</v>
      </c>
      <c r="E1250" s="59">
        <v>32.283499999999997</v>
      </c>
    </row>
    <row r="1251" spans="1:5" ht="15" x14ac:dyDescent="0.35">
      <c r="A1251" s="58" t="s">
        <v>378</v>
      </c>
      <c r="B1251" s="58" t="s">
        <v>180</v>
      </c>
      <c r="C1251" s="58">
        <v>11</v>
      </c>
      <c r="D1251" s="58">
        <v>114</v>
      </c>
      <c r="E1251" s="59">
        <v>32.283499999999997</v>
      </c>
    </row>
    <row r="1252" spans="1:5" ht="15" x14ac:dyDescent="0.35">
      <c r="A1252" s="58" t="s">
        <v>378</v>
      </c>
      <c r="B1252" s="58" t="s">
        <v>180</v>
      </c>
      <c r="C1252" s="58">
        <v>12</v>
      </c>
      <c r="D1252" s="58">
        <v>115</v>
      </c>
      <c r="E1252" s="59">
        <v>32.283499999999997</v>
      </c>
    </row>
    <row r="1253" spans="1:5" ht="15" x14ac:dyDescent="0.35">
      <c r="A1253" s="58" t="s">
        <v>370</v>
      </c>
      <c r="B1253" s="58" t="s">
        <v>182</v>
      </c>
      <c r="C1253" s="58">
        <v>1</v>
      </c>
      <c r="D1253" s="58">
        <v>104</v>
      </c>
      <c r="E1253" s="59">
        <v>18.982199999999999</v>
      </c>
    </row>
    <row r="1254" spans="1:5" ht="15" x14ac:dyDescent="0.35">
      <c r="A1254" s="58" t="s">
        <v>370</v>
      </c>
      <c r="B1254" s="58" t="s">
        <v>182</v>
      </c>
      <c r="C1254" s="58">
        <v>2</v>
      </c>
      <c r="D1254" s="58">
        <v>105</v>
      </c>
      <c r="E1254" s="59">
        <v>26.5822</v>
      </c>
    </row>
    <row r="1255" spans="1:5" ht="15" x14ac:dyDescent="0.35">
      <c r="A1255" s="58" t="s">
        <v>370</v>
      </c>
      <c r="B1255" s="58" t="s">
        <v>182</v>
      </c>
      <c r="C1255" s="58">
        <v>3</v>
      </c>
      <c r="D1255" s="58">
        <v>106</v>
      </c>
      <c r="E1255" s="59">
        <v>24.648800000000001</v>
      </c>
    </row>
    <row r="1256" spans="1:5" ht="15" x14ac:dyDescent="0.35">
      <c r="A1256" s="58" t="s">
        <v>370</v>
      </c>
      <c r="B1256" s="58" t="s">
        <v>182</v>
      </c>
      <c r="C1256" s="58">
        <v>4</v>
      </c>
      <c r="D1256" s="58">
        <v>107</v>
      </c>
      <c r="E1256" s="59">
        <v>25.6965</v>
      </c>
    </row>
    <row r="1257" spans="1:5" ht="15" x14ac:dyDescent="0.35">
      <c r="A1257" s="58" t="s">
        <v>370</v>
      </c>
      <c r="B1257" s="58" t="s">
        <v>182</v>
      </c>
      <c r="C1257" s="58">
        <v>5</v>
      </c>
      <c r="D1257" s="58">
        <v>108</v>
      </c>
      <c r="E1257" s="59">
        <v>23.482199999999999</v>
      </c>
    </row>
    <row r="1258" spans="1:5" ht="15" x14ac:dyDescent="0.35">
      <c r="A1258" s="58" t="s">
        <v>370</v>
      </c>
      <c r="B1258" s="58" t="s">
        <v>182</v>
      </c>
      <c r="C1258" s="58">
        <v>6</v>
      </c>
      <c r="D1258" s="58">
        <v>109</v>
      </c>
      <c r="E1258" s="59">
        <v>21.76</v>
      </c>
    </row>
    <row r="1259" spans="1:5" ht="15" x14ac:dyDescent="0.35">
      <c r="A1259" s="58" t="s">
        <v>370</v>
      </c>
      <c r="B1259" s="58" t="s">
        <v>182</v>
      </c>
      <c r="C1259" s="58">
        <v>7</v>
      </c>
      <c r="D1259" s="58">
        <v>110</v>
      </c>
      <c r="E1259" s="59">
        <v>17.426600000000001</v>
      </c>
    </row>
    <row r="1260" spans="1:5" ht="15" x14ac:dyDescent="0.35">
      <c r="A1260" s="58" t="s">
        <v>370</v>
      </c>
      <c r="B1260" s="58" t="s">
        <v>182</v>
      </c>
      <c r="C1260" s="58">
        <v>8</v>
      </c>
      <c r="D1260" s="58">
        <v>111</v>
      </c>
      <c r="E1260" s="59">
        <v>13.8711</v>
      </c>
    </row>
    <row r="1261" spans="1:5" ht="15" x14ac:dyDescent="0.35">
      <c r="A1261" s="58" t="s">
        <v>370</v>
      </c>
      <c r="B1261" s="58" t="s">
        <v>182</v>
      </c>
      <c r="C1261" s="58">
        <v>9</v>
      </c>
      <c r="D1261" s="58">
        <v>112</v>
      </c>
      <c r="E1261" s="59">
        <v>17.2044</v>
      </c>
    </row>
    <row r="1262" spans="1:5" ht="15" x14ac:dyDescent="0.35">
      <c r="A1262" s="58" t="s">
        <v>370</v>
      </c>
      <c r="B1262" s="58" t="s">
        <v>182</v>
      </c>
      <c r="C1262" s="58">
        <v>10</v>
      </c>
      <c r="D1262" s="58">
        <v>113</v>
      </c>
      <c r="E1262" s="59">
        <v>18.760000000000002</v>
      </c>
    </row>
    <row r="1263" spans="1:5" ht="15" x14ac:dyDescent="0.35">
      <c r="A1263" s="58" t="s">
        <v>370</v>
      </c>
      <c r="B1263" s="58" t="s">
        <v>182</v>
      </c>
      <c r="C1263" s="58">
        <v>11</v>
      </c>
      <c r="D1263" s="58">
        <v>114</v>
      </c>
      <c r="E1263" s="59">
        <v>17.871099999999998</v>
      </c>
    </row>
    <row r="1264" spans="1:5" ht="15" x14ac:dyDescent="0.35">
      <c r="A1264" s="58" t="s">
        <v>370</v>
      </c>
      <c r="B1264" s="58" t="s">
        <v>182</v>
      </c>
      <c r="C1264" s="58">
        <v>12</v>
      </c>
      <c r="D1264" s="58">
        <v>115</v>
      </c>
      <c r="E1264" s="59">
        <v>21.76</v>
      </c>
    </row>
    <row r="1265" spans="1:5" ht="15" x14ac:dyDescent="0.35">
      <c r="A1265" s="58" t="s">
        <v>370</v>
      </c>
      <c r="B1265" s="58" t="s">
        <v>176</v>
      </c>
      <c r="C1265" s="58">
        <v>1</v>
      </c>
      <c r="D1265" s="58">
        <v>104</v>
      </c>
      <c r="E1265" s="59">
        <v>18.625</v>
      </c>
    </row>
    <row r="1266" spans="1:5" ht="15" x14ac:dyDescent="0.35">
      <c r="A1266" s="58" t="s">
        <v>370</v>
      </c>
      <c r="B1266" s="58" t="s">
        <v>176</v>
      </c>
      <c r="C1266" s="58">
        <v>2</v>
      </c>
      <c r="D1266" s="58">
        <v>105</v>
      </c>
      <c r="E1266" s="59">
        <v>18.625</v>
      </c>
    </row>
    <row r="1267" spans="1:5" ht="15" x14ac:dyDescent="0.35">
      <c r="A1267" s="58" t="s">
        <v>370</v>
      </c>
      <c r="B1267" s="58" t="s">
        <v>176</v>
      </c>
      <c r="C1267" s="58">
        <v>3</v>
      </c>
      <c r="D1267" s="58">
        <v>106</v>
      </c>
      <c r="E1267" s="59">
        <v>18.625</v>
      </c>
    </row>
    <row r="1268" spans="1:5" ht="15" x14ac:dyDescent="0.35">
      <c r="A1268" s="58" t="s">
        <v>370</v>
      </c>
      <c r="B1268" s="58" t="s">
        <v>176</v>
      </c>
      <c r="C1268" s="58">
        <v>4</v>
      </c>
      <c r="D1268" s="58">
        <v>107</v>
      </c>
      <c r="E1268" s="59">
        <v>18.625</v>
      </c>
    </row>
    <row r="1269" spans="1:5" ht="15" x14ac:dyDescent="0.35">
      <c r="A1269" s="58" t="s">
        <v>370</v>
      </c>
      <c r="B1269" s="58" t="s">
        <v>176</v>
      </c>
      <c r="C1269" s="58">
        <v>5</v>
      </c>
      <c r="D1269" s="58">
        <v>108</v>
      </c>
      <c r="E1269" s="59">
        <v>18.625</v>
      </c>
    </row>
    <row r="1270" spans="1:5" ht="15" x14ac:dyDescent="0.35">
      <c r="A1270" s="58" t="s">
        <v>370</v>
      </c>
      <c r="B1270" s="58" t="s">
        <v>176</v>
      </c>
      <c r="C1270" s="58">
        <v>6</v>
      </c>
      <c r="D1270" s="58">
        <v>109</v>
      </c>
      <c r="E1270" s="59">
        <v>18.625</v>
      </c>
    </row>
    <row r="1271" spans="1:5" ht="15" x14ac:dyDescent="0.35">
      <c r="A1271" s="58" t="s">
        <v>370</v>
      </c>
      <c r="B1271" s="58" t="s">
        <v>176</v>
      </c>
      <c r="C1271" s="58">
        <v>7</v>
      </c>
      <c r="D1271" s="58">
        <v>110</v>
      </c>
      <c r="E1271" s="59">
        <v>18.625</v>
      </c>
    </row>
    <row r="1272" spans="1:5" ht="15" x14ac:dyDescent="0.35">
      <c r="A1272" s="58" t="s">
        <v>370</v>
      </c>
      <c r="B1272" s="58" t="s">
        <v>176</v>
      </c>
      <c r="C1272" s="58">
        <v>8</v>
      </c>
      <c r="D1272" s="58">
        <v>111</v>
      </c>
      <c r="E1272" s="59">
        <v>18.625</v>
      </c>
    </row>
    <row r="1273" spans="1:5" ht="15" x14ac:dyDescent="0.35">
      <c r="A1273" s="58" t="s">
        <v>370</v>
      </c>
      <c r="B1273" s="58" t="s">
        <v>176</v>
      </c>
      <c r="C1273" s="58">
        <v>9</v>
      </c>
      <c r="D1273" s="58">
        <v>112</v>
      </c>
      <c r="E1273" s="59">
        <v>18.625</v>
      </c>
    </row>
    <row r="1274" spans="1:5" ht="15" x14ac:dyDescent="0.35">
      <c r="A1274" s="58" t="s">
        <v>370</v>
      </c>
      <c r="B1274" s="58" t="s">
        <v>176</v>
      </c>
      <c r="C1274" s="58">
        <v>10</v>
      </c>
      <c r="D1274" s="58">
        <v>113</v>
      </c>
      <c r="E1274" s="59">
        <v>18.625</v>
      </c>
    </row>
    <row r="1275" spans="1:5" ht="15" x14ac:dyDescent="0.35">
      <c r="A1275" s="58" t="s">
        <v>370</v>
      </c>
      <c r="B1275" s="58" t="s">
        <v>176</v>
      </c>
      <c r="C1275" s="58">
        <v>11</v>
      </c>
      <c r="D1275" s="58">
        <v>114</v>
      </c>
      <c r="E1275" s="59">
        <v>18.625</v>
      </c>
    </row>
    <row r="1276" spans="1:5" ht="15" x14ac:dyDescent="0.35">
      <c r="A1276" s="58" t="s">
        <v>370</v>
      </c>
      <c r="B1276" s="58" t="s">
        <v>176</v>
      </c>
      <c r="C1276" s="58">
        <v>12</v>
      </c>
      <c r="D1276" s="58">
        <v>115</v>
      </c>
      <c r="E1276" s="59">
        <v>18.625</v>
      </c>
    </row>
    <row r="1277" spans="1:5" ht="15" x14ac:dyDescent="0.35">
      <c r="A1277" s="58" t="s">
        <v>370</v>
      </c>
      <c r="B1277" s="58" t="s">
        <v>172</v>
      </c>
      <c r="C1277" s="58">
        <v>1</v>
      </c>
      <c r="D1277" s="58">
        <v>104</v>
      </c>
      <c r="E1277" s="59">
        <v>19</v>
      </c>
    </row>
    <row r="1278" spans="1:5" ht="15" x14ac:dyDescent="0.35">
      <c r="A1278" s="58" t="s">
        <v>370</v>
      </c>
      <c r="B1278" s="58" t="s">
        <v>172</v>
      </c>
      <c r="C1278" s="58">
        <v>2</v>
      </c>
      <c r="D1278" s="58">
        <v>105</v>
      </c>
      <c r="E1278" s="59">
        <v>19</v>
      </c>
    </row>
    <row r="1279" spans="1:5" ht="15" x14ac:dyDescent="0.35">
      <c r="A1279" s="58" t="s">
        <v>370</v>
      </c>
      <c r="B1279" s="58" t="s">
        <v>172</v>
      </c>
      <c r="C1279" s="58">
        <v>3</v>
      </c>
      <c r="D1279" s="58">
        <v>106</v>
      </c>
      <c r="E1279" s="59">
        <v>19</v>
      </c>
    </row>
    <row r="1280" spans="1:5" ht="15" x14ac:dyDescent="0.35">
      <c r="A1280" s="58" t="s">
        <v>370</v>
      </c>
      <c r="B1280" s="58" t="s">
        <v>172</v>
      </c>
      <c r="C1280" s="58">
        <v>4</v>
      </c>
      <c r="D1280" s="58">
        <v>107</v>
      </c>
      <c r="E1280" s="59">
        <v>19</v>
      </c>
    </row>
    <row r="1281" spans="1:5" ht="15" x14ac:dyDescent="0.35">
      <c r="A1281" s="58" t="s">
        <v>370</v>
      </c>
      <c r="B1281" s="58" t="s">
        <v>172</v>
      </c>
      <c r="C1281" s="58">
        <v>5</v>
      </c>
      <c r="D1281" s="58">
        <v>108</v>
      </c>
      <c r="E1281" s="59">
        <v>19</v>
      </c>
    </row>
    <row r="1282" spans="1:5" ht="15" x14ac:dyDescent="0.35">
      <c r="A1282" s="58" t="s">
        <v>370</v>
      </c>
      <c r="B1282" s="58" t="s">
        <v>172</v>
      </c>
      <c r="C1282" s="58">
        <v>6</v>
      </c>
      <c r="D1282" s="58">
        <v>109</v>
      </c>
      <c r="E1282" s="59">
        <v>19</v>
      </c>
    </row>
    <row r="1283" spans="1:5" ht="15" x14ac:dyDescent="0.35">
      <c r="A1283" s="58" t="s">
        <v>370</v>
      </c>
      <c r="B1283" s="58" t="s">
        <v>172</v>
      </c>
      <c r="C1283" s="58">
        <v>7</v>
      </c>
      <c r="D1283" s="58">
        <v>110</v>
      </c>
      <c r="E1283" s="59">
        <v>19</v>
      </c>
    </row>
    <row r="1284" spans="1:5" ht="15" x14ac:dyDescent="0.35">
      <c r="A1284" s="58" t="s">
        <v>370</v>
      </c>
      <c r="B1284" s="58" t="s">
        <v>172</v>
      </c>
      <c r="C1284" s="58">
        <v>8</v>
      </c>
      <c r="D1284" s="58">
        <v>111</v>
      </c>
      <c r="E1284" s="59">
        <v>19</v>
      </c>
    </row>
    <row r="1285" spans="1:5" ht="15" x14ac:dyDescent="0.35">
      <c r="A1285" s="58" t="s">
        <v>370</v>
      </c>
      <c r="B1285" s="58" t="s">
        <v>172</v>
      </c>
      <c r="C1285" s="58">
        <v>9</v>
      </c>
      <c r="D1285" s="58">
        <v>112</v>
      </c>
      <c r="E1285" s="59">
        <v>19</v>
      </c>
    </row>
    <row r="1286" spans="1:5" ht="15" x14ac:dyDescent="0.35">
      <c r="A1286" s="58" t="s">
        <v>370</v>
      </c>
      <c r="B1286" s="58" t="s">
        <v>172</v>
      </c>
      <c r="C1286" s="58">
        <v>10</v>
      </c>
      <c r="D1286" s="58">
        <v>113</v>
      </c>
      <c r="E1286" s="59">
        <v>19</v>
      </c>
    </row>
    <row r="1287" spans="1:5" ht="15" x14ac:dyDescent="0.35">
      <c r="A1287" s="58" t="s">
        <v>370</v>
      </c>
      <c r="B1287" s="58" t="s">
        <v>172</v>
      </c>
      <c r="C1287" s="58">
        <v>11</v>
      </c>
      <c r="D1287" s="58">
        <v>114</v>
      </c>
      <c r="E1287" s="59">
        <v>19</v>
      </c>
    </row>
    <row r="1288" spans="1:5" ht="15" x14ac:dyDescent="0.35">
      <c r="A1288" s="58" t="s">
        <v>370</v>
      </c>
      <c r="B1288" s="58" t="s">
        <v>172</v>
      </c>
      <c r="C1288" s="58">
        <v>12</v>
      </c>
      <c r="D1288" s="58">
        <v>115</v>
      </c>
      <c r="E1288" s="59">
        <v>19</v>
      </c>
    </row>
    <row r="1289" spans="1:5" ht="15" x14ac:dyDescent="0.35">
      <c r="A1289" s="58" t="s">
        <v>370</v>
      </c>
      <c r="B1289" s="58" t="s">
        <v>180</v>
      </c>
      <c r="C1289" s="58">
        <v>1</v>
      </c>
      <c r="D1289" s="58">
        <v>104</v>
      </c>
      <c r="E1289" s="59">
        <v>19.334299999999999</v>
      </c>
    </row>
    <row r="1290" spans="1:5" ht="15" x14ac:dyDescent="0.35">
      <c r="A1290" s="58" t="s">
        <v>370</v>
      </c>
      <c r="B1290" s="58" t="s">
        <v>180</v>
      </c>
      <c r="C1290" s="58">
        <v>2</v>
      </c>
      <c r="D1290" s="58">
        <v>105</v>
      </c>
      <c r="E1290" s="59">
        <v>19.334299999999999</v>
      </c>
    </row>
    <row r="1291" spans="1:5" ht="15" x14ac:dyDescent="0.35">
      <c r="A1291" s="58" t="s">
        <v>370</v>
      </c>
      <c r="B1291" s="58" t="s">
        <v>180</v>
      </c>
      <c r="C1291" s="58">
        <v>3</v>
      </c>
      <c r="D1291" s="58">
        <v>106</v>
      </c>
      <c r="E1291" s="59">
        <v>19.334299999999999</v>
      </c>
    </row>
    <row r="1292" spans="1:5" ht="15" x14ac:dyDescent="0.35">
      <c r="A1292" s="58" t="s">
        <v>370</v>
      </c>
      <c r="B1292" s="58" t="s">
        <v>180</v>
      </c>
      <c r="C1292" s="58">
        <v>4</v>
      </c>
      <c r="D1292" s="58">
        <v>107</v>
      </c>
      <c r="E1292" s="59">
        <v>19.334299999999999</v>
      </c>
    </row>
    <row r="1293" spans="1:5" ht="15" x14ac:dyDescent="0.35">
      <c r="A1293" s="58" t="s">
        <v>370</v>
      </c>
      <c r="B1293" s="58" t="s">
        <v>180</v>
      </c>
      <c r="C1293" s="58">
        <v>5</v>
      </c>
      <c r="D1293" s="58">
        <v>108</v>
      </c>
      <c r="E1293" s="59">
        <v>19.334299999999999</v>
      </c>
    </row>
    <row r="1294" spans="1:5" ht="15" x14ac:dyDescent="0.35">
      <c r="A1294" s="58" t="s">
        <v>370</v>
      </c>
      <c r="B1294" s="58" t="s">
        <v>180</v>
      </c>
      <c r="C1294" s="58">
        <v>6</v>
      </c>
      <c r="D1294" s="58">
        <v>109</v>
      </c>
      <c r="E1294" s="59">
        <v>19.334299999999999</v>
      </c>
    </row>
    <row r="1295" spans="1:5" ht="15" x14ac:dyDescent="0.35">
      <c r="A1295" s="58" t="s">
        <v>370</v>
      </c>
      <c r="B1295" s="58" t="s">
        <v>180</v>
      </c>
      <c r="C1295" s="58">
        <v>7</v>
      </c>
      <c r="D1295" s="58">
        <v>110</v>
      </c>
      <c r="E1295" s="59">
        <v>19.334299999999999</v>
      </c>
    </row>
    <row r="1296" spans="1:5" ht="15" x14ac:dyDescent="0.35">
      <c r="A1296" s="58" t="s">
        <v>370</v>
      </c>
      <c r="B1296" s="58" t="s">
        <v>180</v>
      </c>
      <c r="C1296" s="58">
        <v>8</v>
      </c>
      <c r="D1296" s="58">
        <v>111</v>
      </c>
      <c r="E1296" s="59">
        <v>19.334299999999999</v>
      </c>
    </row>
    <row r="1297" spans="1:5" ht="15" x14ac:dyDescent="0.35">
      <c r="A1297" s="58" t="s">
        <v>370</v>
      </c>
      <c r="B1297" s="58" t="s">
        <v>180</v>
      </c>
      <c r="C1297" s="58">
        <v>9</v>
      </c>
      <c r="D1297" s="58">
        <v>112</v>
      </c>
      <c r="E1297" s="59">
        <v>19.334299999999999</v>
      </c>
    </row>
    <row r="1298" spans="1:5" ht="15" x14ac:dyDescent="0.35">
      <c r="A1298" s="58" t="s">
        <v>370</v>
      </c>
      <c r="B1298" s="58" t="s">
        <v>180</v>
      </c>
      <c r="C1298" s="58">
        <v>10</v>
      </c>
      <c r="D1298" s="58">
        <v>113</v>
      </c>
      <c r="E1298" s="59">
        <v>19.334299999999999</v>
      </c>
    </row>
    <row r="1299" spans="1:5" ht="15" x14ac:dyDescent="0.35">
      <c r="A1299" s="58" t="s">
        <v>370</v>
      </c>
      <c r="B1299" s="58" t="s">
        <v>180</v>
      </c>
      <c r="C1299" s="58">
        <v>11</v>
      </c>
      <c r="D1299" s="58">
        <v>114</v>
      </c>
      <c r="E1299" s="59">
        <v>19.334299999999999</v>
      </c>
    </row>
    <row r="1300" spans="1:5" ht="15" x14ac:dyDescent="0.35">
      <c r="A1300" s="58" t="s">
        <v>370</v>
      </c>
      <c r="B1300" s="58" t="s">
        <v>180</v>
      </c>
      <c r="C1300" s="58">
        <v>12</v>
      </c>
      <c r="D1300" s="58">
        <v>115</v>
      </c>
      <c r="E1300" s="59">
        <v>19.334299999999999</v>
      </c>
    </row>
    <row r="1301" spans="1:5" ht="15" x14ac:dyDescent="0.35">
      <c r="A1301" s="58" t="s">
        <v>336</v>
      </c>
      <c r="B1301" s="58" t="s">
        <v>182</v>
      </c>
      <c r="C1301" s="58">
        <v>1</v>
      </c>
      <c r="D1301" s="58">
        <v>104</v>
      </c>
      <c r="E1301" s="59">
        <v>225.2791</v>
      </c>
    </row>
    <row r="1302" spans="1:5" ht="15" x14ac:dyDescent="0.35">
      <c r="A1302" s="58" t="s">
        <v>336</v>
      </c>
      <c r="B1302" s="58" t="s">
        <v>182</v>
      </c>
      <c r="C1302" s="58">
        <v>2</v>
      </c>
      <c r="D1302" s="58">
        <v>105</v>
      </c>
      <c r="E1302" s="59">
        <v>369.61239999999998</v>
      </c>
    </row>
    <row r="1303" spans="1:5" ht="15" x14ac:dyDescent="0.35">
      <c r="A1303" s="58" t="s">
        <v>336</v>
      </c>
      <c r="B1303" s="58" t="s">
        <v>182</v>
      </c>
      <c r="C1303" s="58">
        <v>3</v>
      </c>
      <c r="D1303" s="58">
        <v>106</v>
      </c>
      <c r="E1303" s="59">
        <v>343.27910000000003</v>
      </c>
    </row>
    <row r="1304" spans="1:5" ht="15" x14ac:dyDescent="0.35">
      <c r="A1304" s="58" t="s">
        <v>336</v>
      </c>
      <c r="B1304" s="58" t="s">
        <v>182</v>
      </c>
      <c r="C1304" s="58">
        <v>4</v>
      </c>
      <c r="D1304" s="58">
        <v>107</v>
      </c>
      <c r="E1304" s="59">
        <v>325.61239999999998</v>
      </c>
    </row>
    <row r="1305" spans="1:5" ht="15" x14ac:dyDescent="0.35">
      <c r="A1305" s="58" t="s">
        <v>336</v>
      </c>
      <c r="B1305" s="58" t="s">
        <v>182</v>
      </c>
      <c r="C1305" s="58">
        <v>5</v>
      </c>
      <c r="D1305" s="58">
        <v>108</v>
      </c>
      <c r="E1305" s="59">
        <v>309.36239999999998</v>
      </c>
    </row>
    <row r="1306" spans="1:5" ht="15" x14ac:dyDescent="0.35">
      <c r="A1306" s="58" t="s">
        <v>336</v>
      </c>
      <c r="B1306" s="58" t="s">
        <v>182</v>
      </c>
      <c r="C1306" s="58">
        <v>6</v>
      </c>
      <c r="D1306" s="58">
        <v>109</v>
      </c>
      <c r="E1306" s="59">
        <v>289.50130000000001</v>
      </c>
    </row>
    <row r="1307" spans="1:5" ht="15" x14ac:dyDescent="0.35">
      <c r="A1307" s="58" t="s">
        <v>336</v>
      </c>
      <c r="B1307" s="58" t="s">
        <v>182</v>
      </c>
      <c r="C1307" s="58">
        <v>7</v>
      </c>
      <c r="D1307" s="58">
        <v>110</v>
      </c>
      <c r="E1307" s="59">
        <v>213.05690000000001</v>
      </c>
    </row>
    <row r="1308" spans="1:5" ht="15" x14ac:dyDescent="0.35">
      <c r="A1308" s="58" t="s">
        <v>336</v>
      </c>
      <c r="B1308" s="58" t="s">
        <v>182</v>
      </c>
      <c r="C1308" s="58">
        <v>8</v>
      </c>
      <c r="D1308" s="58">
        <v>111</v>
      </c>
      <c r="E1308" s="59">
        <v>85.723600000000005</v>
      </c>
    </row>
    <row r="1309" spans="1:5" ht="15" x14ac:dyDescent="0.35">
      <c r="A1309" s="58" t="s">
        <v>336</v>
      </c>
      <c r="B1309" s="58" t="s">
        <v>182</v>
      </c>
      <c r="C1309" s="58">
        <v>9</v>
      </c>
      <c r="D1309" s="58">
        <v>112</v>
      </c>
      <c r="E1309" s="59">
        <v>145.7236</v>
      </c>
    </row>
    <row r="1310" spans="1:5" ht="15" x14ac:dyDescent="0.35">
      <c r="A1310" s="58" t="s">
        <v>336</v>
      </c>
      <c r="B1310" s="58" t="s">
        <v>182</v>
      </c>
      <c r="C1310" s="58">
        <v>10</v>
      </c>
      <c r="D1310" s="58">
        <v>113</v>
      </c>
      <c r="E1310" s="59">
        <v>233.39019999999999</v>
      </c>
    </row>
    <row r="1311" spans="1:5" ht="15" x14ac:dyDescent="0.35">
      <c r="A1311" s="58" t="s">
        <v>336</v>
      </c>
      <c r="B1311" s="58" t="s">
        <v>182</v>
      </c>
      <c r="C1311" s="58">
        <v>11</v>
      </c>
      <c r="D1311" s="58">
        <v>114</v>
      </c>
      <c r="E1311" s="59">
        <v>197.8347</v>
      </c>
    </row>
    <row r="1312" spans="1:5" ht="15" x14ac:dyDescent="0.35">
      <c r="A1312" s="58" t="s">
        <v>336</v>
      </c>
      <c r="B1312" s="58" t="s">
        <v>182</v>
      </c>
      <c r="C1312" s="58">
        <v>12</v>
      </c>
      <c r="D1312" s="58">
        <v>115</v>
      </c>
      <c r="E1312" s="59">
        <v>210.7236</v>
      </c>
    </row>
    <row r="1313" spans="1:5" ht="15" x14ac:dyDescent="0.35">
      <c r="A1313" s="58" t="s">
        <v>336</v>
      </c>
      <c r="B1313" s="58" t="s">
        <v>176</v>
      </c>
      <c r="C1313" s="58">
        <v>1</v>
      </c>
      <c r="D1313" s="58">
        <v>104</v>
      </c>
      <c r="E1313" s="59">
        <v>293.75</v>
      </c>
    </row>
    <row r="1314" spans="1:5" ht="15" x14ac:dyDescent="0.35">
      <c r="A1314" s="58" t="s">
        <v>336</v>
      </c>
      <c r="B1314" s="58" t="s">
        <v>176</v>
      </c>
      <c r="C1314" s="58">
        <v>2</v>
      </c>
      <c r="D1314" s="58">
        <v>105</v>
      </c>
      <c r="E1314" s="59">
        <v>293.75</v>
      </c>
    </row>
    <row r="1315" spans="1:5" ht="15" x14ac:dyDescent="0.35">
      <c r="A1315" s="58" t="s">
        <v>336</v>
      </c>
      <c r="B1315" s="58" t="s">
        <v>176</v>
      </c>
      <c r="C1315" s="58">
        <v>3</v>
      </c>
      <c r="D1315" s="58">
        <v>106</v>
      </c>
      <c r="E1315" s="59">
        <v>293.75</v>
      </c>
    </row>
    <row r="1316" spans="1:5" ht="15" x14ac:dyDescent="0.35">
      <c r="A1316" s="58" t="s">
        <v>336</v>
      </c>
      <c r="B1316" s="58" t="s">
        <v>176</v>
      </c>
      <c r="C1316" s="58">
        <v>4</v>
      </c>
      <c r="D1316" s="58">
        <v>107</v>
      </c>
      <c r="E1316" s="59">
        <v>293.75</v>
      </c>
    </row>
    <row r="1317" spans="1:5" ht="15" x14ac:dyDescent="0.35">
      <c r="A1317" s="58" t="s">
        <v>336</v>
      </c>
      <c r="B1317" s="58" t="s">
        <v>176</v>
      </c>
      <c r="C1317" s="58">
        <v>5</v>
      </c>
      <c r="D1317" s="58">
        <v>108</v>
      </c>
      <c r="E1317" s="59">
        <v>293.75</v>
      </c>
    </row>
    <row r="1318" spans="1:5" ht="15" x14ac:dyDescent="0.35">
      <c r="A1318" s="58" t="s">
        <v>336</v>
      </c>
      <c r="B1318" s="58" t="s">
        <v>176</v>
      </c>
      <c r="C1318" s="58">
        <v>6</v>
      </c>
      <c r="D1318" s="58">
        <v>109</v>
      </c>
      <c r="E1318" s="59">
        <v>293.75</v>
      </c>
    </row>
    <row r="1319" spans="1:5" ht="15" x14ac:dyDescent="0.35">
      <c r="A1319" s="58" t="s">
        <v>336</v>
      </c>
      <c r="B1319" s="58" t="s">
        <v>176</v>
      </c>
      <c r="C1319" s="58">
        <v>7</v>
      </c>
      <c r="D1319" s="58">
        <v>110</v>
      </c>
      <c r="E1319" s="59">
        <v>293.75</v>
      </c>
    </row>
    <row r="1320" spans="1:5" ht="15" x14ac:dyDescent="0.35">
      <c r="A1320" s="58" t="s">
        <v>336</v>
      </c>
      <c r="B1320" s="58" t="s">
        <v>176</v>
      </c>
      <c r="C1320" s="58">
        <v>8</v>
      </c>
      <c r="D1320" s="58">
        <v>111</v>
      </c>
      <c r="E1320" s="59">
        <v>293.75</v>
      </c>
    </row>
    <row r="1321" spans="1:5" ht="15" x14ac:dyDescent="0.35">
      <c r="A1321" s="58" t="s">
        <v>336</v>
      </c>
      <c r="B1321" s="58" t="s">
        <v>176</v>
      </c>
      <c r="C1321" s="58">
        <v>9</v>
      </c>
      <c r="D1321" s="58">
        <v>112</v>
      </c>
      <c r="E1321" s="59">
        <v>293.75</v>
      </c>
    </row>
    <row r="1322" spans="1:5" ht="15" x14ac:dyDescent="0.35">
      <c r="A1322" s="58" t="s">
        <v>336</v>
      </c>
      <c r="B1322" s="58" t="s">
        <v>176</v>
      </c>
      <c r="C1322" s="58">
        <v>10</v>
      </c>
      <c r="D1322" s="58">
        <v>113</v>
      </c>
      <c r="E1322" s="59">
        <v>293.75</v>
      </c>
    </row>
    <row r="1323" spans="1:5" ht="15" x14ac:dyDescent="0.35">
      <c r="A1323" s="58" t="s">
        <v>336</v>
      </c>
      <c r="B1323" s="58" t="s">
        <v>176</v>
      </c>
      <c r="C1323" s="58">
        <v>11</v>
      </c>
      <c r="D1323" s="58">
        <v>114</v>
      </c>
      <c r="E1323" s="59">
        <v>293.75</v>
      </c>
    </row>
    <row r="1324" spans="1:5" ht="15" x14ac:dyDescent="0.35">
      <c r="A1324" s="58" t="s">
        <v>336</v>
      </c>
      <c r="B1324" s="58" t="s">
        <v>176</v>
      </c>
      <c r="C1324" s="58">
        <v>12</v>
      </c>
      <c r="D1324" s="58">
        <v>115</v>
      </c>
      <c r="E1324" s="59">
        <v>293.75</v>
      </c>
    </row>
    <row r="1325" spans="1:5" ht="15" x14ac:dyDescent="0.35">
      <c r="A1325" s="58" t="s">
        <v>336</v>
      </c>
      <c r="B1325" s="58" t="s">
        <v>172</v>
      </c>
      <c r="C1325" s="58">
        <v>1</v>
      </c>
      <c r="D1325" s="58">
        <v>104</v>
      </c>
      <c r="E1325" s="59">
        <v>225</v>
      </c>
    </row>
    <row r="1326" spans="1:5" ht="15" x14ac:dyDescent="0.35">
      <c r="A1326" s="58" t="s">
        <v>336</v>
      </c>
      <c r="B1326" s="58" t="s">
        <v>172</v>
      </c>
      <c r="C1326" s="58">
        <v>2</v>
      </c>
      <c r="D1326" s="58">
        <v>105</v>
      </c>
      <c r="E1326" s="59">
        <v>225</v>
      </c>
    </row>
    <row r="1327" spans="1:5" ht="15" x14ac:dyDescent="0.35">
      <c r="A1327" s="58" t="s">
        <v>336</v>
      </c>
      <c r="B1327" s="58" t="s">
        <v>172</v>
      </c>
      <c r="C1327" s="58">
        <v>3</v>
      </c>
      <c r="D1327" s="58">
        <v>106</v>
      </c>
      <c r="E1327" s="59">
        <v>225</v>
      </c>
    </row>
    <row r="1328" spans="1:5" ht="15" x14ac:dyDescent="0.35">
      <c r="A1328" s="58" t="s">
        <v>336</v>
      </c>
      <c r="B1328" s="58" t="s">
        <v>172</v>
      </c>
      <c r="C1328" s="58">
        <v>4</v>
      </c>
      <c r="D1328" s="58">
        <v>107</v>
      </c>
      <c r="E1328" s="59">
        <v>225</v>
      </c>
    </row>
    <row r="1329" spans="1:5" ht="15" x14ac:dyDescent="0.35">
      <c r="A1329" s="58" t="s">
        <v>336</v>
      </c>
      <c r="B1329" s="58" t="s">
        <v>172</v>
      </c>
      <c r="C1329" s="58">
        <v>5</v>
      </c>
      <c r="D1329" s="58">
        <v>108</v>
      </c>
      <c r="E1329" s="59">
        <v>225</v>
      </c>
    </row>
    <row r="1330" spans="1:5" ht="15" x14ac:dyDescent="0.35">
      <c r="A1330" s="58" t="s">
        <v>336</v>
      </c>
      <c r="B1330" s="58" t="s">
        <v>172</v>
      </c>
      <c r="C1330" s="58">
        <v>6</v>
      </c>
      <c r="D1330" s="58">
        <v>109</v>
      </c>
      <c r="E1330" s="59">
        <v>225</v>
      </c>
    </row>
    <row r="1331" spans="1:5" ht="15" x14ac:dyDescent="0.35">
      <c r="A1331" s="58" t="s">
        <v>336</v>
      </c>
      <c r="B1331" s="58" t="s">
        <v>172</v>
      </c>
      <c r="C1331" s="58">
        <v>7</v>
      </c>
      <c r="D1331" s="58">
        <v>110</v>
      </c>
      <c r="E1331" s="59">
        <v>225</v>
      </c>
    </row>
    <row r="1332" spans="1:5" ht="15" x14ac:dyDescent="0.35">
      <c r="A1332" s="58" t="s">
        <v>336</v>
      </c>
      <c r="B1332" s="58" t="s">
        <v>172</v>
      </c>
      <c r="C1332" s="58">
        <v>8</v>
      </c>
      <c r="D1332" s="58">
        <v>111</v>
      </c>
      <c r="E1332" s="59">
        <v>225</v>
      </c>
    </row>
    <row r="1333" spans="1:5" ht="15" x14ac:dyDescent="0.35">
      <c r="A1333" s="58" t="s">
        <v>336</v>
      </c>
      <c r="B1333" s="58" t="s">
        <v>172</v>
      </c>
      <c r="C1333" s="58">
        <v>9</v>
      </c>
      <c r="D1333" s="58">
        <v>112</v>
      </c>
      <c r="E1333" s="59">
        <v>225</v>
      </c>
    </row>
    <row r="1334" spans="1:5" ht="15" x14ac:dyDescent="0.35">
      <c r="A1334" s="58" t="s">
        <v>336</v>
      </c>
      <c r="B1334" s="58" t="s">
        <v>172</v>
      </c>
      <c r="C1334" s="58">
        <v>10</v>
      </c>
      <c r="D1334" s="58">
        <v>113</v>
      </c>
      <c r="E1334" s="59">
        <v>225</v>
      </c>
    </row>
    <row r="1335" spans="1:5" ht="15" x14ac:dyDescent="0.35">
      <c r="A1335" s="58" t="s">
        <v>336</v>
      </c>
      <c r="B1335" s="58" t="s">
        <v>172</v>
      </c>
      <c r="C1335" s="58">
        <v>11</v>
      </c>
      <c r="D1335" s="58">
        <v>114</v>
      </c>
      <c r="E1335" s="59">
        <v>225</v>
      </c>
    </row>
    <row r="1336" spans="1:5" ht="15" x14ac:dyDescent="0.35">
      <c r="A1336" s="58" t="s">
        <v>336</v>
      </c>
      <c r="B1336" s="58" t="s">
        <v>172</v>
      </c>
      <c r="C1336" s="58">
        <v>12</v>
      </c>
      <c r="D1336" s="58">
        <v>115</v>
      </c>
      <c r="E1336" s="59">
        <v>225</v>
      </c>
    </row>
    <row r="1337" spans="1:5" ht="15" x14ac:dyDescent="0.35">
      <c r="A1337" s="58" t="s">
        <v>336</v>
      </c>
      <c r="B1337" s="58" t="s">
        <v>180</v>
      </c>
      <c r="C1337" s="58">
        <v>1</v>
      </c>
      <c r="D1337" s="58">
        <v>104</v>
      </c>
      <c r="E1337" s="59">
        <v>336.61529999999999</v>
      </c>
    </row>
    <row r="1338" spans="1:5" ht="15" x14ac:dyDescent="0.35">
      <c r="A1338" s="58" t="s">
        <v>336</v>
      </c>
      <c r="B1338" s="58" t="s">
        <v>180</v>
      </c>
      <c r="C1338" s="58">
        <v>2</v>
      </c>
      <c r="D1338" s="58">
        <v>105</v>
      </c>
      <c r="E1338" s="59">
        <v>336.61529999999999</v>
      </c>
    </row>
    <row r="1339" spans="1:5" ht="15" x14ac:dyDescent="0.35">
      <c r="A1339" s="58" t="s">
        <v>336</v>
      </c>
      <c r="B1339" s="58" t="s">
        <v>180</v>
      </c>
      <c r="C1339" s="58">
        <v>3</v>
      </c>
      <c r="D1339" s="58">
        <v>106</v>
      </c>
      <c r="E1339" s="59">
        <v>336.61529999999999</v>
      </c>
    </row>
    <row r="1340" spans="1:5" ht="15" x14ac:dyDescent="0.35">
      <c r="A1340" s="58" t="s">
        <v>336</v>
      </c>
      <c r="B1340" s="58" t="s">
        <v>180</v>
      </c>
      <c r="C1340" s="58">
        <v>4</v>
      </c>
      <c r="D1340" s="58">
        <v>107</v>
      </c>
      <c r="E1340" s="59">
        <v>336.61529999999999</v>
      </c>
    </row>
    <row r="1341" spans="1:5" ht="15" x14ac:dyDescent="0.35">
      <c r="A1341" s="58" t="s">
        <v>336</v>
      </c>
      <c r="B1341" s="58" t="s">
        <v>180</v>
      </c>
      <c r="C1341" s="58">
        <v>5</v>
      </c>
      <c r="D1341" s="58">
        <v>108</v>
      </c>
      <c r="E1341" s="59">
        <v>336.61529999999999</v>
      </c>
    </row>
    <row r="1342" spans="1:5" ht="15" x14ac:dyDescent="0.35">
      <c r="A1342" s="58" t="s">
        <v>336</v>
      </c>
      <c r="B1342" s="58" t="s">
        <v>180</v>
      </c>
      <c r="C1342" s="58">
        <v>6</v>
      </c>
      <c r="D1342" s="58">
        <v>109</v>
      </c>
      <c r="E1342" s="59">
        <v>336.61529999999999</v>
      </c>
    </row>
    <row r="1343" spans="1:5" ht="15" x14ac:dyDescent="0.35">
      <c r="A1343" s="58" t="s">
        <v>336</v>
      </c>
      <c r="B1343" s="58" t="s">
        <v>180</v>
      </c>
      <c r="C1343" s="58">
        <v>7</v>
      </c>
      <c r="D1343" s="58">
        <v>110</v>
      </c>
      <c r="E1343" s="59">
        <v>336.61529999999999</v>
      </c>
    </row>
    <row r="1344" spans="1:5" ht="15" x14ac:dyDescent="0.35">
      <c r="A1344" s="58" t="s">
        <v>336</v>
      </c>
      <c r="B1344" s="58" t="s">
        <v>180</v>
      </c>
      <c r="C1344" s="58">
        <v>8</v>
      </c>
      <c r="D1344" s="58">
        <v>111</v>
      </c>
      <c r="E1344" s="59">
        <v>336.61529999999999</v>
      </c>
    </row>
    <row r="1345" spans="1:5" ht="15" x14ac:dyDescent="0.35">
      <c r="A1345" s="58" t="s">
        <v>336</v>
      </c>
      <c r="B1345" s="58" t="s">
        <v>180</v>
      </c>
      <c r="C1345" s="58">
        <v>9</v>
      </c>
      <c r="D1345" s="58">
        <v>112</v>
      </c>
      <c r="E1345" s="59">
        <v>336.61529999999999</v>
      </c>
    </row>
    <row r="1346" spans="1:5" ht="15" x14ac:dyDescent="0.35">
      <c r="A1346" s="58" t="s">
        <v>336</v>
      </c>
      <c r="B1346" s="58" t="s">
        <v>180</v>
      </c>
      <c r="C1346" s="58">
        <v>10</v>
      </c>
      <c r="D1346" s="58">
        <v>113</v>
      </c>
      <c r="E1346" s="59">
        <v>336.61529999999999</v>
      </c>
    </row>
    <row r="1347" spans="1:5" ht="15" x14ac:dyDescent="0.35">
      <c r="A1347" s="58" t="s">
        <v>336</v>
      </c>
      <c r="B1347" s="58" t="s">
        <v>180</v>
      </c>
      <c r="C1347" s="58">
        <v>11</v>
      </c>
      <c r="D1347" s="58">
        <v>114</v>
      </c>
      <c r="E1347" s="59">
        <v>336.61529999999999</v>
      </c>
    </row>
    <row r="1348" spans="1:5" ht="15" x14ac:dyDescent="0.35">
      <c r="A1348" s="58" t="s">
        <v>336</v>
      </c>
      <c r="B1348" s="58" t="s">
        <v>180</v>
      </c>
      <c r="C1348" s="58">
        <v>12</v>
      </c>
      <c r="D1348" s="58">
        <v>115</v>
      </c>
      <c r="E1348" s="59">
        <v>336.61529999999999</v>
      </c>
    </row>
    <row r="1349" spans="1:5" ht="15" x14ac:dyDescent="0.35">
      <c r="A1349" s="58" t="s">
        <v>383</v>
      </c>
      <c r="B1349" s="58" t="s">
        <v>182</v>
      </c>
      <c r="C1349" s="58">
        <v>1</v>
      </c>
      <c r="D1349" s="58">
        <v>104</v>
      </c>
      <c r="E1349" s="59">
        <v>14.543799999999999</v>
      </c>
    </row>
    <row r="1350" spans="1:5" ht="15" x14ac:dyDescent="0.35">
      <c r="A1350" s="58" t="s">
        <v>383</v>
      </c>
      <c r="B1350" s="58" t="s">
        <v>182</v>
      </c>
      <c r="C1350" s="58">
        <v>2</v>
      </c>
      <c r="D1350" s="58">
        <v>105</v>
      </c>
      <c r="E1350" s="59">
        <v>10.0327</v>
      </c>
    </row>
    <row r="1351" spans="1:5" ht="15" x14ac:dyDescent="0.35">
      <c r="A1351" s="58" t="s">
        <v>383</v>
      </c>
      <c r="B1351" s="58" t="s">
        <v>182</v>
      </c>
      <c r="C1351" s="58">
        <v>3</v>
      </c>
      <c r="D1351" s="58">
        <v>106</v>
      </c>
      <c r="E1351" s="59">
        <v>12.932700000000001</v>
      </c>
    </row>
    <row r="1352" spans="1:5" ht="15" x14ac:dyDescent="0.35">
      <c r="A1352" s="58" t="s">
        <v>383</v>
      </c>
      <c r="B1352" s="58" t="s">
        <v>182</v>
      </c>
      <c r="C1352" s="58">
        <v>4</v>
      </c>
      <c r="D1352" s="58">
        <v>107</v>
      </c>
      <c r="E1352" s="59">
        <v>12.432700000000001</v>
      </c>
    </row>
    <row r="1353" spans="1:5" ht="15" x14ac:dyDescent="0.35">
      <c r="A1353" s="58" t="s">
        <v>383</v>
      </c>
      <c r="B1353" s="58" t="s">
        <v>182</v>
      </c>
      <c r="C1353" s="58">
        <v>5</v>
      </c>
      <c r="D1353" s="58">
        <v>108</v>
      </c>
      <c r="E1353" s="59">
        <v>10.807700000000001</v>
      </c>
    </row>
    <row r="1354" spans="1:5" ht="15" x14ac:dyDescent="0.35">
      <c r="A1354" s="58" t="s">
        <v>383</v>
      </c>
      <c r="B1354" s="58" t="s">
        <v>182</v>
      </c>
      <c r="C1354" s="58">
        <v>6</v>
      </c>
      <c r="D1354" s="58">
        <v>109</v>
      </c>
      <c r="E1354" s="59">
        <v>9.5437999999999992</v>
      </c>
    </row>
    <row r="1355" spans="1:5" ht="15" x14ac:dyDescent="0.35">
      <c r="A1355" s="58" t="s">
        <v>383</v>
      </c>
      <c r="B1355" s="58" t="s">
        <v>182</v>
      </c>
      <c r="C1355" s="58">
        <v>7</v>
      </c>
      <c r="D1355" s="58">
        <v>110</v>
      </c>
      <c r="E1355" s="59">
        <v>8.5437999999999992</v>
      </c>
    </row>
    <row r="1356" spans="1:5" ht="15" x14ac:dyDescent="0.35">
      <c r="A1356" s="58" t="s">
        <v>383</v>
      </c>
      <c r="B1356" s="58" t="s">
        <v>182</v>
      </c>
      <c r="C1356" s="58">
        <v>8</v>
      </c>
      <c r="D1356" s="58">
        <v>111</v>
      </c>
      <c r="E1356" s="59">
        <v>7.0994000000000002</v>
      </c>
    </row>
    <row r="1357" spans="1:5" ht="15" x14ac:dyDescent="0.35">
      <c r="A1357" s="58" t="s">
        <v>383</v>
      </c>
      <c r="B1357" s="58" t="s">
        <v>182</v>
      </c>
      <c r="C1357" s="58">
        <v>9</v>
      </c>
      <c r="D1357" s="58">
        <v>112</v>
      </c>
      <c r="E1357" s="59">
        <v>7.0994000000000002</v>
      </c>
    </row>
    <row r="1358" spans="1:5" ht="15" x14ac:dyDescent="0.35">
      <c r="A1358" s="58" t="s">
        <v>383</v>
      </c>
      <c r="B1358" s="58" t="s">
        <v>182</v>
      </c>
      <c r="C1358" s="58">
        <v>10</v>
      </c>
      <c r="D1358" s="58">
        <v>113</v>
      </c>
      <c r="E1358" s="59">
        <v>7.2104999999999997</v>
      </c>
    </row>
    <row r="1359" spans="1:5" ht="15" x14ac:dyDescent="0.35">
      <c r="A1359" s="58" t="s">
        <v>383</v>
      </c>
      <c r="B1359" s="58" t="s">
        <v>182</v>
      </c>
      <c r="C1359" s="58">
        <v>11</v>
      </c>
      <c r="D1359" s="58">
        <v>114</v>
      </c>
      <c r="E1359" s="59">
        <v>3.9883000000000002</v>
      </c>
    </row>
    <row r="1360" spans="1:5" ht="15" x14ac:dyDescent="0.35">
      <c r="A1360" s="58" t="s">
        <v>383</v>
      </c>
      <c r="B1360" s="58" t="s">
        <v>182</v>
      </c>
      <c r="C1360" s="58">
        <v>12</v>
      </c>
      <c r="D1360" s="58">
        <v>115</v>
      </c>
      <c r="E1360" s="59">
        <v>0.98829999999999996</v>
      </c>
    </row>
    <row r="1361" spans="1:5" ht="15" x14ac:dyDescent="0.35">
      <c r="A1361" s="58" t="s">
        <v>383</v>
      </c>
      <c r="B1361" s="58" t="s">
        <v>176</v>
      </c>
      <c r="C1361" s="58">
        <v>1</v>
      </c>
      <c r="D1361" s="58">
        <v>104</v>
      </c>
      <c r="E1361" s="59">
        <v>18</v>
      </c>
    </row>
    <row r="1362" spans="1:5" ht="15" x14ac:dyDescent="0.35">
      <c r="A1362" s="58" t="s">
        <v>383</v>
      </c>
      <c r="B1362" s="58" t="s">
        <v>176</v>
      </c>
      <c r="C1362" s="58">
        <v>2</v>
      </c>
      <c r="D1362" s="58">
        <v>105</v>
      </c>
      <c r="E1362" s="59">
        <v>18</v>
      </c>
    </row>
    <row r="1363" spans="1:5" ht="15" x14ac:dyDescent="0.35">
      <c r="A1363" s="58" t="s">
        <v>383</v>
      </c>
      <c r="B1363" s="58" t="s">
        <v>176</v>
      </c>
      <c r="C1363" s="58">
        <v>3</v>
      </c>
      <c r="D1363" s="58">
        <v>106</v>
      </c>
      <c r="E1363" s="59">
        <v>18</v>
      </c>
    </row>
    <row r="1364" spans="1:5" ht="15" x14ac:dyDescent="0.35">
      <c r="A1364" s="58" t="s">
        <v>383</v>
      </c>
      <c r="B1364" s="58" t="s">
        <v>176</v>
      </c>
      <c r="C1364" s="58">
        <v>4</v>
      </c>
      <c r="D1364" s="58">
        <v>107</v>
      </c>
      <c r="E1364" s="59">
        <v>18</v>
      </c>
    </row>
    <row r="1365" spans="1:5" ht="15" x14ac:dyDescent="0.35">
      <c r="A1365" s="58" t="s">
        <v>383</v>
      </c>
      <c r="B1365" s="58" t="s">
        <v>176</v>
      </c>
      <c r="C1365" s="58">
        <v>5</v>
      </c>
      <c r="D1365" s="58">
        <v>108</v>
      </c>
      <c r="E1365" s="59">
        <v>18</v>
      </c>
    </row>
    <row r="1366" spans="1:5" ht="15" x14ac:dyDescent="0.35">
      <c r="A1366" s="58" t="s">
        <v>383</v>
      </c>
      <c r="B1366" s="58" t="s">
        <v>176</v>
      </c>
      <c r="C1366" s="58">
        <v>6</v>
      </c>
      <c r="D1366" s="58">
        <v>109</v>
      </c>
      <c r="E1366" s="59">
        <v>18</v>
      </c>
    </row>
    <row r="1367" spans="1:5" ht="15" x14ac:dyDescent="0.35">
      <c r="A1367" s="58" t="s">
        <v>383</v>
      </c>
      <c r="B1367" s="58" t="s">
        <v>176</v>
      </c>
      <c r="C1367" s="58">
        <v>7</v>
      </c>
      <c r="D1367" s="58">
        <v>110</v>
      </c>
      <c r="E1367" s="59">
        <v>18</v>
      </c>
    </row>
    <row r="1368" spans="1:5" ht="15" x14ac:dyDescent="0.35">
      <c r="A1368" s="58" t="s">
        <v>383</v>
      </c>
      <c r="B1368" s="58" t="s">
        <v>176</v>
      </c>
      <c r="C1368" s="58">
        <v>8</v>
      </c>
      <c r="D1368" s="58">
        <v>111</v>
      </c>
      <c r="E1368" s="59">
        <v>18</v>
      </c>
    </row>
    <row r="1369" spans="1:5" ht="15" x14ac:dyDescent="0.35">
      <c r="A1369" s="58" t="s">
        <v>383</v>
      </c>
      <c r="B1369" s="58" t="s">
        <v>176</v>
      </c>
      <c r="C1369" s="58">
        <v>9</v>
      </c>
      <c r="D1369" s="58">
        <v>112</v>
      </c>
      <c r="E1369" s="59">
        <v>18</v>
      </c>
    </row>
    <row r="1370" spans="1:5" ht="15" x14ac:dyDescent="0.35">
      <c r="A1370" s="58" t="s">
        <v>383</v>
      </c>
      <c r="B1370" s="58" t="s">
        <v>176</v>
      </c>
      <c r="C1370" s="58">
        <v>10</v>
      </c>
      <c r="D1370" s="58">
        <v>113</v>
      </c>
      <c r="E1370" s="59">
        <v>18</v>
      </c>
    </row>
    <row r="1371" spans="1:5" ht="15" x14ac:dyDescent="0.35">
      <c r="A1371" s="58" t="s">
        <v>383</v>
      </c>
      <c r="B1371" s="58" t="s">
        <v>176</v>
      </c>
      <c r="C1371" s="58">
        <v>11</v>
      </c>
      <c r="D1371" s="58">
        <v>114</v>
      </c>
      <c r="E1371" s="59">
        <v>18</v>
      </c>
    </row>
    <row r="1372" spans="1:5" ht="15" x14ac:dyDescent="0.35">
      <c r="A1372" s="58" t="s">
        <v>383</v>
      </c>
      <c r="B1372" s="58" t="s">
        <v>176</v>
      </c>
      <c r="C1372" s="58">
        <v>12</v>
      </c>
      <c r="D1372" s="58">
        <v>115</v>
      </c>
      <c r="E1372" s="59">
        <v>18</v>
      </c>
    </row>
    <row r="1373" spans="1:5" ht="15" x14ac:dyDescent="0.35">
      <c r="A1373" s="58" t="s">
        <v>383</v>
      </c>
      <c r="B1373" s="58" t="s">
        <v>172</v>
      </c>
      <c r="C1373" s="58">
        <v>1</v>
      </c>
      <c r="D1373" s="58">
        <v>104</v>
      </c>
      <c r="E1373" s="59">
        <v>6</v>
      </c>
    </row>
    <row r="1374" spans="1:5" ht="15" x14ac:dyDescent="0.35">
      <c r="A1374" s="58" t="s">
        <v>383</v>
      </c>
      <c r="B1374" s="58" t="s">
        <v>172</v>
      </c>
      <c r="C1374" s="58">
        <v>2</v>
      </c>
      <c r="D1374" s="58">
        <v>105</v>
      </c>
      <c r="E1374" s="59">
        <v>6</v>
      </c>
    </row>
    <row r="1375" spans="1:5" ht="15" x14ac:dyDescent="0.35">
      <c r="A1375" s="58" t="s">
        <v>383</v>
      </c>
      <c r="B1375" s="58" t="s">
        <v>172</v>
      </c>
      <c r="C1375" s="58">
        <v>3</v>
      </c>
      <c r="D1375" s="58">
        <v>106</v>
      </c>
      <c r="E1375" s="59">
        <v>6</v>
      </c>
    </row>
    <row r="1376" spans="1:5" ht="15" x14ac:dyDescent="0.35">
      <c r="A1376" s="58" t="s">
        <v>383</v>
      </c>
      <c r="B1376" s="58" t="s">
        <v>172</v>
      </c>
      <c r="C1376" s="58">
        <v>4</v>
      </c>
      <c r="D1376" s="58">
        <v>107</v>
      </c>
      <c r="E1376" s="59">
        <v>6</v>
      </c>
    </row>
    <row r="1377" spans="1:5" ht="15" x14ac:dyDescent="0.35">
      <c r="A1377" s="58" t="s">
        <v>383</v>
      </c>
      <c r="B1377" s="58" t="s">
        <v>172</v>
      </c>
      <c r="C1377" s="58">
        <v>5</v>
      </c>
      <c r="D1377" s="58">
        <v>108</v>
      </c>
      <c r="E1377" s="59">
        <v>6</v>
      </c>
    </row>
    <row r="1378" spans="1:5" ht="15" x14ac:dyDescent="0.35">
      <c r="A1378" s="58" t="s">
        <v>383</v>
      </c>
      <c r="B1378" s="58" t="s">
        <v>172</v>
      </c>
      <c r="C1378" s="58">
        <v>6</v>
      </c>
      <c r="D1378" s="58">
        <v>109</v>
      </c>
      <c r="E1378" s="59">
        <v>6</v>
      </c>
    </row>
    <row r="1379" spans="1:5" ht="15" x14ac:dyDescent="0.35">
      <c r="A1379" s="58" t="s">
        <v>383</v>
      </c>
      <c r="B1379" s="58" t="s">
        <v>172</v>
      </c>
      <c r="C1379" s="58">
        <v>7</v>
      </c>
      <c r="D1379" s="58">
        <v>110</v>
      </c>
      <c r="E1379" s="59">
        <v>6</v>
      </c>
    </row>
    <row r="1380" spans="1:5" ht="15" x14ac:dyDescent="0.35">
      <c r="A1380" s="58" t="s">
        <v>383</v>
      </c>
      <c r="B1380" s="58" t="s">
        <v>172</v>
      </c>
      <c r="C1380" s="58">
        <v>8</v>
      </c>
      <c r="D1380" s="58">
        <v>111</v>
      </c>
      <c r="E1380" s="59">
        <v>6</v>
      </c>
    </row>
    <row r="1381" spans="1:5" ht="15" x14ac:dyDescent="0.35">
      <c r="A1381" s="58" t="s">
        <v>383</v>
      </c>
      <c r="B1381" s="58" t="s">
        <v>172</v>
      </c>
      <c r="C1381" s="58">
        <v>9</v>
      </c>
      <c r="D1381" s="58">
        <v>112</v>
      </c>
      <c r="E1381" s="59">
        <v>6</v>
      </c>
    </row>
    <row r="1382" spans="1:5" ht="15" x14ac:dyDescent="0.35">
      <c r="A1382" s="58" t="s">
        <v>383</v>
      </c>
      <c r="B1382" s="58" t="s">
        <v>172</v>
      </c>
      <c r="C1382" s="58">
        <v>10</v>
      </c>
      <c r="D1382" s="58">
        <v>113</v>
      </c>
      <c r="E1382" s="59">
        <v>6</v>
      </c>
    </row>
    <row r="1383" spans="1:5" ht="15" x14ac:dyDescent="0.35">
      <c r="A1383" s="58" t="s">
        <v>383</v>
      </c>
      <c r="B1383" s="58" t="s">
        <v>172</v>
      </c>
      <c r="C1383" s="58">
        <v>11</v>
      </c>
      <c r="D1383" s="58">
        <v>114</v>
      </c>
      <c r="E1383" s="59">
        <v>6</v>
      </c>
    </row>
    <row r="1384" spans="1:5" ht="15" x14ac:dyDescent="0.35">
      <c r="A1384" s="58" t="s">
        <v>383</v>
      </c>
      <c r="B1384" s="58" t="s">
        <v>172</v>
      </c>
      <c r="C1384" s="58">
        <v>12</v>
      </c>
      <c r="D1384" s="58">
        <v>115</v>
      </c>
      <c r="E1384" s="59">
        <v>6</v>
      </c>
    </row>
    <row r="1385" spans="1:5" ht="15" x14ac:dyDescent="0.35">
      <c r="A1385" s="58" t="s">
        <v>383</v>
      </c>
      <c r="B1385" s="58" t="s">
        <v>180</v>
      </c>
      <c r="C1385" s="58">
        <v>1</v>
      </c>
      <c r="D1385" s="58">
        <v>104</v>
      </c>
      <c r="E1385" s="59">
        <v>17.174399999999999</v>
      </c>
    </row>
    <row r="1386" spans="1:5" ht="15" x14ac:dyDescent="0.35">
      <c r="A1386" s="58" t="s">
        <v>383</v>
      </c>
      <c r="B1386" s="58" t="s">
        <v>180</v>
      </c>
      <c r="C1386" s="58">
        <v>2</v>
      </c>
      <c r="D1386" s="58">
        <v>105</v>
      </c>
      <c r="E1386" s="59">
        <v>17.174399999999999</v>
      </c>
    </row>
    <row r="1387" spans="1:5" ht="15" x14ac:dyDescent="0.35">
      <c r="A1387" s="58" t="s">
        <v>383</v>
      </c>
      <c r="B1387" s="58" t="s">
        <v>180</v>
      </c>
      <c r="C1387" s="58">
        <v>3</v>
      </c>
      <c r="D1387" s="58">
        <v>106</v>
      </c>
      <c r="E1387" s="59">
        <v>17.174399999999999</v>
      </c>
    </row>
    <row r="1388" spans="1:5" ht="15" x14ac:dyDescent="0.35">
      <c r="A1388" s="58" t="s">
        <v>383</v>
      </c>
      <c r="B1388" s="58" t="s">
        <v>180</v>
      </c>
      <c r="C1388" s="58">
        <v>4</v>
      </c>
      <c r="D1388" s="58">
        <v>107</v>
      </c>
      <c r="E1388" s="59">
        <v>17.174399999999999</v>
      </c>
    </row>
    <row r="1389" spans="1:5" ht="15" x14ac:dyDescent="0.35">
      <c r="A1389" s="58" t="s">
        <v>383</v>
      </c>
      <c r="B1389" s="58" t="s">
        <v>180</v>
      </c>
      <c r="C1389" s="58">
        <v>5</v>
      </c>
      <c r="D1389" s="58">
        <v>108</v>
      </c>
      <c r="E1389" s="59">
        <v>17.174399999999999</v>
      </c>
    </row>
    <row r="1390" spans="1:5" ht="15" x14ac:dyDescent="0.35">
      <c r="A1390" s="58" t="s">
        <v>383</v>
      </c>
      <c r="B1390" s="58" t="s">
        <v>180</v>
      </c>
      <c r="C1390" s="58">
        <v>6</v>
      </c>
      <c r="D1390" s="58">
        <v>109</v>
      </c>
      <c r="E1390" s="59">
        <v>17.174399999999999</v>
      </c>
    </row>
    <row r="1391" spans="1:5" ht="15" x14ac:dyDescent="0.35">
      <c r="A1391" s="58" t="s">
        <v>383</v>
      </c>
      <c r="B1391" s="58" t="s">
        <v>180</v>
      </c>
      <c r="C1391" s="58">
        <v>7</v>
      </c>
      <c r="D1391" s="58">
        <v>110</v>
      </c>
      <c r="E1391" s="59">
        <v>17.174399999999999</v>
      </c>
    </row>
    <row r="1392" spans="1:5" ht="15" x14ac:dyDescent="0.35">
      <c r="A1392" s="58" t="s">
        <v>383</v>
      </c>
      <c r="B1392" s="58" t="s">
        <v>180</v>
      </c>
      <c r="C1392" s="58">
        <v>8</v>
      </c>
      <c r="D1392" s="58">
        <v>111</v>
      </c>
      <c r="E1392" s="59">
        <v>17.174399999999999</v>
      </c>
    </row>
    <row r="1393" spans="1:5" ht="15" x14ac:dyDescent="0.35">
      <c r="A1393" s="58" t="s">
        <v>383</v>
      </c>
      <c r="B1393" s="58" t="s">
        <v>180</v>
      </c>
      <c r="C1393" s="58">
        <v>9</v>
      </c>
      <c r="D1393" s="58">
        <v>112</v>
      </c>
      <c r="E1393" s="59">
        <v>17.174399999999999</v>
      </c>
    </row>
    <row r="1394" spans="1:5" ht="15" x14ac:dyDescent="0.35">
      <c r="A1394" s="58" t="s">
        <v>383</v>
      </c>
      <c r="B1394" s="58" t="s">
        <v>180</v>
      </c>
      <c r="C1394" s="58">
        <v>10</v>
      </c>
      <c r="D1394" s="58">
        <v>113</v>
      </c>
      <c r="E1394" s="59">
        <v>17.174399999999999</v>
      </c>
    </row>
    <row r="1395" spans="1:5" ht="15" x14ac:dyDescent="0.35">
      <c r="A1395" s="58" t="s">
        <v>383</v>
      </c>
      <c r="B1395" s="58" t="s">
        <v>180</v>
      </c>
      <c r="C1395" s="58">
        <v>11</v>
      </c>
      <c r="D1395" s="58">
        <v>114</v>
      </c>
      <c r="E1395" s="59">
        <v>17.174399999999999</v>
      </c>
    </row>
    <row r="1396" spans="1:5" ht="15" x14ac:dyDescent="0.35">
      <c r="A1396" s="58" t="s">
        <v>383</v>
      </c>
      <c r="B1396" s="58" t="s">
        <v>180</v>
      </c>
      <c r="C1396" s="58">
        <v>12</v>
      </c>
      <c r="D1396" s="58">
        <v>115</v>
      </c>
      <c r="E1396" s="59">
        <v>17.174399999999999</v>
      </c>
    </row>
    <row r="1397" spans="1:5" ht="15" x14ac:dyDescent="0.35">
      <c r="A1397" s="58" t="s">
        <v>371</v>
      </c>
      <c r="B1397" s="58" t="s">
        <v>182</v>
      </c>
      <c r="C1397" s="58">
        <v>1</v>
      </c>
      <c r="D1397" s="58">
        <v>104</v>
      </c>
      <c r="E1397" s="59">
        <v>71.715000000000003</v>
      </c>
    </row>
    <row r="1398" spans="1:5" ht="15" x14ac:dyDescent="0.35">
      <c r="A1398" s="58" t="s">
        <v>371</v>
      </c>
      <c r="B1398" s="58" t="s">
        <v>182</v>
      </c>
      <c r="C1398" s="58">
        <v>2</v>
      </c>
      <c r="D1398" s="58">
        <v>105</v>
      </c>
      <c r="E1398" s="59">
        <v>48.164700000000003</v>
      </c>
    </row>
    <row r="1399" spans="1:5" ht="15" x14ac:dyDescent="0.35">
      <c r="A1399" s="58" t="s">
        <v>371</v>
      </c>
      <c r="B1399" s="58" t="s">
        <v>182</v>
      </c>
      <c r="C1399" s="58">
        <v>3</v>
      </c>
      <c r="D1399" s="58">
        <v>106</v>
      </c>
      <c r="E1399" s="59">
        <v>42.158900000000003</v>
      </c>
    </row>
    <row r="1400" spans="1:5" ht="15" x14ac:dyDescent="0.35">
      <c r="A1400" s="58" t="s">
        <v>371</v>
      </c>
      <c r="B1400" s="58" t="s">
        <v>182</v>
      </c>
      <c r="C1400" s="58">
        <v>4</v>
      </c>
      <c r="D1400" s="58">
        <v>107</v>
      </c>
      <c r="E1400" s="59">
        <v>37.448300000000003</v>
      </c>
    </row>
    <row r="1401" spans="1:5" ht="15" x14ac:dyDescent="0.35">
      <c r="A1401" s="58" t="s">
        <v>371</v>
      </c>
      <c r="B1401" s="58" t="s">
        <v>182</v>
      </c>
      <c r="C1401" s="58">
        <v>5</v>
      </c>
      <c r="D1401" s="58">
        <v>108</v>
      </c>
      <c r="E1401" s="59">
        <v>33.9223</v>
      </c>
    </row>
    <row r="1402" spans="1:5" ht="15" x14ac:dyDescent="0.35">
      <c r="A1402" s="58" t="s">
        <v>371</v>
      </c>
      <c r="B1402" s="58" t="s">
        <v>182</v>
      </c>
      <c r="C1402" s="58">
        <v>6</v>
      </c>
      <c r="D1402" s="58">
        <v>109</v>
      </c>
      <c r="E1402" s="59">
        <v>30.741499999999998</v>
      </c>
    </row>
    <row r="1403" spans="1:5" ht="15" x14ac:dyDescent="0.35">
      <c r="A1403" s="58" t="s">
        <v>371</v>
      </c>
      <c r="B1403" s="58" t="s">
        <v>182</v>
      </c>
      <c r="C1403" s="58">
        <v>7</v>
      </c>
      <c r="D1403" s="58">
        <v>110</v>
      </c>
      <c r="E1403" s="59">
        <v>27.435700000000001</v>
      </c>
    </row>
    <row r="1404" spans="1:5" ht="15" x14ac:dyDescent="0.35">
      <c r="A1404" s="58" t="s">
        <v>371</v>
      </c>
      <c r="B1404" s="58" t="s">
        <v>182</v>
      </c>
      <c r="C1404" s="58">
        <v>8</v>
      </c>
      <c r="D1404" s="58">
        <v>111</v>
      </c>
      <c r="E1404" s="59">
        <v>21.463200000000001</v>
      </c>
    </row>
    <row r="1405" spans="1:5" ht="15" x14ac:dyDescent="0.35">
      <c r="A1405" s="58" t="s">
        <v>371</v>
      </c>
      <c r="B1405" s="58" t="s">
        <v>182</v>
      </c>
      <c r="C1405" s="58">
        <v>9</v>
      </c>
      <c r="D1405" s="58">
        <v>112</v>
      </c>
      <c r="E1405" s="59">
        <v>16.046299999999999</v>
      </c>
    </row>
    <row r="1406" spans="1:5" ht="15" x14ac:dyDescent="0.35">
      <c r="A1406" s="58" t="s">
        <v>371</v>
      </c>
      <c r="B1406" s="58" t="s">
        <v>182</v>
      </c>
      <c r="C1406" s="58">
        <v>10</v>
      </c>
      <c r="D1406" s="58">
        <v>113</v>
      </c>
      <c r="E1406" s="59">
        <v>15.0738</v>
      </c>
    </row>
    <row r="1407" spans="1:5" ht="15" x14ac:dyDescent="0.35">
      <c r="A1407" s="58" t="s">
        <v>371</v>
      </c>
      <c r="B1407" s="58" t="s">
        <v>182</v>
      </c>
      <c r="C1407" s="58">
        <v>11</v>
      </c>
      <c r="D1407" s="58">
        <v>114</v>
      </c>
      <c r="E1407" s="59">
        <v>8.5457999999999998</v>
      </c>
    </row>
    <row r="1408" spans="1:5" ht="15" x14ac:dyDescent="0.35">
      <c r="A1408" s="58" t="s">
        <v>371</v>
      </c>
      <c r="B1408" s="58" t="s">
        <v>182</v>
      </c>
      <c r="C1408" s="58">
        <v>12</v>
      </c>
      <c r="D1408" s="58">
        <v>115</v>
      </c>
      <c r="E1408" s="59">
        <v>7.4622000000000002</v>
      </c>
    </row>
    <row r="1409" spans="1:5" ht="15" x14ac:dyDescent="0.35">
      <c r="A1409" s="58" t="s">
        <v>371</v>
      </c>
      <c r="B1409" s="58" t="s">
        <v>176</v>
      </c>
      <c r="C1409" s="58">
        <v>1</v>
      </c>
      <c r="D1409" s="58">
        <v>104</v>
      </c>
      <c r="E1409" s="59">
        <v>43</v>
      </c>
    </row>
    <row r="1410" spans="1:5" ht="15" x14ac:dyDescent="0.35">
      <c r="A1410" s="58" t="s">
        <v>371</v>
      </c>
      <c r="B1410" s="58" t="s">
        <v>176</v>
      </c>
      <c r="C1410" s="58">
        <v>2</v>
      </c>
      <c r="D1410" s="58">
        <v>105</v>
      </c>
      <c r="E1410" s="59">
        <v>43</v>
      </c>
    </row>
    <row r="1411" spans="1:5" ht="15" x14ac:dyDescent="0.35">
      <c r="A1411" s="58" t="s">
        <v>371</v>
      </c>
      <c r="B1411" s="58" t="s">
        <v>176</v>
      </c>
      <c r="C1411" s="58">
        <v>3</v>
      </c>
      <c r="D1411" s="58">
        <v>106</v>
      </c>
      <c r="E1411" s="59">
        <v>43</v>
      </c>
    </row>
    <row r="1412" spans="1:5" ht="15" x14ac:dyDescent="0.35">
      <c r="A1412" s="58" t="s">
        <v>371</v>
      </c>
      <c r="B1412" s="58" t="s">
        <v>176</v>
      </c>
      <c r="C1412" s="58">
        <v>4</v>
      </c>
      <c r="D1412" s="58">
        <v>107</v>
      </c>
      <c r="E1412" s="59">
        <v>43</v>
      </c>
    </row>
    <row r="1413" spans="1:5" ht="15" x14ac:dyDescent="0.35">
      <c r="A1413" s="58" t="s">
        <v>371</v>
      </c>
      <c r="B1413" s="58" t="s">
        <v>176</v>
      </c>
      <c r="C1413" s="58">
        <v>5</v>
      </c>
      <c r="D1413" s="58">
        <v>108</v>
      </c>
      <c r="E1413" s="59">
        <v>43</v>
      </c>
    </row>
    <row r="1414" spans="1:5" ht="15" x14ac:dyDescent="0.35">
      <c r="A1414" s="58" t="s">
        <v>371</v>
      </c>
      <c r="B1414" s="58" t="s">
        <v>176</v>
      </c>
      <c r="C1414" s="58">
        <v>6</v>
      </c>
      <c r="D1414" s="58">
        <v>109</v>
      </c>
      <c r="E1414" s="59">
        <v>43</v>
      </c>
    </row>
    <row r="1415" spans="1:5" ht="15" x14ac:dyDescent="0.35">
      <c r="A1415" s="58" t="s">
        <v>371</v>
      </c>
      <c r="B1415" s="58" t="s">
        <v>176</v>
      </c>
      <c r="C1415" s="58">
        <v>7</v>
      </c>
      <c r="D1415" s="58">
        <v>110</v>
      </c>
      <c r="E1415" s="59">
        <v>43</v>
      </c>
    </row>
    <row r="1416" spans="1:5" ht="15" x14ac:dyDescent="0.35">
      <c r="A1416" s="58" t="s">
        <v>371</v>
      </c>
      <c r="B1416" s="58" t="s">
        <v>176</v>
      </c>
      <c r="C1416" s="58">
        <v>8</v>
      </c>
      <c r="D1416" s="58">
        <v>111</v>
      </c>
      <c r="E1416" s="59">
        <v>43</v>
      </c>
    </row>
    <row r="1417" spans="1:5" ht="15" x14ac:dyDescent="0.35">
      <c r="A1417" s="58" t="s">
        <v>371</v>
      </c>
      <c r="B1417" s="58" t="s">
        <v>176</v>
      </c>
      <c r="C1417" s="58">
        <v>9</v>
      </c>
      <c r="D1417" s="58">
        <v>112</v>
      </c>
      <c r="E1417" s="59">
        <v>43</v>
      </c>
    </row>
    <row r="1418" spans="1:5" ht="15" x14ac:dyDescent="0.35">
      <c r="A1418" s="58" t="s">
        <v>371</v>
      </c>
      <c r="B1418" s="58" t="s">
        <v>176</v>
      </c>
      <c r="C1418" s="58">
        <v>10</v>
      </c>
      <c r="D1418" s="58">
        <v>113</v>
      </c>
      <c r="E1418" s="59">
        <v>43</v>
      </c>
    </row>
    <row r="1419" spans="1:5" ht="15" x14ac:dyDescent="0.35">
      <c r="A1419" s="58" t="s">
        <v>371</v>
      </c>
      <c r="B1419" s="58" t="s">
        <v>176</v>
      </c>
      <c r="C1419" s="58">
        <v>11</v>
      </c>
      <c r="D1419" s="58">
        <v>114</v>
      </c>
      <c r="E1419" s="59">
        <v>43</v>
      </c>
    </row>
    <row r="1420" spans="1:5" ht="15" x14ac:dyDescent="0.35">
      <c r="A1420" s="58" t="s">
        <v>371</v>
      </c>
      <c r="B1420" s="58" t="s">
        <v>176</v>
      </c>
      <c r="C1420" s="58">
        <v>12</v>
      </c>
      <c r="D1420" s="58">
        <v>115</v>
      </c>
      <c r="E1420" s="59">
        <v>43</v>
      </c>
    </row>
    <row r="1421" spans="1:5" ht="15" x14ac:dyDescent="0.35">
      <c r="A1421" s="58" t="s">
        <v>371</v>
      </c>
      <c r="B1421" s="58" t="s">
        <v>172</v>
      </c>
      <c r="C1421" s="58">
        <v>1</v>
      </c>
      <c r="D1421" s="58">
        <v>104</v>
      </c>
      <c r="E1421" s="59">
        <v>59</v>
      </c>
    </row>
    <row r="1422" spans="1:5" ht="15" x14ac:dyDescent="0.35">
      <c r="A1422" s="58" t="s">
        <v>371</v>
      </c>
      <c r="B1422" s="58" t="s">
        <v>172</v>
      </c>
      <c r="C1422" s="58">
        <v>2</v>
      </c>
      <c r="D1422" s="58">
        <v>105</v>
      </c>
      <c r="E1422" s="59">
        <v>59</v>
      </c>
    </row>
    <row r="1423" spans="1:5" ht="15" x14ac:dyDescent="0.35">
      <c r="A1423" s="58" t="s">
        <v>371</v>
      </c>
      <c r="B1423" s="58" t="s">
        <v>172</v>
      </c>
      <c r="C1423" s="58">
        <v>3</v>
      </c>
      <c r="D1423" s="58">
        <v>106</v>
      </c>
      <c r="E1423" s="59">
        <v>59</v>
      </c>
    </row>
    <row r="1424" spans="1:5" ht="15" x14ac:dyDescent="0.35">
      <c r="A1424" s="58" t="s">
        <v>371</v>
      </c>
      <c r="B1424" s="58" t="s">
        <v>172</v>
      </c>
      <c r="C1424" s="58">
        <v>4</v>
      </c>
      <c r="D1424" s="58">
        <v>107</v>
      </c>
      <c r="E1424" s="59">
        <v>59</v>
      </c>
    </row>
    <row r="1425" spans="1:5" ht="15" x14ac:dyDescent="0.35">
      <c r="A1425" s="58" t="s">
        <v>371</v>
      </c>
      <c r="B1425" s="58" t="s">
        <v>172</v>
      </c>
      <c r="C1425" s="58">
        <v>5</v>
      </c>
      <c r="D1425" s="58">
        <v>108</v>
      </c>
      <c r="E1425" s="59">
        <v>59</v>
      </c>
    </row>
    <row r="1426" spans="1:5" ht="15" x14ac:dyDescent="0.35">
      <c r="A1426" s="58" t="s">
        <v>371</v>
      </c>
      <c r="B1426" s="58" t="s">
        <v>172</v>
      </c>
      <c r="C1426" s="58">
        <v>6</v>
      </c>
      <c r="D1426" s="58">
        <v>109</v>
      </c>
      <c r="E1426" s="59">
        <v>59</v>
      </c>
    </row>
    <row r="1427" spans="1:5" ht="15" x14ac:dyDescent="0.35">
      <c r="A1427" s="58" t="s">
        <v>371</v>
      </c>
      <c r="B1427" s="58" t="s">
        <v>172</v>
      </c>
      <c r="C1427" s="58">
        <v>7</v>
      </c>
      <c r="D1427" s="58">
        <v>110</v>
      </c>
      <c r="E1427" s="59">
        <v>59</v>
      </c>
    </row>
    <row r="1428" spans="1:5" ht="15" x14ac:dyDescent="0.35">
      <c r="A1428" s="58" t="s">
        <v>371</v>
      </c>
      <c r="B1428" s="58" t="s">
        <v>172</v>
      </c>
      <c r="C1428" s="58">
        <v>8</v>
      </c>
      <c r="D1428" s="58">
        <v>111</v>
      </c>
      <c r="E1428" s="59">
        <v>59</v>
      </c>
    </row>
    <row r="1429" spans="1:5" ht="15" x14ac:dyDescent="0.35">
      <c r="A1429" s="58" t="s">
        <v>371</v>
      </c>
      <c r="B1429" s="58" t="s">
        <v>172</v>
      </c>
      <c r="C1429" s="58">
        <v>9</v>
      </c>
      <c r="D1429" s="58">
        <v>112</v>
      </c>
      <c r="E1429" s="59">
        <v>59</v>
      </c>
    </row>
    <row r="1430" spans="1:5" ht="15" x14ac:dyDescent="0.35">
      <c r="A1430" s="58" t="s">
        <v>371</v>
      </c>
      <c r="B1430" s="58" t="s">
        <v>172</v>
      </c>
      <c r="C1430" s="58">
        <v>10</v>
      </c>
      <c r="D1430" s="58">
        <v>113</v>
      </c>
      <c r="E1430" s="59">
        <v>59</v>
      </c>
    </row>
    <row r="1431" spans="1:5" ht="15" x14ac:dyDescent="0.35">
      <c r="A1431" s="58" t="s">
        <v>371</v>
      </c>
      <c r="B1431" s="58" t="s">
        <v>172</v>
      </c>
      <c r="C1431" s="58">
        <v>11</v>
      </c>
      <c r="D1431" s="58">
        <v>114</v>
      </c>
      <c r="E1431" s="59">
        <v>59</v>
      </c>
    </row>
    <row r="1432" spans="1:5" ht="15" x14ac:dyDescent="0.35">
      <c r="A1432" s="58" t="s">
        <v>371</v>
      </c>
      <c r="B1432" s="58" t="s">
        <v>172</v>
      </c>
      <c r="C1432" s="58">
        <v>12</v>
      </c>
      <c r="D1432" s="58">
        <v>115</v>
      </c>
      <c r="E1432" s="59">
        <v>59</v>
      </c>
    </row>
    <row r="1433" spans="1:5" ht="15" x14ac:dyDescent="0.35">
      <c r="A1433" s="58" t="s">
        <v>371</v>
      </c>
      <c r="B1433" s="58" t="s">
        <v>180</v>
      </c>
      <c r="C1433" s="58">
        <v>1</v>
      </c>
      <c r="D1433" s="58">
        <v>104</v>
      </c>
      <c r="E1433" s="59">
        <v>50.050800000000002</v>
      </c>
    </row>
    <row r="1434" spans="1:5" ht="15" x14ac:dyDescent="0.35">
      <c r="A1434" s="58" t="s">
        <v>371</v>
      </c>
      <c r="B1434" s="58" t="s">
        <v>180</v>
      </c>
      <c r="C1434" s="58">
        <v>2</v>
      </c>
      <c r="D1434" s="58">
        <v>105</v>
      </c>
      <c r="E1434" s="59">
        <v>50.050800000000002</v>
      </c>
    </row>
    <row r="1435" spans="1:5" ht="15" x14ac:dyDescent="0.35">
      <c r="A1435" s="58" t="s">
        <v>371</v>
      </c>
      <c r="B1435" s="58" t="s">
        <v>180</v>
      </c>
      <c r="C1435" s="58">
        <v>3</v>
      </c>
      <c r="D1435" s="58">
        <v>106</v>
      </c>
      <c r="E1435" s="59">
        <v>50.050800000000002</v>
      </c>
    </row>
    <row r="1436" spans="1:5" ht="15" x14ac:dyDescent="0.35">
      <c r="A1436" s="58" t="s">
        <v>371</v>
      </c>
      <c r="B1436" s="58" t="s">
        <v>180</v>
      </c>
      <c r="C1436" s="58">
        <v>4</v>
      </c>
      <c r="D1436" s="58">
        <v>107</v>
      </c>
      <c r="E1436" s="59">
        <v>50.050800000000002</v>
      </c>
    </row>
    <row r="1437" spans="1:5" ht="15" x14ac:dyDescent="0.35">
      <c r="A1437" s="58" t="s">
        <v>371</v>
      </c>
      <c r="B1437" s="58" t="s">
        <v>180</v>
      </c>
      <c r="C1437" s="58">
        <v>5</v>
      </c>
      <c r="D1437" s="58">
        <v>108</v>
      </c>
      <c r="E1437" s="59">
        <v>50.050800000000002</v>
      </c>
    </row>
    <row r="1438" spans="1:5" ht="15" x14ac:dyDescent="0.35">
      <c r="A1438" s="58" t="s">
        <v>371</v>
      </c>
      <c r="B1438" s="58" t="s">
        <v>180</v>
      </c>
      <c r="C1438" s="58">
        <v>6</v>
      </c>
      <c r="D1438" s="58">
        <v>109</v>
      </c>
      <c r="E1438" s="59">
        <v>50.050800000000002</v>
      </c>
    </row>
    <row r="1439" spans="1:5" ht="15" x14ac:dyDescent="0.35">
      <c r="A1439" s="58" t="s">
        <v>371</v>
      </c>
      <c r="B1439" s="58" t="s">
        <v>180</v>
      </c>
      <c r="C1439" s="58">
        <v>7</v>
      </c>
      <c r="D1439" s="58">
        <v>110</v>
      </c>
      <c r="E1439" s="59">
        <v>50.050800000000002</v>
      </c>
    </row>
    <row r="1440" spans="1:5" ht="15" x14ac:dyDescent="0.35">
      <c r="A1440" s="58" t="s">
        <v>371</v>
      </c>
      <c r="B1440" s="58" t="s">
        <v>180</v>
      </c>
      <c r="C1440" s="58">
        <v>8</v>
      </c>
      <c r="D1440" s="58">
        <v>111</v>
      </c>
      <c r="E1440" s="59">
        <v>50.050800000000002</v>
      </c>
    </row>
    <row r="1441" spans="1:5" ht="15" x14ac:dyDescent="0.35">
      <c r="A1441" s="58" t="s">
        <v>371</v>
      </c>
      <c r="B1441" s="58" t="s">
        <v>180</v>
      </c>
      <c r="C1441" s="58">
        <v>9</v>
      </c>
      <c r="D1441" s="58">
        <v>112</v>
      </c>
      <c r="E1441" s="59">
        <v>50.050800000000002</v>
      </c>
    </row>
    <row r="1442" spans="1:5" ht="15" x14ac:dyDescent="0.35">
      <c r="A1442" s="58" t="s">
        <v>371</v>
      </c>
      <c r="B1442" s="58" t="s">
        <v>180</v>
      </c>
      <c r="C1442" s="58">
        <v>10</v>
      </c>
      <c r="D1442" s="58">
        <v>113</v>
      </c>
      <c r="E1442" s="59">
        <v>50.050800000000002</v>
      </c>
    </row>
    <row r="1443" spans="1:5" ht="15" x14ac:dyDescent="0.35">
      <c r="A1443" s="58" t="s">
        <v>371</v>
      </c>
      <c r="B1443" s="58" t="s">
        <v>180</v>
      </c>
      <c r="C1443" s="58">
        <v>11</v>
      </c>
      <c r="D1443" s="58">
        <v>114</v>
      </c>
      <c r="E1443" s="59">
        <v>50.050800000000002</v>
      </c>
    </row>
    <row r="1444" spans="1:5" ht="15" x14ac:dyDescent="0.35">
      <c r="A1444" s="58" t="s">
        <v>371</v>
      </c>
      <c r="B1444" s="58" t="s">
        <v>180</v>
      </c>
      <c r="C1444" s="58">
        <v>12</v>
      </c>
      <c r="D1444" s="58">
        <v>115</v>
      </c>
      <c r="E1444" s="59">
        <v>50.050800000000002</v>
      </c>
    </row>
    <row r="1445" spans="1:5" ht="15" x14ac:dyDescent="0.35">
      <c r="A1445" s="58" t="s">
        <v>388</v>
      </c>
      <c r="B1445" s="58" t="s">
        <v>182</v>
      </c>
      <c r="C1445" s="58">
        <v>1</v>
      </c>
      <c r="D1445" s="58">
        <v>104</v>
      </c>
      <c r="E1445" s="59">
        <v>195.21789999999999</v>
      </c>
    </row>
    <row r="1446" spans="1:5" ht="15" x14ac:dyDescent="0.35">
      <c r="A1446" s="58" t="s">
        <v>388</v>
      </c>
      <c r="B1446" s="58" t="s">
        <v>182</v>
      </c>
      <c r="C1446" s="58">
        <v>2</v>
      </c>
      <c r="D1446" s="58">
        <v>105</v>
      </c>
      <c r="E1446" s="59">
        <v>86.462400000000002</v>
      </c>
    </row>
    <row r="1447" spans="1:5" ht="15" x14ac:dyDescent="0.35">
      <c r="A1447" s="58" t="s">
        <v>388</v>
      </c>
      <c r="B1447" s="58" t="s">
        <v>182</v>
      </c>
      <c r="C1447" s="58">
        <v>3</v>
      </c>
      <c r="D1447" s="58">
        <v>106</v>
      </c>
      <c r="E1447" s="59">
        <v>80.162400000000005</v>
      </c>
    </row>
    <row r="1448" spans="1:5" ht="15" x14ac:dyDescent="0.35">
      <c r="A1448" s="58" t="s">
        <v>388</v>
      </c>
      <c r="B1448" s="58" t="s">
        <v>182</v>
      </c>
      <c r="C1448" s="58">
        <v>4</v>
      </c>
      <c r="D1448" s="58">
        <v>107</v>
      </c>
      <c r="E1448" s="59">
        <v>70.090900000000005</v>
      </c>
    </row>
    <row r="1449" spans="1:5" ht="15" x14ac:dyDescent="0.35">
      <c r="A1449" s="58" t="s">
        <v>388</v>
      </c>
      <c r="B1449" s="58" t="s">
        <v>182</v>
      </c>
      <c r="C1449" s="58">
        <v>5</v>
      </c>
      <c r="D1449" s="58">
        <v>108</v>
      </c>
      <c r="E1449" s="59">
        <v>62.537399999999998</v>
      </c>
    </row>
    <row r="1450" spans="1:5" ht="15" x14ac:dyDescent="0.35">
      <c r="A1450" s="58" t="s">
        <v>388</v>
      </c>
      <c r="B1450" s="58" t="s">
        <v>182</v>
      </c>
      <c r="C1450" s="58">
        <v>6</v>
      </c>
      <c r="D1450" s="58">
        <v>109</v>
      </c>
      <c r="E1450" s="59">
        <v>52.2179</v>
      </c>
    </row>
    <row r="1451" spans="1:5" ht="15" x14ac:dyDescent="0.35">
      <c r="A1451" s="58" t="s">
        <v>388</v>
      </c>
      <c r="B1451" s="58" t="s">
        <v>182</v>
      </c>
      <c r="C1451" s="58">
        <v>7</v>
      </c>
      <c r="D1451" s="58">
        <v>110</v>
      </c>
      <c r="E1451" s="59">
        <v>34.329000000000001</v>
      </c>
    </row>
    <row r="1452" spans="1:5" ht="15" x14ac:dyDescent="0.35">
      <c r="A1452" s="58" t="s">
        <v>388</v>
      </c>
      <c r="B1452" s="58" t="s">
        <v>182</v>
      </c>
      <c r="C1452" s="58">
        <v>8</v>
      </c>
      <c r="D1452" s="58">
        <v>111</v>
      </c>
      <c r="E1452" s="59">
        <v>1.9957</v>
      </c>
    </row>
    <row r="1453" spans="1:5" ht="15" x14ac:dyDescent="0.35">
      <c r="A1453" s="58" t="s">
        <v>388</v>
      </c>
      <c r="B1453" s="58" t="s">
        <v>182</v>
      </c>
      <c r="C1453" s="58">
        <v>9</v>
      </c>
      <c r="D1453" s="58">
        <v>112</v>
      </c>
      <c r="E1453" s="59">
        <v>0</v>
      </c>
    </row>
    <row r="1454" spans="1:5" ht="15" x14ac:dyDescent="0.35">
      <c r="A1454" s="58" t="s">
        <v>388</v>
      </c>
      <c r="B1454" s="58" t="s">
        <v>182</v>
      </c>
      <c r="C1454" s="58">
        <v>10</v>
      </c>
      <c r="D1454" s="58">
        <v>113</v>
      </c>
      <c r="E1454" s="59">
        <v>0</v>
      </c>
    </row>
    <row r="1455" spans="1:5" ht="15" x14ac:dyDescent="0.35">
      <c r="A1455" s="58" t="s">
        <v>388</v>
      </c>
      <c r="B1455" s="58" t="s">
        <v>182</v>
      </c>
      <c r="C1455" s="58">
        <v>11</v>
      </c>
      <c r="D1455" s="58">
        <v>114</v>
      </c>
      <c r="E1455" s="59">
        <v>0</v>
      </c>
    </row>
    <row r="1456" spans="1:5" ht="15" x14ac:dyDescent="0.35">
      <c r="A1456" s="58" t="s">
        <v>388</v>
      </c>
      <c r="B1456" s="58" t="s">
        <v>182</v>
      </c>
      <c r="C1456" s="58">
        <v>12</v>
      </c>
      <c r="D1456" s="58">
        <v>115</v>
      </c>
      <c r="E1456" s="59">
        <v>0</v>
      </c>
    </row>
    <row r="1457" spans="1:5" ht="15" x14ac:dyDescent="0.35">
      <c r="A1457" s="58" t="s">
        <v>388</v>
      </c>
      <c r="B1457" s="58" t="s">
        <v>176</v>
      </c>
      <c r="C1457" s="58">
        <v>1</v>
      </c>
      <c r="D1457" s="58">
        <v>104</v>
      </c>
      <c r="E1457" s="59">
        <v>101.75</v>
      </c>
    </row>
    <row r="1458" spans="1:5" ht="15" x14ac:dyDescent="0.35">
      <c r="A1458" s="58" t="s">
        <v>388</v>
      </c>
      <c r="B1458" s="58" t="s">
        <v>176</v>
      </c>
      <c r="C1458" s="58">
        <v>2</v>
      </c>
      <c r="D1458" s="58">
        <v>105</v>
      </c>
      <c r="E1458" s="59">
        <v>101.75</v>
      </c>
    </row>
    <row r="1459" spans="1:5" ht="15" x14ac:dyDescent="0.35">
      <c r="A1459" s="58" t="s">
        <v>388</v>
      </c>
      <c r="B1459" s="58" t="s">
        <v>176</v>
      </c>
      <c r="C1459" s="58">
        <v>3</v>
      </c>
      <c r="D1459" s="58">
        <v>106</v>
      </c>
      <c r="E1459" s="59">
        <v>101.75</v>
      </c>
    </row>
    <row r="1460" spans="1:5" ht="15" x14ac:dyDescent="0.35">
      <c r="A1460" s="58" t="s">
        <v>388</v>
      </c>
      <c r="B1460" s="58" t="s">
        <v>176</v>
      </c>
      <c r="C1460" s="58">
        <v>4</v>
      </c>
      <c r="D1460" s="58">
        <v>107</v>
      </c>
      <c r="E1460" s="59">
        <v>101.75</v>
      </c>
    </row>
    <row r="1461" spans="1:5" ht="15" x14ac:dyDescent="0.35">
      <c r="A1461" s="58" t="s">
        <v>388</v>
      </c>
      <c r="B1461" s="58" t="s">
        <v>176</v>
      </c>
      <c r="C1461" s="58">
        <v>5</v>
      </c>
      <c r="D1461" s="58">
        <v>108</v>
      </c>
      <c r="E1461" s="59">
        <v>101.75</v>
      </c>
    </row>
    <row r="1462" spans="1:5" ht="15" x14ac:dyDescent="0.35">
      <c r="A1462" s="58" t="s">
        <v>388</v>
      </c>
      <c r="B1462" s="58" t="s">
        <v>176</v>
      </c>
      <c r="C1462" s="58">
        <v>6</v>
      </c>
      <c r="D1462" s="58">
        <v>109</v>
      </c>
      <c r="E1462" s="59">
        <v>101.75</v>
      </c>
    </row>
    <row r="1463" spans="1:5" ht="15" x14ac:dyDescent="0.35">
      <c r="A1463" s="58" t="s">
        <v>388</v>
      </c>
      <c r="B1463" s="58" t="s">
        <v>176</v>
      </c>
      <c r="C1463" s="58">
        <v>7</v>
      </c>
      <c r="D1463" s="58">
        <v>110</v>
      </c>
      <c r="E1463" s="59">
        <v>101.75</v>
      </c>
    </row>
    <row r="1464" spans="1:5" ht="15" x14ac:dyDescent="0.35">
      <c r="A1464" s="58" t="s">
        <v>388</v>
      </c>
      <c r="B1464" s="58" t="s">
        <v>176</v>
      </c>
      <c r="C1464" s="58">
        <v>8</v>
      </c>
      <c r="D1464" s="58">
        <v>111</v>
      </c>
      <c r="E1464" s="59">
        <v>101.75</v>
      </c>
    </row>
    <row r="1465" spans="1:5" ht="15" x14ac:dyDescent="0.35">
      <c r="A1465" s="58" t="s">
        <v>388</v>
      </c>
      <c r="B1465" s="58" t="s">
        <v>176</v>
      </c>
      <c r="C1465" s="58">
        <v>9</v>
      </c>
      <c r="D1465" s="58">
        <v>112</v>
      </c>
      <c r="E1465" s="59">
        <v>101.75</v>
      </c>
    </row>
    <row r="1466" spans="1:5" ht="15" x14ac:dyDescent="0.35">
      <c r="A1466" s="58" t="s">
        <v>388</v>
      </c>
      <c r="B1466" s="58" t="s">
        <v>176</v>
      </c>
      <c r="C1466" s="58">
        <v>10</v>
      </c>
      <c r="D1466" s="58">
        <v>113</v>
      </c>
      <c r="E1466" s="59">
        <v>101.75</v>
      </c>
    </row>
    <row r="1467" spans="1:5" ht="15" x14ac:dyDescent="0.35">
      <c r="A1467" s="58" t="s">
        <v>388</v>
      </c>
      <c r="B1467" s="58" t="s">
        <v>176</v>
      </c>
      <c r="C1467" s="58">
        <v>11</v>
      </c>
      <c r="D1467" s="58">
        <v>114</v>
      </c>
      <c r="E1467" s="59">
        <v>101.75</v>
      </c>
    </row>
    <row r="1468" spans="1:5" ht="15" x14ac:dyDescent="0.35">
      <c r="A1468" s="58" t="s">
        <v>388</v>
      </c>
      <c r="B1468" s="58" t="s">
        <v>176</v>
      </c>
      <c r="C1468" s="58">
        <v>12</v>
      </c>
      <c r="D1468" s="58">
        <v>115</v>
      </c>
      <c r="E1468" s="59">
        <v>101.75</v>
      </c>
    </row>
    <row r="1469" spans="1:5" ht="15" x14ac:dyDescent="0.35">
      <c r="A1469" s="58" t="s">
        <v>388</v>
      </c>
      <c r="B1469" s="58" t="s">
        <v>172</v>
      </c>
      <c r="C1469" s="58">
        <v>1</v>
      </c>
      <c r="D1469" s="58">
        <v>104</v>
      </c>
      <c r="E1469" s="59">
        <v>150</v>
      </c>
    </row>
    <row r="1470" spans="1:5" ht="15" x14ac:dyDescent="0.35">
      <c r="A1470" s="58" t="s">
        <v>388</v>
      </c>
      <c r="B1470" s="58" t="s">
        <v>172</v>
      </c>
      <c r="C1470" s="58">
        <v>2</v>
      </c>
      <c r="D1470" s="58">
        <v>105</v>
      </c>
      <c r="E1470" s="59">
        <v>150</v>
      </c>
    </row>
    <row r="1471" spans="1:5" ht="15" x14ac:dyDescent="0.35">
      <c r="A1471" s="58" t="s">
        <v>388</v>
      </c>
      <c r="B1471" s="58" t="s">
        <v>172</v>
      </c>
      <c r="C1471" s="58">
        <v>3</v>
      </c>
      <c r="D1471" s="58">
        <v>106</v>
      </c>
      <c r="E1471" s="59">
        <v>150</v>
      </c>
    </row>
    <row r="1472" spans="1:5" ht="15" x14ac:dyDescent="0.35">
      <c r="A1472" s="58" t="s">
        <v>388</v>
      </c>
      <c r="B1472" s="58" t="s">
        <v>172</v>
      </c>
      <c r="C1472" s="58">
        <v>4</v>
      </c>
      <c r="D1472" s="58">
        <v>107</v>
      </c>
      <c r="E1472" s="59">
        <v>150</v>
      </c>
    </row>
    <row r="1473" spans="1:5" ht="15" x14ac:dyDescent="0.35">
      <c r="A1473" s="58" t="s">
        <v>388</v>
      </c>
      <c r="B1473" s="58" t="s">
        <v>172</v>
      </c>
      <c r="C1473" s="58">
        <v>5</v>
      </c>
      <c r="D1473" s="58">
        <v>108</v>
      </c>
      <c r="E1473" s="59">
        <v>150</v>
      </c>
    </row>
    <row r="1474" spans="1:5" ht="15" x14ac:dyDescent="0.35">
      <c r="A1474" s="58" t="s">
        <v>388</v>
      </c>
      <c r="B1474" s="58" t="s">
        <v>172</v>
      </c>
      <c r="C1474" s="58">
        <v>6</v>
      </c>
      <c r="D1474" s="58">
        <v>109</v>
      </c>
      <c r="E1474" s="59">
        <v>150</v>
      </c>
    </row>
    <row r="1475" spans="1:5" ht="15" x14ac:dyDescent="0.35">
      <c r="A1475" s="58" t="s">
        <v>388</v>
      </c>
      <c r="B1475" s="58" t="s">
        <v>172</v>
      </c>
      <c r="C1475" s="58">
        <v>7</v>
      </c>
      <c r="D1475" s="58">
        <v>110</v>
      </c>
      <c r="E1475" s="59">
        <v>150</v>
      </c>
    </row>
    <row r="1476" spans="1:5" ht="15" x14ac:dyDescent="0.35">
      <c r="A1476" s="58" t="s">
        <v>388</v>
      </c>
      <c r="B1476" s="58" t="s">
        <v>172</v>
      </c>
      <c r="C1476" s="58">
        <v>8</v>
      </c>
      <c r="D1476" s="58">
        <v>111</v>
      </c>
      <c r="E1476" s="59">
        <v>150</v>
      </c>
    </row>
    <row r="1477" spans="1:5" ht="15" x14ac:dyDescent="0.35">
      <c r="A1477" s="58" t="s">
        <v>388</v>
      </c>
      <c r="B1477" s="58" t="s">
        <v>172</v>
      </c>
      <c r="C1477" s="58">
        <v>9</v>
      </c>
      <c r="D1477" s="58">
        <v>112</v>
      </c>
      <c r="E1477" s="59">
        <v>150</v>
      </c>
    </row>
    <row r="1478" spans="1:5" ht="15" x14ac:dyDescent="0.35">
      <c r="A1478" s="58" t="s">
        <v>388</v>
      </c>
      <c r="B1478" s="58" t="s">
        <v>172</v>
      </c>
      <c r="C1478" s="58">
        <v>10</v>
      </c>
      <c r="D1478" s="58">
        <v>113</v>
      </c>
      <c r="E1478" s="59">
        <v>150</v>
      </c>
    </row>
    <row r="1479" spans="1:5" ht="15" x14ac:dyDescent="0.35">
      <c r="A1479" s="58" t="s">
        <v>388</v>
      </c>
      <c r="B1479" s="58" t="s">
        <v>172</v>
      </c>
      <c r="C1479" s="58">
        <v>11</v>
      </c>
      <c r="D1479" s="58">
        <v>114</v>
      </c>
      <c r="E1479" s="59">
        <v>150</v>
      </c>
    </row>
    <row r="1480" spans="1:5" ht="15" x14ac:dyDescent="0.35">
      <c r="A1480" s="58" t="s">
        <v>388</v>
      </c>
      <c r="B1480" s="58" t="s">
        <v>172</v>
      </c>
      <c r="C1480" s="58">
        <v>12</v>
      </c>
      <c r="D1480" s="58">
        <v>115</v>
      </c>
      <c r="E1480" s="59">
        <v>150</v>
      </c>
    </row>
    <row r="1481" spans="1:5" ht="15" x14ac:dyDescent="0.35">
      <c r="A1481" s="58" t="s">
        <v>388</v>
      </c>
      <c r="B1481" s="58" t="s">
        <v>180</v>
      </c>
      <c r="C1481" s="58">
        <v>1</v>
      </c>
      <c r="D1481" s="58">
        <v>104</v>
      </c>
      <c r="E1481" s="59">
        <v>133.84299999999999</v>
      </c>
    </row>
    <row r="1482" spans="1:5" ht="15" x14ac:dyDescent="0.35">
      <c r="A1482" s="58" t="s">
        <v>388</v>
      </c>
      <c r="B1482" s="58" t="s">
        <v>180</v>
      </c>
      <c r="C1482" s="58">
        <v>2</v>
      </c>
      <c r="D1482" s="58">
        <v>105</v>
      </c>
      <c r="E1482" s="59">
        <v>133.84299999999999</v>
      </c>
    </row>
    <row r="1483" spans="1:5" ht="15" x14ac:dyDescent="0.35">
      <c r="A1483" s="58" t="s">
        <v>388</v>
      </c>
      <c r="B1483" s="58" t="s">
        <v>180</v>
      </c>
      <c r="C1483" s="58">
        <v>3</v>
      </c>
      <c r="D1483" s="58">
        <v>106</v>
      </c>
      <c r="E1483" s="59">
        <v>133.84299999999999</v>
      </c>
    </row>
    <row r="1484" spans="1:5" ht="15" x14ac:dyDescent="0.35">
      <c r="A1484" s="58" t="s">
        <v>388</v>
      </c>
      <c r="B1484" s="58" t="s">
        <v>180</v>
      </c>
      <c r="C1484" s="58">
        <v>4</v>
      </c>
      <c r="D1484" s="58">
        <v>107</v>
      </c>
      <c r="E1484" s="59">
        <v>133.84299999999999</v>
      </c>
    </row>
    <row r="1485" spans="1:5" ht="15" x14ac:dyDescent="0.35">
      <c r="A1485" s="58" t="s">
        <v>388</v>
      </c>
      <c r="B1485" s="58" t="s">
        <v>180</v>
      </c>
      <c r="C1485" s="58">
        <v>5</v>
      </c>
      <c r="D1485" s="58">
        <v>108</v>
      </c>
      <c r="E1485" s="59">
        <v>133.84299999999999</v>
      </c>
    </row>
    <row r="1486" spans="1:5" ht="15" x14ac:dyDescent="0.35">
      <c r="A1486" s="58" t="s">
        <v>388</v>
      </c>
      <c r="B1486" s="58" t="s">
        <v>180</v>
      </c>
      <c r="C1486" s="58">
        <v>6</v>
      </c>
      <c r="D1486" s="58">
        <v>109</v>
      </c>
      <c r="E1486" s="59">
        <v>133.84299999999999</v>
      </c>
    </row>
    <row r="1487" spans="1:5" ht="15" x14ac:dyDescent="0.35">
      <c r="A1487" s="58" t="s">
        <v>388</v>
      </c>
      <c r="B1487" s="58" t="s">
        <v>180</v>
      </c>
      <c r="C1487" s="58">
        <v>7</v>
      </c>
      <c r="D1487" s="58">
        <v>110</v>
      </c>
      <c r="E1487" s="59">
        <v>133.84299999999999</v>
      </c>
    </row>
    <row r="1488" spans="1:5" ht="15" x14ac:dyDescent="0.35">
      <c r="A1488" s="58" t="s">
        <v>388</v>
      </c>
      <c r="B1488" s="58" t="s">
        <v>180</v>
      </c>
      <c r="C1488" s="58">
        <v>8</v>
      </c>
      <c r="D1488" s="58">
        <v>111</v>
      </c>
      <c r="E1488" s="59">
        <v>133.84299999999999</v>
      </c>
    </row>
    <row r="1489" spans="1:5" ht="15" x14ac:dyDescent="0.35">
      <c r="A1489" s="58" t="s">
        <v>388</v>
      </c>
      <c r="B1489" s="58" t="s">
        <v>180</v>
      </c>
      <c r="C1489" s="58">
        <v>9</v>
      </c>
      <c r="D1489" s="58">
        <v>112</v>
      </c>
      <c r="E1489" s="59">
        <v>133.84299999999999</v>
      </c>
    </row>
    <row r="1490" spans="1:5" ht="15" x14ac:dyDescent="0.35">
      <c r="A1490" s="58" t="s">
        <v>388</v>
      </c>
      <c r="B1490" s="58" t="s">
        <v>180</v>
      </c>
      <c r="C1490" s="58">
        <v>10</v>
      </c>
      <c r="D1490" s="58">
        <v>113</v>
      </c>
      <c r="E1490" s="59">
        <v>133.84299999999999</v>
      </c>
    </row>
    <row r="1491" spans="1:5" ht="15" x14ac:dyDescent="0.35">
      <c r="A1491" s="58" t="s">
        <v>388</v>
      </c>
      <c r="B1491" s="58" t="s">
        <v>180</v>
      </c>
      <c r="C1491" s="58">
        <v>11</v>
      </c>
      <c r="D1491" s="58">
        <v>114</v>
      </c>
      <c r="E1491" s="59">
        <v>133.84299999999999</v>
      </c>
    </row>
    <row r="1492" spans="1:5" ht="15" x14ac:dyDescent="0.35">
      <c r="A1492" s="58" t="s">
        <v>388</v>
      </c>
      <c r="B1492" s="58" t="s">
        <v>180</v>
      </c>
      <c r="C1492" s="58">
        <v>12</v>
      </c>
      <c r="D1492" s="58">
        <v>115</v>
      </c>
      <c r="E1492" s="59">
        <v>133.84299999999999</v>
      </c>
    </row>
    <row r="1493" spans="1:5" ht="15" x14ac:dyDescent="0.35">
      <c r="A1493" s="58" t="s">
        <v>320</v>
      </c>
      <c r="B1493" s="58" t="s">
        <v>182</v>
      </c>
      <c r="C1493" s="58">
        <v>1</v>
      </c>
      <c r="D1493" s="58">
        <v>104</v>
      </c>
      <c r="E1493" s="59">
        <v>170.4778</v>
      </c>
    </row>
    <row r="1494" spans="1:5" ht="15" x14ac:dyDescent="0.35">
      <c r="A1494" s="58" t="s">
        <v>320</v>
      </c>
      <c r="B1494" s="58" t="s">
        <v>182</v>
      </c>
      <c r="C1494" s="58">
        <v>2</v>
      </c>
      <c r="D1494" s="58">
        <v>105</v>
      </c>
      <c r="E1494" s="59">
        <v>159.4778</v>
      </c>
    </row>
    <row r="1495" spans="1:5" ht="15" x14ac:dyDescent="0.35">
      <c r="A1495" s="58" t="s">
        <v>320</v>
      </c>
      <c r="B1495" s="58" t="s">
        <v>182</v>
      </c>
      <c r="C1495" s="58">
        <v>3</v>
      </c>
      <c r="D1495" s="58">
        <v>106</v>
      </c>
      <c r="E1495" s="59">
        <v>159.4778</v>
      </c>
    </row>
    <row r="1496" spans="1:5" ht="15" x14ac:dyDescent="0.35">
      <c r="A1496" s="58" t="s">
        <v>320</v>
      </c>
      <c r="B1496" s="58" t="s">
        <v>182</v>
      </c>
      <c r="C1496" s="58">
        <v>4</v>
      </c>
      <c r="D1496" s="58">
        <v>107</v>
      </c>
      <c r="E1496" s="59">
        <v>147.7636</v>
      </c>
    </row>
    <row r="1497" spans="1:5" ht="15" x14ac:dyDescent="0.35">
      <c r="A1497" s="58" t="s">
        <v>320</v>
      </c>
      <c r="B1497" s="58" t="s">
        <v>182</v>
      </c>
      <c r="C1497" s="58">
        <v>5</v>
      </c>
      <c r="D1497" s="58">
        <v>108</v>
      </c>
      <c r="E1497" s="59">
        <v>139.7278</v>
      </c>
    </row>
    <row r="1498" spans="1:5" ht="15" x14ac:dyDescent="0.35">
      <c r="A1498" s="58" t="s">
        <v>320</v>
      </c>
      <c r="B1498" s="58" t="s">
        <v>182</v>
      </c>
      <c r="C1498" s="58">
        <v>6</v>
      </c>
      <c r="D1498" s="58">
        <v>109</v>
      </c>
      <c r="E1498" s="59">
        <v>137.25559999999999</v>
      </c>
    </row>
    <row r="1499" spans="1:5" ht="15" x14ac:dyDescent="0.35">
      <c r="A1499" s="58" t="s">
        <v>320</v>
      </c>
      <c r="B1499" s="58" t="s">
        <v>182</v>
      </c>
      <c r="C1499" s="58">
        <v>7</v>
      </c>
      <c r="D1499" s="58">
        <v>110</v>
      </c>
      <c r="E1499" s="59">
        <v>101.2556</v>
      </c>
    </row>
    <row r="1500" spans="1:5" ht="15" x14ac:dyDescent="0.35">
      <c r="A1500" s="58" t="s">
        <v>320</v>
      </c>
      <c r="B1500" s="58" t="s">
        <v>182</v>
      </c>
      <c r="C1500" s="58">
        <v>8</v>
      </c>
      <c r="D1500" s="58">
        <v>111</v>
      </c>
      <c r="E1500" s="59">
        <v>69.588999999999999</v>
      </c>
    </row>
    <row r="1501" spans="1:5" ht="15" x14ac:dyDescent="0.35">
      <c r="A1501" s="58" t="s">
        <v>320</v>
      </c>
      <c r="B1501" s="58" t="s">
        <v>182</v>
      </c>
      <c r="C1501" s="58">
        <v>9</v>
      </c>
      <c r="D1501" s="58">
        <v>112</v>
      </c>
      <c r="E1501" s="59">
        <v>68.811199999999999</v>
      </c>
    </row>
    <row r="1502" spans="1:5" ht="15" x14ac:dyDescent="0.35">
      <c r="A1502" s="58" t="s">
        <v>320</v>
      </c>
      <c r="B1502" s="58" t="s">
        <v>182</v>
      </c>
      <c r="C1502" s="58">
        <v>10</v>
      </c>
      <c r="D1502" s="58">
        <v>113</v>
      </c>
      <c r="E1502" s="59">
        <v>71.477800000000002</v>
      </c>
    </row>
    <row r="1503" spans="1:5" ht="15" x14ac:dyDescent="0.35">
      <c r="A1503" s="58" t="s">
        <v>320</v>
      </c>
      <c r="B1503" s="58" t="s">
        <v>182</v>
      </c>
      <c r="C1503" s="58">
        <v>11</v>
      </c>
      <c r="D1503" s="58">
        <v>114</v>
      </c>
      <c r="E1503" s="59">
        <v>59.700099999999999</v>
      </c>
    </row>
    <row r="1504" spans="1:5" ht="15" x14ac:dyDescent="0.35">
      <c r="A1504" s="58" t="s">
        <v>320</v>
      </c>
      <c r="B1504" s="58" t="s">
        <v>182</v>
      </c>
      <c r="C1504" s="58">
        <v>12</v>
      </c>
      <c r="D1504" s="58">
        <v>115</v>
      </c>
      <c r="E1504" s="59">
        <v>40.477800000000002</v>
      </c>
    </row>
    <row r="1505" spans="1:5" ht="15" x14ac:dyDescent="0.35">
      <c r="A1505" s="58" t="s">
        <v>320</v>
      </c>
      <c r="B1505" s="58" t="s">
        <v>176</v>
      </c>
      <c r="C1505" s="58">
        <v>1</v>
      </c>
      <c r="D1505" s="58">
        <v>104</v>
      </c>
      <c r="E1505" s="59">
        <v>125.375</v>
      </c>
    </row>
    <row r="1506" spans="1:5" ht="15" x14ac:dyDescent="0.35">
      <c r="A1506" s="58" t="s">
        <v>320</v>
      </c>
      <c r="B1506" s="58" t="s">
        <v>176</v>
      </c>
      <c r="C1506" s="58">
        <v>2</v>
      </c>
      <c r="D1506" s="58">
        <v>105</v>
      </c>
      <c r="E1506" s="59">
        <v>125.375</v>
      </c>
    </row>
    <row r="1507" spans="1:5" ht="15" x14ac:dyDescent="0.35">
      <c r="A1507" s="58" t="s">
        <v>320</v>
      </c>
      <c r="B1507" s="58" t="s">
        <v>176</v>
      </c>
      <c r="C1507" s="58">
        <v>3</v>
      </c>
      <c r="D1507" s="58">
        <v>106</v>
      </c>
      <c r="E1507" s="59">
        <v>125.375</v>
      </c>
    </row>
    <row r="1508" spans="1:5" ht="15" x14ac:dyDescent="0.35">
      <c r="A1508" s="58" t="s">
        <v>320</v>
      </c>
      <c r="B1508" s="58" t="s">
        <v>176</v>
      </c>
      <c r="C1508" s="58">
        <v>4</v>
      </c>
      <c r="D1508" s="58">
        <v>107</v>
      </c>
      <c r="E1508" s="59">
        <v>125.375</v>
      </c>
    </row>
    <row r="1509" spans="1:5" ht="15" x14ac:dyDescent="0.35">
      <c r="A1509" s="58" t="s">
        <v>320</v>
      </c>
      <c r="B1509" s="58" t="s">
        <v>176</v>
      </c>
      <c r="C1509" s="58">
        <v>5</v>
      </c>
      <c r="D1509" s="58">
        <v>108</v>
      </c>
      <c r="E1509" s="59">
        <v>125.375</v>
      </c>
    </row>
    <row r="1510" spans="1:5" ht="15" x14ac:dyDescent="0.35">
      <c r="A1510" s="58" t="s">
        <v>320</v>
      </c>
      <c r="B1510" s="58" t="s">
        <v>176</v>
      </c>
      <c r="C1510" s="58">
        <v>6</v>
      </c>
      <c r="D1510" s="58">
        <v>109</v>
      </c>
      <c r="E1510" s="59">
        <v>125.375</v>
      </c>
    </row>
    <row r="1511" spans="1:5" ht="15" x14ac:dyDescent="0.35">
      <c r="A1511" s="58" t="s">
        <v>320</v>
      </c>
      <c r="B1511" s="58" t="s">
        <v>176</v>
      </c>
      <c r="C1511" s="58">
        <v>7</v>
      </c>
      <c r="D1511" s="58">
        <v>110</v>
      </c>
      <c r="E1511" s="59">
        <v>125.375</v>
      </c>
    </row>
    <row r="1512" spans="1:5" ht="15" x14ac:dyDescent="0.35">
      <c r="A1512" s="58" t="s">
        <v>320</v>
      </c>
      <c r="B1512" s="58" t="s">
        <v>176</v>
      </c>
      <c r="C1512" s="58">
        <v>8</v>
      </c>
      <c r="D1512" s="58">
        <v>111</v>
      </c>
      <c r="E1512" s="59">
        <v>125.375</v>
      </c>
    </row>
    <row r="1513" spans="1:5" ht="15" x14ac:dyDescent="0.35">
      <c r="A1513" s="58" t="s">
        <v>320</v>
      </c>
      <c r="B1513" s="58" t="s">
        <v>176</v>
      </c>
      <c r="C1513" s="58">
        <v>9</v>
      </c>
      <c r="D1513" s="58">
        <v>112</v>
      </c>
      <c r="E1513" s="59">
        <v>125.375</v>
      </c>
    </row>
    <row r="1514" spans="1:5" ht="15" x14ac:dyDescent="0.35">
      <c r="A1514" s="58" t="s">
        <v>320</v>
      </c>
      <c r="B1514" s="58" t="s">
        <v>176</v>
      </c>
      <c r="C1514" s="58">
        <v>10</v>
      </c>
      <c r="D1514" s="58">
        <v>113</v>
      </c>
      <c r="E1514" s="59">
        <v>125.375</v>
      </c>
    </row>
    <row r="1515" spans="1:5" ht="15" x14ac:dyDescent="0.35">
      <c r="A1515" s="58" t="s">
        <v>320</v>
      </c>
      <c r="B1515" s="58" t="s">
        <v>176</v>
      </c>
      <c r="C1515" s="58">
        <v>11</v>
      </c>
      <c r="D1515" s="58">
        <v>114</v>
      </c>
      <c r="E1515" s="59">
        <v>125.375</v>
      </c>
    </row>
    <row r="1516" spans="1:5" ht="15" x14ac:dyDescent="0.35">
      <c r="A1516" s="58" t="s">
        <v>320</v>
      </c>
      <c r="B1516" s="58" t="s">
        <v>176</v>
      </c>
      <c r="C1516" s="58">
        <v>12</v>
      </c>
      <c r="D1516" s="58">
        <v>115</v>
      </c>
      <c r="E1516" s="59">
        <v>125.375</v>
      </c>
    </row>
    <row r="1517" spans="1:5" ht="15" x14ac:dyDescent="0.35">
      <c r="A1517" s="58" t="s">
        <v>320</v>
      </c>
      <c r="B1517" s="58" t="s">
        <v>172</v>
      </c>
      <c r="C1517" s="58">
        <v>1</v>
      </c>
      <c r="D1517" s="58">
        <v>104</v>
      </c>
      <c r="E1517" s="59">
        <v>151</v>
      </c>
    </row>
    <row r="1518" spans="1:5" ht="15" x14ac:dyDescent="0.35">
      <c r="A1518" s="58" t="s">
        <v>320</v>
      </c>
      <c r="B1518" s="58" t="s">
        <v>172</v>
      </c>
      <c r="C1518" s="58">
        <v>2</v>
      </c>
      <c r="D1518" s="58">
        <v>105</v>
      </c>
      <c r="E1518" s="59">
        <v>151</v>
      </c>
    </row>
    <row r="1519" spans="1:5" ht="15" x14ac:dyDescent="0.35">
      <c r="A1519" s="58" t="s">
        <v>320</v>
      </c>
      <c r="B1519" s="58" t="s">
        <v>172</v>
      </c>
      <c r="C1519" s="58">
        <v>3</v>
      </c>
      <c r="D1519" s="58">
        <v>106</v>
      </c>
      <c r="E1519" s="59">
        <v>151</v>
      </c>
    </row>
    <row r="1520" spans="1:5" ht="15" x14ac:dyDescent="0.35">
      <c r="A1520" s="58" t="s">
        <v>320</v>
      </c>
      <c r="B1520" s="58" t="s">
        <v>172</v>
      </c>
      <c r="C1520" s="58">
        <v>4</v>
      </c>
      <c r="D1520" s="58">
        <v>107</v>
      </c>
      <c r="E1520" s="59">
        <v>151</v>
      </c>
    </row>
    <row r="1521" spans="1:5" ht="15" x14ac:dyDescent="0.35">
      <c r="A1521" s="58" t="s">
        <v>320</v>
      </c>
      <c r="B1521" s="58" t="s">
        <v>172</v>
      </c>
      <c r="C1521" s="58">
        <v>5</v>
      </c>
      <c r="D1521" s="58">
        <v>108</v>
      </c>
      <c r="E1521" s="59">
        <v>151</v>
      </c>
    </row>
    <row r="1522" spans="1:5" ht="15" x14ac:dyDescent="0.35">
      <c r="A1522" s="58" t="s">
        <v>320</v>
      </c>
      <c r="B1522" s="58" t="s">
        <v>172</v>
      </c>
      <c r="C1522" s="58">
        <v>6</v>
      </c>
      <c r="D1522" s="58">
        <v>109</v>
      </c>
      <c r="E1522" s="59">
        <v>151</v>
      </c>
    </row>
    <row r="1523" spans="1:5" ht="15" x14ac:dyDescent="0.35">
      <c r="A1523" s="58" t="s">
        <v>320</v>
      </c>
      <c r="B1523" s="58" t="s">
        <v>172</v>
      </c>
      <c r="C1523" s="58">
        <v>7</v>
      </c>
      <c r="D1523" s="58">
        <v>110</v>
      </c>
      <c r="E1523" s="59">
        <v>151</v>
      </c>
    </row>
    <row r="1524" spans="1:5" ht="15" x14ac:dyDescent="0.35">
      <c r="A1524" s="58" t="s">
        <v>320</v>
      </c>
      <c r="B1524" s="58" t="s">
        <v>172</v>
      </c>
      <c r="C1524" s="58">
        <v>8</v>
      </c>
      <c r="D1524" s="58">
        <v>111</v>
      </c>
      <c r="E1524" s="59">
        <v>151</v>
      </c>
    </row>
    <row r="1525" spans="1:5" ht="15" x14ac:dyDescent="0.35">
      <c r="A1525" s="58" t="s">
        <v>320</v>
      </c>
      <c r="B1525" s="58" t="s">
        <v>172</v>
      </c>
      <c r="C1525" s="58">
        <v>9</v>
      </c>
      <c r="D1525" s="58">
        <v>112</v>
      </c>
      <c r="E1525" s="59">
        <v>151</v>
      </c>
    </row>
    <row r="1526" spans="1:5" ht="15" x14ac:dyDescent="0.35">
      <c r="A1526" s="58" t="s">
        <v>320</v>
      </c>
      <c r="B1526" s="58" t="s">
        <v>172</v>
      </c>
      <c r="C1526" s="58">
        <v>10</v>
      </c>
      <c r="D1526" s="58">
        <v>113</v>
      </c>
      <c r="E1526" s="59">
        <v>151</v>
      </c>
    </row>
    <row r="1527" spans="1:5" ht="15" x14ac:dyDescent="0.35">
      <c r="A1527" s="58" t="s">
        <v>320</v>
      </c>
      <c r="B1527" s="58" t="s">
        <v>172</v>
      </c>
      <c r="C1527" s="58">
        <v>11</v>
      </c>
      <c r="D1527" s="58">
        <v>114</v>
      </c>
      <c r="E1527" s="59">
        <v>151</v>
      </c>
    </row>
    <row r="1528" spans="1:5" ht="15" x14ac:dyDescent="0.35">
      <c r="A1528" s="58" t="s">
        <v>320</v>
      </c>
      <c r="B1528" s="58" t="s">
        <v>172</v>
      </c>
      <c r="C1528" s="58">
        <v>12</v>
      </c>
      <c r="D1528" s="58">
        <v>115</v>
      </c>
      <c r="E1528" s="59">
        <v>151</v>
      </c>
    </row>
    <row r="1529" spans="1:5" ht="15" x14ac:dyDescent="0.35">
      <c r="A1529" s="58" t="s">
        <v>320</v>
      </c>
      <c r="B1529" s="58" t="s">
        <v>180</v>
      </c>
      <c r="C1529" s="58">
        <v>1</v>
      </c>
      <c r="D1529" s="58">
        <v>104</v>
      </c>
      <c r="E1529" s="59">
        <v>173.14099999999999</v>
      </c>
    </row>
    <row r="1530" spans="1:5" ht="15" x14ac:dyDescent="0.35">
      <c r="A1530" s="58" t="s">
        <v>320</v>
      </c>
      <c r="B1530" s="58" t="s">
        <v>180</v>
      </c>
      <c r="C1530" s="58">
        <v>2</v>
      </c>
      <c r="D1530" s="58">
        <v>105</v>
      </c>
      <c r="E1530" s="59">
        <v>173.14099999999999</v>
      </c>
    </row>
    <row r="1531" spans="1:5" ht="15" x14ac:dyDescent="0.35">
      <c r="A1531" s="58" t="s">
        <v>320</v>
      </c>
      <c r="B1531" s="58" t="s">
        <v>180</v>
      </c>
      <c r="C1531" s="58">
        <v>3</v>
      </c>
      <c r="D1531" s="58">
        <v>106</v>
      </c>
      <c r="E1531" s="59">
        <v>173.14099999999999</v>
      </c>
    </row>
    <row r="1532" spans="1:5" ht="15" x14ac:dyDescent="0.35">
      <c r="A1532" s="58" t="s">
        <v>320</v>
      </c>
      <c r="B1532" s="58" t="s">
        <v>180</v>
      </c>
      <c r="C1532" s="58">
        <v>4</v>
      </c>
      <c r="D1532" s="58">
        <v>107</v>
      </c>
      <c r="E1532" s="59">
        <v>173.14099999999999</v>
      </c>
    </row>
    <row r="1533" spans="1:5" ht="15" x14ac:dyDescent="0.35">
      <c r="A1533" s="58" t="s">
        <v>320</v>
      </c>
      <c r="B1533" s="58" t="s">
        <v>180</v>
      </c>
      <c r="C1533" s="58">
        <v>5</v>
      </c>
      <c r="D1533" s="58">
        <v>108</v>
      </c>
      <c r="E1533" s="59">
        <v>173.14099999999999</v>
      </c>
    </row>
    <row r="1534" spans="1:5" ht="15" x14ac:dyDescent="0.35">
      <c r="A1534" s="58" t="s">
        <v>320</v>
      </c>
      <c r="B1534" s="58" t="s">
        <v>180</v>
      </c>
      <c r="C1534" s="58">
        <v>6</v>
      </c>
      <c r="D1534" s="58">
        <v>109</v>
      </c>
      <c r="E1534" s="59">
        <v>173.14099999999999</v>
      </c>
    </row>
    <row r="1535" spans="1:5" ht="15" x14ac:dyDescent="0.35">
      <c r="A1535" s="58" t="s">
        <v>320</v>
      </c>
      <c r="B1535" s="58" t="s">
        <v>180</v>
      </c>
      <c r="C1535" s="58">
        <v>7</v>
      </c>
      <c r="D1535" s="58">
        <v>110</v>
      </c>
      <c r="E1535" s="59">
        <v>173.14099999999999</v>
      </c>
    </row>
    <row r="1536" spans="1:5" ht="15" x14ac:dyDescent="0.35">
      <c r="A1536" s="58" t="s">
        <v>320</v>
      </c>
      <c r="B1536" s="58" t="s">
        <v>180</v>
      </c>
      <c r="C1536" s="58">
        <v>8</v>
      </c>
      <c r="D1536" s="58">
        <v>111</v>
      </c>
      <c r="E1536" s="59">
        <v>173.14099999999999</v>
      </c>
    </row>
    <row r="1537" spans="1:5" ht="15" x14ac:dyDescent="0.35">
      <c r="A1537" s="58" t="s">
        <v>320</v>
      </c>
      <c r="B1537" s="58" t="s">
        <v>180</v>
      </c>
      <c r="C1537" s="58">
        <v>9</v>
      </c>
      <c r="D1537" s="58">
        <v>112</v>
      </c>
      <c r="E1537" s="59">
        <v>173.14099999999999</v>
      </c>
    </row>
    <row r="1538" spans="1:5" ht="15" x14ac:dyDescent="0.35">
      <c r="A1538" s="58" t="s">
        <v>320</v>
      </c>
      <c r="B1538" s="58" t="s">
        <v>180</v>
      </c>
      <c r="C1538" s="58">
        <v>10</v>
      </c>
      <c r="D1538" s="58">
        <v>113</v>
      </c>
      <c r="E1538" s="59">
        <v>173.14099999999999</v>
      </c>
    </row>
    <row r="1539" spans="1:5" ht="15" x14ac:dyDescent="0.35">
      <c r="A1539" s="58" t="s">
        <v>320</v>
      </c>
      <c r="B1539" s="58" t="s">
        <v>180</v>
      </c>
      <c r="C1539" s="58">
        <v>11</v>
      </c>
      <c r="D1539" s="58">
        <v>114</v>
      </c>
      <c r="E1539" s="59">
        <v>173.14099999999999</v>
      </c>
    </row>
    <row r="1540" spans="1:5" ht="15" x14ac:dyDescent="0.35">
      <c r="A1540" s="58" t="s">
        <v>320</v>
      </c>
      <c r="B1540" s="58" t="s">
        <v>180</v>
      </c>
      <c r="C1540" s="58">
        <v>12</v>
      </c>
      <c r="D1540" s="58">
        <v>115</v>
      </c>
      <c r="E1540" s="59">
        <v>173.14099999999999</v>
      </c>
    </row>
    <row r="1541" spans="1:5" ht="15" x14ac:dyDescent="0.35">
      <c r="A1541" s="58" t="s">
        <v>299</v>
      </c>
      <c r="B1541" s="58" t="s">
        <v>182</v>
      </c>
      <c r="C1541" s="58">
        <v>1</v>
      </c>
      <c r="D1541" s="58">
        <v>104</v>
      </c>
      <c r="E1541" s="59">
        <v>61.326700000000002</v>
      </c>
    </row>
    <row r="1542" spans="1:5" ht="15" x14ac:dyDescent="0.35">
      <c r="A1542" s="58" t="s">
        <v>299</v>
      </c>
      <c r="B1542" s="58" t="s">
        <v>182</v>
      </c>
      <c r="C1542" s="58">
        <v>2</v>
      </c>
      <c r="D1542" s="58">
        <v>105</v>
      </c>
      <c r="E1542" s="59">
        <v>59.882199999999997</v>
      </c>
    </row>
    <row r="1543" spans="1:5" ht="15" x14ac:dyDescent="0.35">
      <c r="A1543" s="58" t="s">
        <v>299</v>
      </c>
      <c r="B1543" s="58" t="s">
        <v>182</v>
      </c>
      <c r="C1543" s="58">
        <v>3</v>
      </c>
      <c r="D1543" s="58">
        <v>106</v>
      </c>
      <c r="E1543" s="59">
        <v>66.882199999999997</v>
      </c>
    </row>
    <row r="1544" spans="1:5" ht="15" x14ac:dyDescent="0.35">
      <c r="A1544" s="58" t="s">
        <v>299</v>
      </c>
      <c r="B1544" s="58" t="s">
        <v>182</v>
      </c>
      <c r="C1544" s="58">
        <v>4</v>
      </c>
      <c r="D1544" s="58">
        <v>107</v>
      </c>
      <c r="E1544" s="59">
        <v>66.3108</v>
      </c>
    </row>
    <row r="1545" spans="1:5" ht="15" x14ac:dyDescent="0.35">
      <c r="A1545" s="58" t="s">
        <v>299</v>
      </c>
      <c r="B1545" s="58" t="s">
        <v>182</v>
      </c>
      <c r="C1545" s="58">
        <v>5</v>
      </c>
      <c r="D1545" s="58">
        <v>108</v>
      </c>
      <c r="E1545" s="59">
        <v>62.632199999999997</v>
      </c>
    </row>
    <row r="1546" spans="1:5" ht="15" x14ac:dyDescent="0.35">
      <c r="A1546" s="58" t="s">
        <v>299</v>
      </c>
      <c r="B1546" s="58" t="s">
        <v>182</v>
      </c>
      <c r="C1546" s="58">
        <v>6</v>
      </c>
      <c r="D1546" s="58">
        <v>109</v>
      </c>
      <c r="E1546" s="59">
        <v>63.326700000000002</v>
      </c>
    </row>
    <row r="1547" spans="1:5" ht="15" x14ac:dyDescent="0.35">
      <c r="A1547" s="58" t="s">
        <v>299</v>
      </c>
      <c r="B1547" s="58" t="s">
        <v>182</v>
      </c>
      <c r="C1547" s="58">
        <v>7</v>
      </c>
      <c r="D1547" s="58">
        <v>110</v>
      </c>
      <c r="E1547" s="59">
        <v>56.771099999999997</v>
      </c>
    </row>
    <row r="1548" spans="1:5" ht="15" x14ac:dyDescent="0.35">
      <c r="A1548" s="58" t="s">
        <v>299</v>
      </c>
      <c r="B1548" s="58" t="s">
        <v>182</v>
      </c>
      <c r="C1548" s="58">
        <v>8</v>
      </c>
      <c r="D1548" s="58">
        <v>111</v>
      </c>
      <c r="E1548" s="59">
        <v>49.326700000000002</v>
      </c>
    </row>
    <row r="1549" spans="1:5" ht="15" x14ac:dyDescent="0.35">
      <c r="A1549" s="58" t="s">
        <v>299</v>
      </c>
      <c r="B1549" s="58" t="s">
        <v>182</v>
      </c>
      <c r="C1549" s="58">
        <v>9</v>
      </c>
      <c r="D1549" s="58">
        <v>112</v>
      </c>
      <c r="E1549" s="59">
        <v>54.215499999999999</v>
      </c>
    </row>
    <row r="1550" spans="1:5" ht="15" x14ac:dyDescent="0.35">
      <c r="A1550" s="58" t="s">
        <v>299</v>
      </c>
      <c r="B1550" s="58" t="s">
        <v>182</v>
      </c>
      <c r="C1550" s="58">
        <v>10</v>
      </c>
      <c r="D1550" s="58">
        <v>113</v>
      </c>
      <c r="E1550" s="59">
        <v>63.215499999999999</v>
      </c>
    </row>
    <row r="1551" spans="1:5" ht="15" x14ac:dyDescent="0.35">
      <c r="A1551" s="58" t="s">
        <v>299</v>
      </c>
      <c r="B1551" s="58" t="s">
        <v>182</v>
      </c>
      <c r="C1551" s="58">
        <v>11</v>
      </c>
      <c r="D1551" s="58">
        <v>114</v>
      </c>
      <c r="E1551" s="59">
        <v>58.437800000000003</v>
      </c>
    </row>
    <row r="1552" spans="1:5" ht="15" x14ac:dyDescent="0.35">
      <c r="A1552" s="58" t="s">
        <v>299</v>
      </c>
      <c r="B1552" s="58" t="s">
        <v>182</v>
      </c>
      <c r="C1552" s="58">
        <v>12</v>
      </c>
      <c r="D1552" s="58">
        <v>115</v>
      </c>
      <c r="E1552" s="59">
        <v>54.771099999999997</v>
      </c>
    </row>
    <row r="1553" spans="1:5" ht="15" x14ac:dyDescent="0.35">
      <c r="A1553" s="58" t="s">
        <v>299</v>
      </c>
      <c r="B1553" s="58" t="s">
        <v>176</v>
      </c>
      <c r="C1553" s="58">
        <v>1</v>
      </c>
      <c r="D1553" s="58">
        <v>104</v>
      </c>
      <c r="E1553" s="59">
        <v>44</v>
      </c>
    </row>
    <row r="1554" spans="1:5" ht="15" x14ac:dyDescent="0.35">
      <c r="A1554" s="58" t="s">
        <v>299</v>
      </c>
      <c r="B1554" s="58" t="s">
        <v>176</v>
      </c>
      <c r="C1554" s="58">
        <v>2</v>
      </c>
      <c r="D1554" s="58">
        <v>105</v>
      </c>
      <c r="E1554" s="59">
        <v>44</v>
      </c>
    </row>
    <row r="1555" spans="1:5" ht="15" x14ac:dyDescent="0.35">
      <c r="A1555" s="58" t="s">
        <v>299</v>
      </c>
      <c r="B1555" s="58" t="s">
        <v>176</v>
      </c>
      <c r="C1555" s="58">
        <v>3</v>
      </c>
      <c r="D1555" s="58">
        <v>106</v>
      </c>
      <c r="E1555" s="59">
        <v>44</v>
      </c>
    </row>
    <row r="1556" spans="1:5" ht="15" x14ac:dyDescent="0.35">
      <c r="A1556" s="58" t="s">
        <v>299</v>
      </c>
      <c r="B1556" s="58" t="s">
        <v>176</v>
      </c>
      <c r="C1556" s="58">
        <v>4</v>
      </c>
      <c r="D1556" s="58">
        <v>107</v>
      </c>
      <c r="E1556" s="59">
        <v>44</v>
      </c>
    </row>
    <row r="1557" spans="1:5" ht="15" x14ac:dyDescent="0.35">
      <c r="A1557" s="58" t="s">
        <v>299</v>
      </c>
      <c r="B1557" s="58" t="s">
        <v>176</v>
      </c>
      <c r="C1557" s="58">
        <v>5</v>
      </c>
      <c r="D1557" s="58">
        <v>108</v>
      </c>
      <c r="E1557" s="59">
        <v>44</v>
      </c>
    </row>
    <row r="1558" spans="1:5" ht="15" x14ac:dyDescent="0.35">
      <c r="A1558" s="58" t="s">
        <v>299</v>
      </c>
      <c r="B1558" s="58" t="s">
        <v>176</v>
      </c>
      <c r="C1558" s="58">
        <v>6</v>
      </c>
      <c r="D1558" s="58">
        <v>109</v>
      </c>
      <c r="E1558" s="59">
        <v>44</v>
      </c>
    </row>
    <row r="1559" spans="1:5" ht="15" x14ac:dyDescent="0.35">
      <c r="A1559" s="58" t="s">
        <v>299</v>
      </c>
      <c r="B1559" s="58" t="s">
        <v>176</v>
      </c>
      <c r="C1559" s="58">
        <v>7</v>
      </c>
      <c r="D1559" s="58">
        <v>110</v>
      </c>
      <c r="E1559" s="59">
        <v>44</v>
      </c>
    </row>
    <row r="1560" spans="1:5" ht="15" x14ac:dyDescent="0.35">
      <c r="A1560" s="58" t="s">
        <v>299</v>
      </c>
      <c r="B1560" s="58" t="s">
        <v>176</v>
      </c>
      <c r="C1560" s="58">
        <v>8</v>
      </c>
      <c r="D1560" s="58">
        <v>111</v>
      </c>
      <c r="E1560" s="59">
        <v>44</v>
      </c>
    </row>
    <row r="1561" spans="1:5" ht="15" x14ac:dyDescent="0.35">
      <c r="A1561" s="58" t="s">
        <v>299</v>
      </c>
      <c r="B1561" s="58" t="s">
        <v>176</v>
      </c>
      <c r="C1561" s="58">
        <v>9</v>
      </c>
      <c r="D1561" s="58">
        <v>112</v>
      </c>
      <c r="E1561" s="59">
        <v>44</v>
      </c>
    </row>
    <row r="1562" spans="1:5" ht="15" x14ac:dyDescent="0.35">
      <c r="A1562" s="58" t="s">
        <v>299</v>
      </c>
      <c r="B1562" s="58" t="s">
        <v>176</v>
      </c>
      <c r="C1562" s="58">
        <v>10</v>
      </c>
      <c r="D1562" s="58">
        <v>113</v>
      </c>
      <c r="E1562" s="59">
        <v>44</v>
      </c>
    </row>
    <row r="1563" spans="1:5" ht="15" x14ac:dyDescent="0.35">
      <c r="A1563" s="58" t="s">
        <v>299</v>
      </c>
      <c r="B1563" s="58" t="s">
        <v>176</v>
      </c>
      <c r="C1563" s="58">
        <v>11</v>
      </c>
      <c r="D1563" s="58">
        <v>114</v>
      </c>
      <c r="E1563" s="59">
        <v>44</v>
      </c>
    </row>
    <row r="1564" spans="1:5" ht="15" x14ac:dyDescent="0.35">
      <c r="A1564" s="58" t="s">
        <v>299</v>
      </c>
      <c r="B1564" s="58" t="s">
        <v>176</v>
      </c>
      <c r="C1564" s="58">
        <v>12</v>
      </c>
      <c r="D1564" s="58">
        <v>115</v>
      </c>
      <c r="E1564" s="59">
        <v>44</v>
      </c>
    </row>
    <row r="1565" spans="1:5" ht="15" x14ac:dyDescent="0.35">
      <c r="A1565" s="58" t="s">
        <v>299</v>
      </c>
      <c r="B1565" s="58" t="s">
        <v>172</v>
      </c>
      <c r="C1565" s="58">
        <v>1</v>
      </c>
      <c r="D1565" s="58">
        <v>104</v>
      </c>
      <c r="E1565" s="59">
        <v>104</v>
      </c>
    </row>
    <row r="1566" spans="1:5" ht="15" x14ac:dyDescent="0.35">
      <c r="A1566" s="58" t="s">
        <v>299</v>
      </c>
      <c r="B1566" s="58" t="s">
        <v>172</v>
      </c>
      <c r="C1566" s="58">
        <v>2</v>
      </c>
      <c r="D1566" s="58">
        <v>105</v>
      </c>
      <c r="E1566" s="59">
        <v>104</v>
      </c>
    </row>
    <row r="1567" spans="1:5" ht="15" x14ac:dyDescent="0.35">
      <c r="A1567" s="58" t="s">
        <v>299</v>
      </c>
      <c r="B1567" s="58" t="s">
        <v>172</v>
      </c>
      <c r="C1567" s="58">
        <v>3</v>
      </c>
      <c r="D1567" s="58">
        <v>106</v>
      </c>
      <c r="E1567" s="59">
        <v>104</v>
      </c>
    </row>
    <row r="1568" spans="1:5" ht="15" x14ac:dyDescent="0.35">
      <c r="A1568" s="58" t="s">
        <v>299</v>
      </c>
      <c r="B1568" s="58" t="s">
        <v>172</v>
      </c>
      <c r="C1568" s="58">
        <v>4</v>
      </c>
      <c r="D1568" s="58">
        <v>107</v>
      </c>
      <c r="E1568" s="59">
        <v>104</v>
      </c>
    </row>
    <row r="1569" spans="1:5" ht="15" x14ac:dyDescent="0.35">
      <c r="A1569" s="58" t="s">
        <v>299</v>
      </c>
      <c r="B1569" s="58" t="s">
        <v>172</v>
      </c>
      <c r="C1569" s="58">
        <v>5</v>
      </c>
      <c r="D1569" s="58">
        <v>108</v>
      </c>
      <c r="E1569" s="59">
        <v>104</v>
      </c>
    </row>
    <row r="1570" spans="1:5" ht="15" x14ac:dyDescent="0.35">
      <c r="A1570" s="58" t="s">
        <v>299</v>
      </c>
      <c r="B1570" s="58" t="s">
        <v>172</v>
      </c>
      <c r="C1570" s="58">
        <v>6</v>
      </c>
      <c r="D1570" s="58">
        <v>109</v>
      </c>
      <c r="E1570" s="59">
        <v>104</v>
      </c>
    </row>
    <row r="1571" spans="1:5" ht="15" x14ac:dyDescent="0.35">
      <c r="A1571" s="58" t="s">
        <v>299</v>
      </c>
      <c r="B1571" s="58" t="s">
        <v>172</v>
      </c>
      <c r="C1571" s="58">
        <v>7</v>
      </c>
      <c r="D1571" s="58">
        <v>110</v>
      </c>
      <c r="E1571" s="59">
        <v>104</v>
      </c>
    </row>
    <row r="1572" spans="1:5" ht="15" x14ac:dyDescent="0.35">
      <c r="A1572" s="58" t="s">
        <v>299</v>
      </c>
      <c r="B1572" s="58" t="s">
        <v>172</v>
      </c>
      <c r="C1572" s="58">
        <v>8</v>
      </c>
      <c r="D1572" s="58">
        <v>111</v>
      </c>
      <c r="E1572" s="59">
        <v>104</v>
      </c>
    </row>
    <row r="1573" spans="1:5" ht="15" x14ac:dyDescent="0.35">
      <c r="A1573" s="58" t="s">
        <v>299</v>
      </c>
      <c r="B1573" s="58" t="s">
        <v>172</v>
      </c>
      <c r="C1573" s="58">
        <v>9</v>
      </c>
      <c r="D1573" s="58">
        <v>112</v>
      </c>
      <c r="E1573" s="59">
        <v>104</v>
      </c>
    </row>
    <row r="1574" spans="1:5" ht="15" x14ac:dyDescent="0.35">
      <c r="A1574" s="58" t="s">
        <v>299</v>
      </c>
      <c r="B1574" s="58" t="s">
        <v>172</v>
      </c>
      <c r="C1574" s="58">
        <v>10</v>
      </c>
      <c r="D1574" s="58">
        <v>113</v>
      </c>
      <c r="E1574" s="59">
        <v>104</v>
      </c>
    </row>
    <row r="1575" spans="1:5" ht="15" x14ac:dyDescent="0.35">
      <c r="A1575" s="58" t="s">
        <v>299</v>
      </c>
      <c r="B1575" s="58" t="s">
        <v>172</v>
      </c>
      <c r="C1575" s="58">
        <v>11</v>
      </c>
      <c r="D1575" s="58">
        <v>114</v>
      </c>
      <c r="E1575" s="59">
        <v>104</v>
      </c>
    </row>
    <row r="1576" spans="1:5" ht="15" x14ac:dyDescent="0.35">
      <c r="A1576" s="58" t="s">
        <v>299</v>
      </c>
      <c r="B1576" s="58" t="s">
        <v>172</v>
      </c>
      <c r="C1576" s="58">
        <v>12</v>
      </c>
      <c r="D1576" s="58">
        <v>115</v>
      </c>
      <c r="E1576" s="59">
        <v>104</v>
      </c>
    </row>
    <row r="1577" spans="1:5" ht="15" x14ac:dyDescent="0.35">
      <c r="A1577" s="58" t="s">
        <v>299</v>
      </c>
      <c r="B1577" s="58" t="s">
        <v>180</v>
      </c>
      <c r="C1577" s="58">
        <v>1</v>
      </c>
      <c r="D1577" s="58">
        <v>104</v>
      </c>
      <c r="E1577" s="59">
        <v>66.323499999999996</v>
      </c>
    </row>
    <row r="1578" spans="1:5" ht="15" x14ac:dyDescent="0.35">
      <c r="A1578" s="58" t="s">
        <v>299</v>
      </c>
      <c r="B1578" s="58" t="s">
        <v>180</v>
      </c>
      <c r="C1578" s="58">
        <v>2</v>
      </c>
      <c r="D1578" s="58">
        <v>105</v>
      </c>
      <c r="E1578" s="59">
        <v>66.323499999999996</v>
      </c>
    </row>
    <row r="1579" spans="1:5" ht="15" x14ac:dyDescent="0.35">
      <c r="A1579" s="58" t="s">
        <v>299</v>
      </c>
      <c r="B1579" s="58" t="s">
        <v>180</v>
      </c>
      <c r="C1579" s="58">
        <v>3</v>
      </c>
      <c r="D1579" s="58">
        <v>106</v>
      </c>
      <c r="E1579" s="59">
        <v>66.323499999999996</v>
      </c>
    </row>
    <row r="1580" spans="1:5" ht="15" x14ac:dyDescent="0.35">
      <c r="A1580" s="58" t="s">
        <v>299</v>
      </c>
      <c r="B1580" s="58" t="s">
        <v>180</v>
      </c>
      <c r="C1580" s="58">
        <v>4</v>
      </c>
      <c r="D1580" s="58">
        <v>107</v>
      </c>
      <c r="E1580" s="59">
        <v>66.323499999999996</v>
      </c>
    </row>
    <row r="1581" spans="1:5" ht="15" x14ac:dyDescent="0.35">
      <c r="A1581" s="58" t="s">
        <v>299</v>
      </c>
      <c r="B1581" s="58" t="s">
        <v>180</v>
      </c>
      <c r="C1581" s="58">
        <v>5</v>
      </c>
      <c r="D1581" s="58">
        <v>108</v>
      </c>
      <c r="E1581" s="59">
        <v>66.323499999999996</v>
      </c>
    </row>
    <row r="1582" spans="1:5" ht="15" x14ac:dyDescent="0.35">
      <c r="A1582" s="58" t="s">
        <v>299</v>
      </c>
      <c r="B1582" s="58" t="s">
        <v>180</v>
      </c>
      <c r="C1582" s="58">
        <v>6</v>
      </c>
      <c r="D1582" s="58">
        <v>109</v>
      </c>
      <c r="E1582" s="59">
        <v>66.323499999999996</v>
      </c>
    </row>
    <row r="1583" spans="1:5" ht="15" x14ac:dyDescent="0.35">
      <c r="A1583" s="58" t="s">
        <v>299</v>
      </c>
      <c r="B1583" s="58" t="s">
        <v>180</v>
      </c>
      <c r="C1583" s="58">
        <v>7</v>
      </c>
      <c r="D1583" s="58">
        <v>110</v>
      </c>
      <c r="E1583" s="59">
        <v>66.323499999999996</v>
      </c>
    </row>
    <row r="1584" spans="1:5" ht="15" x14ac:dyDescent="0.35">
      <c r="A1584" s="58" t="s">
        <v>299</v>
      </c>
      <c r="B1584" s="58" t="s">
        <v>180</v>
      </c>
      <c r="C1584" s="58">
        <v>8</v>
      </c>
      <c r="D1584" s="58">
        <v>111</v>
      </c>
      <c r="E1584" s="59">
        <v>66.323499999999996</v>
      </c>
    </row>
    <row r="1585" spans="1:5" ht="15" x14ac:dyDescent="0.35">
      <c r="A1585" s="58" t="s">
        <v>299</v>
      </c>
      <c r="B1585" s="58" t="s">
        <v>180</v>
      </c>
      <c r="C1585" s="58">
        <v>9</v>
      </c>
      <c r="D1585" s="58">
        <v>112</v>
      </c>
      <c r="E1585" s="59">
        <v>66.323499999999996</v>
      </c>
    </row>
    <row r="1586" spans="1:5" ht="15" x14ac:dyDescent="0.35">
      <c r="A1586" s="58" t="s">
        <v>299</v>
      </c>
      <c r="B1586" s="58" t="s">
        <v>180</v>
      </c>
      <c r="C1586" s="58">
        <v>10</v>
      </c>
      <c r="D1586" s="58">
        <v>113</v>
      </c>
      <c r="E1586" s="59">
        <v>66.323499999999996</v>
      </c>
    </row>
    <row r="1587" spans="1:5" ht="15" x14ac:dyDescent="0.35">
      <c r="A1587" s="58" t="s">
        <v>299</v>
      </c>
      <c r="B1587" s="58" t="s">
        <v>180</v>
      </c>
      <c r="C1587" s="58">
        <v>11</v>
      </c>
      <c r="D1587" s="58">
        <v>114</v>
      </c>
      <c r="E1587" s="59">
        <v>66.323499999999996</v>
      </c>
    </row>
    <row r="1588" spans="1:5" ht="15" x14ac:dyDescent="0.35">
      <c r="A1588" s="58" t="s">
        <v>299</v>
      </c>
      <c r="B1588" s="58" t="s">
        <v>180</v>
      </c>
      <c r="C1588" s="58">
        <v>12</v>
      </c>
      <c r="D1588" s="58">
        <v>115</v>
      </c>
      <c r="E1588" s="59">
        <v>66.323499999999996</v>
      </c>
    </row>
    <row r="1589" spans="1:5" ht="15" x14ac:dyDescent="0.35">
      <c r="A1589" s="58" t="s">
        <v>349</v>
      </c>
      <c r="B1589" s="58" t="s">
        <v>182</v>
      </c>
      <c r="C1589" s="58">
        <v>1</v>
      </c>
      <c r="D1589" s="58">
        <v>104</v>
      </c>
      <c r="E1589" s="59">
        <v>36.3767</v>
      </c>
    </row>
    <row r="1590" spans="1:5" ht="15" x14ac:dyDescent="0.35">
      <c r="A1590" s="58" t="s">
        <v>349</v>
      </c>
      <c r="B1590" s="58" t="s">
        <v>182</v>
      </c>
      <c r="C1590" s="58">
        <v>2</v>
      </c>
      <c r="D1590" s="58">
        <v>105</v>
      </c>
      <c r="E1590" s="59">
        <v>82.398899999999998</v>
      </c>
    </row>
    <row r="1591" spans="1:5" ht="15" x14ac:dyDescent="0.35">
      <c r="A1591" s="58" t="s">
        <v>349</v>
      </c>
      <c r="B1591" s="58" t="s">
        <v>182</v>
      </c>
      <c r="C1591" s="58">
        <v>3</v>
      </c>
      <c r="D1591" s="58">
        <v>106</v>
      </c>
      <c r="E1591" s="59">
        <v>69.932199999999995</v>
      </c>
    </row>
    <row r="1592" spans="1:5" ht="15" x14ac:dyDescent="0.35">
      <c r="A1592" s="58" t="s">
        <v>349</v>
      </c>
      <c r="B1592" s="58" t="s">
        <v>182</v>
      </c>
      <c r="C1592" s="58">
        <v>4</v>
      </c>
      <c r="D1592" s="58">
        <v>107</v>
      </c>
      <c r="E1592" s="59">
        <v>68.456000000000003</v>
      </c>
    </row>
    <row r="1593" spans="1:5" ht="15" x14ac:dyDescent="0.35">
      <c r="A1593" s="58" t="s">
        <v>349</v>
      </c>
      <c r="B1593" s="58" t="s">
        <v>182</v>
      </c>
      <c r="C1593" s="58">
        <v>5</v>
      </c>
      <c r="D1593" s="58">
        <v>108</v>
      </c>
      <c r="E1593" s="59">
        <v>63.5989</v>
      </c>
    </row>
    <row r="1594" spans="1:5" ht="15" x14ac:dyDescent="0.35">
      <c r="A1594" s="58" t="s">
        <v>349</v>
      </c>
      <c r="B1594" s="58" t="s">
        <v>182</v>
      </c>
      <c r="C1594" s="58">
        <v>6</v>
      </c>
      <c r="D1594" s="58">
        <v>109</v>
      </c>
      <c r="E1594" s="59">
        <v>83.3767</v>
      </c>
    </row>
    <row r="1595" spans="1:5" ht="15" x14ac:dyDescent="0.35">
      <c r="A1595" s="58" t="s">
        <v>349</v>
      </c>
      <c r="B1595" s="58" t="s">
        <v>182</v>
      </c>
      <c r="C1595" s="58">
        <v>7</v>
      </c>
      <c r="D1595" s="58">
        <v>110</v>
      </c>
      <c r="E1595" s="59">
        <v>84.265600000000006</v>
      </c>
    </row>
    <row r="1596" spans="1:5" ht="15" x14ac:dyDescent="0.35">
      <c r="A1596" s="58" t="s">
        <v>349</v>
      </c>
      <c r="B1596" s="58" t="s">
        <v>182</v>
      </c>
      <c r="C1596" s="58">
        <v>8</v>
      </c>
      <c r="D1596" s="58">
        <v>111</v>
      </c>
      <c r="E1596" s="59">
        <v>95.487799999999993</v>
      </c>
    </row>
    <row r="1597" spans="1:5" ht="15" x14ac:dyDescent="0.35">
      <c r="A1597" s="58" t="s">
        <v>349</v>
      </c>
      <c r="B1597" s="58" t="s">
        <v>182</v>
      </c>
      <c r="C1597" s="58">
        <v>9</v>
      </c>
      <c r="D1597" s="58">
        <v>112</v>
      </c>
      <c r="E1597" s="59">
        <v>113.8211</v>
      </c>
    </row>
    <row r="1598" spans="1:5" ht="15" x14ac:dyDescent="0.35">
      <c r="A1598" s="58" t="s">
        <v>349</v>
      </c>
      <c r="B1598" s="58" t="s">
        <v>182</v>
      </c>
      <c r="C1598" s="58">
        <v>10</v>
      </c>
      <c r="D1598" s="58">
        <v>113</v>
      </c>
      <c r="E1598" s="59">
        <v>119.93219999999999</v>
      </c>
    </row>
    <row r="1599" spans="1:5" ht="15" x14ac:dyDescent="0.35">
      <c r="A1599" s="58" t="s">
        <v>349</v>
      </c>
      <c r="B1599" s="58" t="s">
        <v>182</v>
      </c>
      <c r="C1599" s="58">
        <v>11</v>
      </c>
      <c r="D1599" s="58">
        <v>114</v>
      </c>
      <c r="E1599" s="59">
        <v>101.93219999999999</v>
      </c>
    </row>
    <row r="1600" spans="1:5" ht="15" x14ac:dyDescent="0.35">
      <c r="A1600" s="58" t="s">
        <v>349</v>
      </c>
      <c r="B1600" s="58" t="s">
        <v>182</v>
      </c>
      <c r="C1600" s="58">
        <v>12</v>
      </c>
      <c r="D1600" s="58">
        <v>115</v>
      </c>
      <c r="E1600" s="59">
        <v>128.59889999999999</v>
      </c>
    </row>
    <row r="1601" spans="1:5" ht="15" x14ac:dyDescent="0.35">
      <c r="A1601" s="58" t="s">
        <v>349</v>
      </c>
      <c r="B1601" s="58" t="s">
        <v>176</v>
      </c>
      <c r="C1601" s="58">
        <v>1</v>
      </c>
      <c r="D1601" s="58">
        <v>104</v>
      </c>
      <c r="E1601" s="59">
        <v>27.875</v>
      </c>
    </row>
    <row r="1602" spans="1:5" ht="15" x14ac:dyDescent="0.35">
      <c r="A1602" s="58" t="s">
        <v>349</v>
      </c>
      <c r="B1602" s="58" t="s">
        <v>176</v>
      </c>
      <c r="C1602" s="58">
        <v>2</v>
      </c>
      <c r="D1602" s="58">
        <v>105</v>
      </c>
      <c r="E1602" s="59">
        <v>27.875</v>
      </c>
    </row>
    <row r="1603" spans="1:5" ht="15" x14ac:dyDescent="0.35">
      <c r="A1603" s="58" t="s">
        <v>349</v>
      </c>
      <c r="B1603" s="58" t="s">
        <v>176</v>
      </c>
      <c r="C1603" s="58">
        <v>3</v>
      </c>
      <c r="D1603" s="58">
        <v>106</v>
      </c>
      <c r="E1603" s="59">
        <v>27.875</v>
      </c>
    </row>
    <row r="1604" spans="1:5" ht="15" x14ac:dyDescent="0.35">
      <c r="A1604" s="58" t="s">
        <v>349</v>
      </c>
      <c r="B1604" s="58" t="s">
        <v>176</v>
      </c>
      <c r="C1604" s="58">
        <v>4</v>
      </c>
      <c r="D1604" s="58">
        <v>107</v>
      </c>
      <c r="E1604" s="59">
        <v>27.875</v>
      </c>
    </row>
    <row r="1605" spans="1:5" ht="15" x14ac:dyDescent="0.35">
      <c r="A1605" s="58" t="s">
        <v>349</v>
      </c>
      <c r="B1605" s="58" t="s">
        <v>176</v>
      </c>
      <c r="C1605" s="58">
        <v>5</v>
      </c>
      <c r="D1605" s="58">
        <v>108</v>
      </c>
      <c r="E1605" s="59">
        <v>27.875</v>
      </c>
    </row>
    <row r="1606" spans="1:5" ht="15" x14ac:dyDescent="0.35">
      <c r="A1606" s="58" t="s">
        <v>349</v>
      </c>
      <c r="B1606" s="58" t="s">
        <v>176</v>
      </c>
      <c r="C1606" s="58">
        <v>6</v>
      </c>
      <c r="D1606" s="58">
        <v>109</v>
      </c>
      <c r="E1606" s="59">
        <v>27.875</v>
      </c>
    </row>
    <row r="1607" spans="1:5" ht="15" x14ac:dyDescent="0.35">
      <c r="A1607" s="58" t="s">
        <v>349</v>
      </c>
      <c r="B1607" s="58" t="s">
        <v>176</v>
      </c>
      <c r="C1607" s="58">
        <v>7</v>
      </c>
      <c r="D1607" s="58">
        <v>110</v>
      </c>
      <c r="E1607" s="59">
        <v>27.875</v>
      </c>
    </row>
    <row r="1608" spans="1:5" ht="15" x14ac:dyDescent="0.35">
      <c r="A1608" s="58" t="s">
        <v>349</v>
      </c>
      <c r="B1608" s="58" t="s">
        <v>176</v>
      </c>
      <c r="C1608" s="58">
        <v>8</v>
      </c>
      <c r="D1608" s="58">
        <v>111</v>
      </c>
      <c r="E1608" s="59">
        <v>27.875</v>
      </c>
    </row>
    <row r="1609" spans="1:5" ht="15" x14ac:dyDescent="0.35">
      <c r="A1609" s="58" t="s">
        <v>349</v>
      </c>
      <c r="B1609" s="58" t="s">
        <v>176</v>
      </c>
      <c r="C1609" s="58">
        <v>9</v>
      </c>
      <c r="D1609" s="58">
        <v>112</v>
      </c>
      <c r="E1609" s="59">
        <v>27.875</v>
      </c>
    </row>
    <row r="1610" spans="1:5" ht="15" x14ac:dyDescent="0.35">
      <c r="A1610" s="58" t="s">
        <v>349</v>
      </c>
      <c r="B1610" s="58" t="s">
        <v>176</v>
      </c>
      <c r="C1610" s="58">
        <v>10</v>
      </c>
      <c r="D1610" s="58">
        <v>113</v>
      </c>
      <c r="E1610" s="59">
        <v>27.875</v>
      </c>
    </row>
    <row r="1611" spans="1:5" ht="15" x14ac:dyDescent="0.35">
      <c r="A1611" s="58" t="s">
        <v>349</v>
      </c>
      <c r="B1611" s="58" t="s">
        <v>176</v>
      </c>
      <c r="C1611" s="58">
        <v>11</v>
      </c>
      <c r="D1611" s="58">
        <v>114</v>
      </c>
      <c r="E1611" s="59">
        <v>27.875</v>
      </c>
    </row>
    <row r="1612" spans="1:5" ht="15" x14ac:dyDescent="0.35">
      <c r="A1612" s="58" t="s">
        <v>349</v>
      </c>
      <c r="B1612" s="58" t="s">
        <v>176</v>
      </c>
      <c r="C1612" s="58">
        <v>12</v>
      </c>
      <c r="D1612" s="58">
        <v>115</v>
      </c>
      <c r="E1612" s="59">
        <v>27.875</v>
      </c>
    </row>
    <row r="1613" spans="1:5" ht="15" x14ac:dyDescent="0.35">
      <c r="A1613" s="58" t="s">
        <v>349</v>
      </c>
      <c r="B1613" s="58" t="s">
        <v>172</v>
      </c>
      <c r="C1613" s="58">
        <v>1</v>
      </c>
      <c r="D1613" s="58">
        <v>104</v>
      </c>
      <c r="E1613" s="59">
        <v>77</v>
      </c>
    </row>
    <row r="1614" spans="1:5" ht="15" x14ac:dyDescent="0.35">
      <c r="A1614" s="58" t="s">
        <v>349</v>
      </c>
      <c r="B1614" s="58" t="s">
        <v>172</v>
      </c>
      <c r="C1614" s="58">
        <v>2</v>
      </c>
      <c r="D1614" s="58">
        <v>105</v>
      </c>
      <c r="E1614" s="59">
        <v>77</v>
      </c>
    </row>
    <row r="1615" spans="1:5" ht="15" x14ac:dyDescent="0.35">
      <c r="A1615" s="58" t="s">
        <v>349</v>
      </c>
      <c r="B1615" s="58" t="s">
        <v>172</v>
      </c>
      <c r="C1615" s="58">
        <v>3</v>
      </c>
      <c r="D1615" s="58">
        <v>106</v>
      </c>
      <c r="E1615" s="59">
        <v>77</v>
      </c>
    </row>
    <row r="1616" spans="1:5" ht="15" x14ac:dyDescent="0.35">
      <c r="A1616" s="58" t="s">
        <v>349</v>
      </c>
      <c r="B1616" s="58" t="s">
        <v>172</v>
      </c>
      <c r="C1616" s="58">
        <v>4</v>
      </c>
      <c r="D1616" s="58">
        <v>107</v>
      </c>
      <c r="E1616" s="59">
        <v>77</v>
      </c>
    </row>
    <row r="1617" spans="1:5" ht="15" x14ac:dyDescent="0.35">
      <c r="A1617" s="58" t="s">
        <v>349</v>
      </c>
      <c r="B1617" s="58" t="s">
        <v>172</v>
      </c>
      <c r="C1617" s="58">
        <v>5</v>
      </c>
      <c r="D1617" s="58">
        <v>108</v>
      </c>
      <c r="E1617" s="59">
        <v>77</v>
      </c>
    </row>
    <row r="1618" spans="1:5" ht="15" x14ac:dyDescent="0.35">
      <c r="A1618" s="58" t="s">
        <v>349</v>
      </c>
      <c r="B1618" s="58" t="s">
        <v>172</v>
      </c>
      <c r="C1618" s="58">
        <v>6</v>
      </c>
      <c r="D1618" s="58">
        <v>109</v>
      </c>
      <c r="E1618" s="59">
        <v>77</v>
      </c>
    </row>
    <row r="1619" spans="1:5" ht="15" x14ac:dyDescent="0.35">
      <c r="A1619" s="58" t="s">
        <v>349</v>
      </c>
      <c r="B1619" s="58" t="s">
        <v>172</v>
      </c>
      <c r="C1619" s="58">
        <v>7</v>
      </c>
      <c r="D1619" s="58">
        <v>110</v>
      </c>
      <c r="E1619" s="59">
        <v>77</v>
      </c>
    </row>
    <row r="1620" spans="1:5" ht="15" x14ac:dyDescent="0.35">
      <c r="A1620" s="58" t="s">
        <v>349</v>
      </c>
      <c r="B1620" s="58" t="s">
        <v>172</v>
      </c>
      <c r="C1620" s="58">
        <v>8</v>
      </c>
      <c r="D1620" s="58">
        <v>111</v>
      </c>
      <c r="E1620" s="59">
        <v>77</v>
      </c>
    </row>
    <row r="1621" spans="1:5" ht="15" x14ac:dyDescent="0.35">
      <c r="A1621" s="58" t="s">
        <v>349</v>
      </c>
      <c r="B1621" s="58" t="s">
        <v>172</v>
      </c>
      <c r="C1621" s="58">
        <v>9</v>
      </c>
      <c r="D1621" s="58">
        <v>112</v>
      </c>
      <c r="E1621" s="59">
        <v>77</v>
      </c>
    </row>
    <row r="1622" spans="1:5" ht="15" x14ac:dyDescent="0.35">
      <c r="A1622" s="58" t="s">
        <v>349</v>
      </c>
      <c r="B1622" s="58" t="s">
        <v>172</v>
      </c>
      <c r="C1622" s="58">
        <v>10</v>
      </c>
      <c r="D1622" s="58">
        <v>113</v>
      </c>
      <c r="E1622" s="59">
        <v>77</v>
      </c>
    </row>
    <row r="1623" spans="1:5" ht="15" x14ac:dyDescent="0.35">
      <c r="A1623" s="58" t="s">
        <v>349</v>
      </c>
      <c r="B1623" s="58" t="s">
        <v>172</v>
      </c>
      <c r="C1623" s="58">
        <v>11</v>
      </c>
      <c r="D1623" s="58">
        <v>114</v>
      </c>
      <c r="E1623" s="59">
        <v>77</v>
      </c>
    </row>
    <row r="1624" spans="1:5" ht="15" x14ac:dyDescent="0.35">
      <c r="A1624" s="58" t="s">
        <v>349</v>
      </c>
      <c r="B1624" s="58" t="s">
        <v>172</v>
      </c>
      <c r="C1624" s="58">
        <v>12</v>
      </c>
      <c r="D1624" s="58">
        <v>115</v>
      </c>
      <c r="E1624" s="59">
        <v>77</v>
      </c>
    </row>
    <row r="1625" spans="1:5" ht="15" x14ac:dyDescent="0.35">
      <c r="A1625" s="58" t="s">
        <v>349</v>
      </c>
      <c r="B1625" s="58" t="s">
        <v>180</v>
      </c>
      <c r="C1625" s="58">
        <v>1</v>
      </c>
      <c r="D1625" s="58">
        <v>104</v>
      </c>
      <c r="E1625" s="59">
        <v>37.863999999999997</v>
      </c>
    </row>
    <row r="1626" spans="1:5" ht="15" x14ac:dyDescent="0.35">
      <c r="A1626" s="58" t="s">
        <v>349</v>
      </c>
      <c r="B1626" s="58" t="s">
        <v>180</v>
      </c>
      <c r="C1626" s="58">
        <v>2</v>
      </c>
      <c r="D1626" s="58">
        <v>105</v>
      </c>
      <c r="E1626" s="59">
        <v>37.863999999999997</v>
      </c>
    </row>
    <row r="1627" spans="1:5" ht="15" x14ac:dyDescent="0.35">
      <c r="A1627" s="58" t="s">
        <v>349</v>
      </c>
      <c r="B1627" s="58" t="s">
        <v>180</v>
      </c>
      <c r="C1627" s="58">
        <v>3</v>
      </c>
      <c r="D1627" s="58">
        <v>106</v>
      </c>
      <c r="E1627" s="59">
        <v>37.863999999999997</v>
      </c>
    </row>
    <row r="1628" spans="1:5" ht="15" x14ac:dyDescent="0.35">
      <c r="A1628" s="58" t="s">
        <v>349</v>
      </c>
      <c r="B1628" s="58" t="s">
        <v>180</v>
      </c>
      <c r="C1628" s="58">
        <v>4</v>
      </c>
      <c r="D1628" s="58">
        <v>107</v>
      </c>
      <c r="E1628" s="59">
        <v>37.863999999999997</v>
      </c>
    </row>
    <row r="1629" spans="1:5" ht="15" x14ac:dyDescent="0.35">
      <c r="A1629" s="58" t="s">
        <v>349</v>
      </c>
      <c r="B1629" s="58" t="s">
        <v>180</v>
      </c>
      <c r="C1629" s="58">
        <v>5</v>
      </c>
      <c r="D1629" s="58">
        <v>108</v>
      </c>
      <c r="E1629" s="59">
        <v>37.863999999999997</v>
      </c>
    </row>
    <row r="1630" spans="1:5" ht="15" x14ac:dyDescent="0.35">
      <c r="A1630" s="58" t="s">
        <v>349</v>
      </c>
      <c r="B1630" s="58" t="s">
        <v>180</v>
      </c>
      <c r="C1630" s="58">
        <v>6</v>
      </c>
      <c r="D1630" s="58">
        <v>109</v>
      </c>
      <c r="E1630" s="59">
        <v>37.863999999999997</v>
      </c>
    </row>
    <row r="1631" spans="1:5" ht="15" x14ac:dyDescent="0.35">
      <c r="A1631" s="58" t="s">
        <v>349</v>
      </c>
      <c r="B1631" s="58" t="s">
        <v>180</v>
      </c>
      <c r="C1631" s="58">
        <v>7</v>
      </c>
      <c r="D1631" s="58">
        <v>110</v>
      </c>
      <c r="E1631" s="59">
        <v>37.863999999999997</v>
      </c>
    </row>
    <row r="1632" spans="1:5" ht="15" x14ac:dyDescent="0.35">
      <c r="A1632" s="58" t="s">
        <v>349</v>
      </c>
      <c r="B1632" s="58" t="s">
        <v>180</v>
      </c>
      <c r="C1632" s="58">
        <v>8</v>
      </c>
      <c r="D1632" s="58">
        <v>111</v>
      </c>
      <c r="E1632" s="59">
        <v>37.863999999999997</v>
      </c>
    </row>
    <row r="1633" spans="1:5" ht="15" x14ac:dyDescent="0.35">
      <c r="A1633" s="58" t="s">
        <v>349</v>
      </c>
      <c r="B1633" s="58" t="s">
        <v>180</v>
      </c>
      <c r="C1633" s="58">
        <v>9</v>
      </c>
      <c r="D1633" s="58">
        <v>112</v>
      </c>
      <c r="E1633" s="59">
        <v>37.863999999999997</v>
      </c>
    </row>
    <row r="1634" spans="1:5" ht="15" x14ac:dyDescent="0.35">
      <c r="A1634" s="58" t="s">
        <v>349</v>
      </c>
      <c r="B1634" s="58" t="s">
        <v>180</v>
      </c>
      <c r="C1634" s="58">
        <v>10</v>
      </c>
      <c r="D1634" s="58">
        <v>113</v>
      </c>
      <c r="E1634" s="59">
        <v>37.863999999999997</v>
      </c>
    </row>
    <row r="1635" spans="1:5" ht="15" x14ac:dyDescent="0.35">
      <c r="A1635" s="58" t="s">
        <v>349</v>
      </c>
      <c r="B1635" s="58" t="s">
        <v>180</v>
      </c>
      <c r="C1635" s="58">
        <v>11</v>
      </c>
      <c r="D1635" s="58">
        <v>114</v>
      </c>
      <c r="E1635" s="59">
        <v>37.863999999999997</v>
      </c>
    </row>
    <row r="1636" spans="1:5" ht="15" x14ac:dyDescent="0.35">
      <c r="A1636" s="58" t="s">
        <v>349</v>
      </c>
      <c r="B1636" s="58" t="s">
        <v>180</v>
      </c>
      <c r="C1636" s="58">
        <v>12</v>
      </c>
      <c r="D1636" s="58">
        <v>115</v>
      </c>
      <c r="E1636" s="59">
        <v>37.863999999999997</v>
      </c>
    </row>
    <row r="1637" spans="1:5" ht="15" x14ac:dyDescent="0.35">
      <c r="A1637" s="58" t="s">
        <v>277</v>
      </c>
      <c r="B1637" s="58" t="s">
        <v>182</v>
      </c>
      <c r="C1637" s="58">
        <v>1</v>
      </c>
      <c r="D1637" s="58">
        <v>104</v>
      </c>
      <c r="E1637" s="59">
        <v>0</v>
      </c>
    </row>
    <row r="1638" spans="1:5" ht="15" x14ac:dyDescent="0.35">
      <c r="A1638" s="58" t="s">
        <v>277</v>
      </c>
      <c r="B1638" s="58" t="s">
        <v>182</v>
      </c>
      <c r="C1638" s="58">
        <v>2</v>
      </c>
      <c r="D1638" s="58">
        <v>105</v>
      </c>
      <c r="E1638" s="59">
        <v>0</v>
      </c>
    </row>
    <row r="1639" spans="1:5" ht="15" x14ac:dyDescent="0.35">
      <c r="A1639" s="58" t="s">
        <v>277</v>
      </c>
      <c r="B1639" s="58" t="s">
        <v>182</v>
      </c>
      <c r="C1639" s="58">
        <v>3</v>
      </c>
      <c r="D1639" s="58">
        <v>106</v>
      </c>
      <c r="E1639" s="59">
        <v>0</v>
      </c>
    </row>
    <row r="1640" spans="1:5" ht="15" x14ac:dyDescent="0.35">
      <c r="A1640" s="58" t="s">
        <v>277</v>
      </c>
      <c r="B1640" s="58" t="s">
        <v>182</v>
      </c>
      <c r="C1640" s="58">
        <v>4</v>
      </c>
      <c r="D1640" s="58">
        <v>107</v>
      </c>
      <c r="E1640" s="59">
        <v>0</v>
      </c>
    </row>
    <row r="1641" spans="1:5" ht="15" x14ac:dyDescent="0.35">
      <c r="A1641" s="58" t="s">
        <v>277</v>
      </c>
      <c r="B1641" s="58" t="s">
        <v>182</v>
      </c>
      <c r="C1641" s="58">
        <v>5</v>
      </c>
      <c r="D1641" s="58">
        <v>108</v>
      </c>
      <c r="E1641" s="59">
        <v>0</v>
      </c>
    </row>
    <row r="1642" spans="1:5" ht="15" x14ac:dyDescent="0.35">
      <c r="A1642" s="58" t="s">
        <v>277</v>
      </c>
      <c r="B1642" s="58" t="s">
        <v>182</v>
      </c>
      <c r="C1642" s="58">
        <v>6</v>
      </c>
      <c r="D1642" s="58">
        <v>109</v>
      </c>
      <c r="E1642" s="59">
        <v>0</v>
      </c>
    </row>
    <row r="1643" spans="1:5" ht="15" x14ac:dyDescent="0.35">
      <c r="A1643" s="58" t="s">
        <v>277</v>
      </c>
      <c r="B1643" s="58" t="s">
        <v>182</v>
      </c>
      <c r="C1643" s="58">
        <v>7</v>
      </c>
      <c r="D1643" s="58">
        <v>110</v>
      </c>
      <c r="E1643" s="59">
        <v>0</v>
      </c>
    </row>
    <row r="1644" spans="1:5" ht="15" x14ac:dyDescent="0.35">
      <c r="A1644" s="58" t="s">
        <v>277</v>
      </c>
      <c r="B1644" s="58" t="s">
        <v>182</v>
      </c>
      <c r="C1644" s="58">
        <v>8</v>
      </c>
      <c r="D1644" s="58">
        <v>111</v>
      </c>
      <c r="E1644" s="59">
        <v>2.9929999999999999</v>
      </c>
    </row>
    <row r="1645" spans="1:5" ht="15" x14ac:dyDescent="0.35">
      <c r="A1645" s="58" t="s">
        <v>277</v>
      </c>
      <c r="B1645" s="58" t="s">
        <v>182</v>
      </c>
      <c r="C1645" s="58">
        <v>9</v>
      </c>
      <c r="D1645" s="58">
        <v>112</v>
      </c>
      <c r="E1645" s="59">
        <v>10.659700000000001</v>
      </c>
    </row>
    <row r="1646" spans="1:5" ht="15" x14ac:dyDescent="0.35">
      <c r="A1646" s="58" t="s">
        <v>277</v>
      </c>
      <c r="B1646" s="58" t="s">
        <v>182</v>
      </c>
      <c r="C1646" s="58">
        <v>10</v>
      </c>
      <c r="D1646" s="58">
        <v>113</v>
      </c>
      <c r="E1646" s="59">
        <v>15.3263</v>
      </c>
    </row>
    <row r="1647" spans="1:5" ht="15" x14ac:dyDescent="0.35">
      <c r="A1647" s="58" t="s">
        <v>277</v>
      </c>
      <c r="B1647" s="58" t="s">
        <v>182</v>
      </c>
      <c r="C1647" s="58">
        <v>11</v>
      </c>
      <c r="D1647" s="58">
        <v>114</v>
      </c>
      <c r="E1647" s="59">
        <v>16.659700000000001</v>
      </c>
    </row>
    <row r="1648" spans="1:5" ht="15" x14ac:dyDescent="0.35">
      <c r="A1648" s="58" t="s">
        <v>277</v>
      </c>
      <c r="B1648" s="58" t="s">
        <v>182</v>
      </c>
      <c r="C1648" s="58">
        <v>12</v>
      </c>
      <c r="D1648" s="58">
        <v>115</v>
      </c>
      <c r="E1648" s="59">
        <v>20.881900000000002</v>
      </c>
    </row>
    <row r="1649" spans="1:5" ht="15" x14ac:dyDescent="0.35">
      <c r="A1649" s="58" t="s">
        <v>277</v>
      </c>
      <c r="B1649" s="58" t="s">
        <v>176</v>
      </c>
      <c r="C1649" s="58">
        <v>1</v>
      </c>
      <c r="D1649" s="58">
        <v>104</v>
      </c>
      <c r="E1649" s="59">
        <v>25.25</v>
      </c>
    </row>
    <row r="1650" spans="1:5" ht="15" x14ac:dyDescent="0.35">
      <c r="A1650" s="58" t="s">
        <v>277</v>
      </c>
      <c r="B1650" s="58" t="s">
        <v>176</v>
      </c>
      <c r="C1650" s="58">
        <v>2</v>
      </c>
      <c r="D1650" s="58">
        <v>105</v>
      </c>
      <c r="E1650" s="59">
        <v>25.25</v>
      </c>
    </row>
    <row r="1651" spans="1:5" ht="15" x14ac:dyDescent="0.35">
      <c r="A1651" s="58" t="s">
        <v>277</v>
      </c>
      <c r="B1651" s="58" t="s">
        <v>176</v>
      </c>
      <c r="C1651" s="58">
        <v>3</v>
      </c>
      <c r="D1651" s="58">
        <v>106</v>
      </c>
      <c r="E1651" s="59">
        <v>25.25</v>
      </c>
    </row>
    <row r="1652" spans="1:5" ht="15" x14ac:dyDescent="0.35">
      <c r="A1652" s="58" t="s">
        <v>277</v>
      </c>
      <c r="B1652" s="58" t="s">
        <v>176</v>
      </c>
      <c r="C1652" s="58">
        <v>4</v>
      </c>
      <c r="D1652" s="58">
        <v>107</v>
      </c>
      <c r="E1652" s="59">
        <v>25.25</v>
      </c>
    </row>
    <row r="1653" spans="1:5" ht="15" x14ac:dyDescent="0.35">
      <c r="A1653" s="58" t="s">
        <v>277</v>
      </c>
      <c r="B1653" s="58" t="s">
        <v>176</v>
      </c>
      <c r="C1653" s="58">
        <v>5</v>
      </c>
      <c r="D1653" s="58">
        <v>108</v>
      </c>
      <c r="E1653" s="59">
        <v>25.25</v>
      </c>
    </row>
    <row r="1654" spans="1:5" ht="15" x14ac:dyDescent="0.35">
      <c r="A1654" s="58" t="s">
        <v>277</v>
      </c>
      <c r="B1654" s="58" t="s">
        <v>176</v>
      </c>
      <c r="C1654" s="58">
        <v>6</v>
      </c>
      <c r="D1654" s="58">
        <v>109</v>
      </c>
      <c r="E1654" s="59">
        <v>25.25</v>
      </c>
    </row>
    <row r="1655" spans="1:5" ht="15" x14ac:dyDescent="0.35">
      <c r="A1655" s="58" t="s">
        <v>277</v>
      </c>
      <c r="B1655" s="58" t="s">
        <v>176</v>
      </c>
      <c r="C1655" s="58">
        <v>7</v>
      </c>
      <c r="D1655" s="58">
        <v>110</v>
      </c>
      <c r="E1655" s="59">
        <v>25.25</v>
      </c>
    </row>
    <row r="1656" spans="1:5" ht="15" x14ac:dyDescent="0.35">
      <c r="A1656" s="58" t="s">
        <v>277</v>
      </c>
      <c r="B1656" s="58" t="s">
        <v>176</v>
      </c>
      <c r="C1656" s="58">
        <v>8</v>
      </c>
      <c r="D1656" s="58">
        <v>111</v>
      </c>
      <c r="E1656" s="59">
        <v>25.25</v>
      </c>
    </row>
    <row r="1657" spans="1:5" ht="15" x14ac:dyDescent="0.35">
      <c r="A1657" s="58" t="s">
        <v>277</v>
      </c>
      <c r="B1657" s="58" t="s">
        <v>176</v>
      </c>
      <c r="C1657" s="58">
        <v>9</v>
      </c>
      <c r="D1657" s="58">
        <v>112</v>
      </c>
      <c r="E1657" s="59">
        <v>25.25</v>
      </c>
    </row>
    <row r="1658" spans="1:5" ht="15" x14ac:dyDescent="0.35">
      <c r="A1658" s="58" t="s">
        <v>277</v>
      </c>
      <c r="B1658" s="58" t="s">
        <v>176</v>
      </c>
      <c r="C1658" s="58">
        <v>10</v>
      </c>
      <c r="D1658" s="58">
        <v>113</v>
      </c>
      <c r="E1658" s="59">
        <v>25.25</v>
      </c>
    </row>
    <row r="1659" spans="1:5" ht="15" x14ac:dyDescent="0.35">
      <c r="A1659" s="58" t="s">
        <v>277</v>
      </c>
      <c r="B1659" s="58" t="s">
        <v>176</v>
      </c>
      <c r="C1659" s="58">
        <v>11</v>
      </c>
      <c r="D1659" s="58">
        <v>114</v>
      </c>
      <c r="E1659" s="59">
        <v>25.25</v>
      </c>
    </row>
    <row r="1660" spans="1:5" ht="15" x14ac:dyDescent="0.35">
      <c r="A1660" s="58" t="s">
        <v>277</v>
      </c>
      <c r="B1660" s="58" t="s">
        <v>176</v>
      </c>
      <c r="C1660" s="58">
        <v>12</v>
      </c>
      <c r="D1660" s="58">
        <v>115</v>
      </c>
      <c r="E1660" s="59">
        <v>25.25</v>
      </c>
    </row>
    <row r="1661" spans="1:5" ht="15" x14ac:dyDescent="0.35">
      <c r="A1661" s="58" t="s">
        <v>277</v>
      </c>
      <c r="B1661" s="58" t="s">
        <v>172</v>
      </c>
      <c r="C1661" s="58">
        <v>1</v>
      </c>
      <c r="D1661" s="58">
        <v>104</v>
      </c>
      <c r="E1661" s="59">
        <v>25</v>
      </c>
    </row>
    <row r="1662" spans="1:5" ht="15" x14ac:dyDescent="0.35">
      <c r="A1662" s="58" t="s">
        <v>277</v>
      </c>
      <c r="B1662" s="58" t="s">
        <v>172</v>
      </c>
      <c r="C1662" s="58">
        <v>2</v>
      </c>
      <c r="D1662" s="58">
        <v>105</v>
      </c>
      <c r="E1662" s="59">
        <v>25</v>
      </c>
    </row>
    <row r="1663" spans="1:5" ht="15" x14ac:dyDescent="0.35">
      <c r="A1663" s="58" t="s">
        <v>277</v>
      </c>
      <c r="B1663" s="58" t="s">
        <v>172</v>
      </c>
      <c r="C1663" s="58">
        <v>3</v>
      </c>
      <c r="D1663" s="58">
        <v>106</v>
      </c>
      <c r="E1663" s="59">
        <v>25</v>
      </c>
    </row>
    <row r="1664" spans="1:5" ht="15" x14ac:dyDescent="0.35">
      <c r="A1664" s="58" t="s">
        <v>277</v>
      </c>
      <c r="B1664" s="58" t="s">
        <v>172</v>
      </c>
      <c r="C1664" s="58">
        <v>4</v>
      </c>
      <c r="D1664" s="58">
        <v>107</v>
      </c>
      <c r="E1664" s="59">
        <v>25</v>
      </c>
    </row>
    <row r="1665" spans="1:5" ht="15" x14ac:dyDescent="0.35">
      <c r="A1665" s="58" t="s">
        <v>277</v>
      </c>
      <c r="B1665" s="58" t="s">
        <v>172</v>
      </c>
      <c r="C1665" s="58">
        <v>5</v>
      </c>
      <c r="D1665" s="58">
        <v>108</v>
      </c>
      <c r="E1665" s="59">
        <v>25</v>
      </c>
    </row>
    <row r="1666" spans="1:5" ht="15" x14ac:dyDescent="0.35">
      <c r="A1666" s="58" t="s">
        <v>277</v>
      </c>
      <c r="B1666" s="58" t="s">
        <v>172</v>
      </c>
      <c r="C1666" s="58">
        <v>6</v>
      </c>
      <c r="D1666" s="58">
        <v>109</v>
      </c>
      <c r="E1666" s="59">
        <v>25</v>
      </c>
    </row>
    <row r="1667" spans="1:5" ht="15" x14ac:dyDescent="0.35">
      <c r="A1667" s="58" t="s">
        <v>277</v>
      </c>
      <c r="B1667" s="58" t="s">
        <v>172</v>
      </c>
      <c r="C1667" s="58">
        <v>7</v>
      </c>
      <c r="D1667" s="58">
        <v>110</v>
      </c>
      <c r="E1667" s="59">
        <v>25</v>
      </c>
    </row>
    <row r="1668" spans="1:5" ht="15" x14ac:dyDescent="0.35">
      <c r="A1668" s="58" t="s">
        <v>277</v>
      </c>
      <c r="B1668" s="58" t="s">
        <v>172</v>
      </c>
      <c r="C1668" s="58">
        <v>8</v>
      </c>
      <c r="D1668" s="58">
        <v>111</v>
      </c>
      <c r="E1668" s="59">
        <v>25</v>
      </c>
    </row>
    <row r="1669" spans="1:5" ht="15" x14ac:dyDescent="0.35">
      <c r="A1669" s="58" t="s">
        <v>277</v>
      </c>
      <c r="B1669" s="58" t="s">
        <v>172</v>
      </c>
      <c r="C1669" s="58">
        <v>9</v>
      </c>
      <c r="D1669" s="58">
        <v>112</v>
      </c>
      <c r="E1669" s="59">
        <v>25</v>
      </c>
    </row>
    <row r="1670" spans="1:5" ht="15" x14ac:dyDescent="0.35">
      <c r="A1670" s="58" t="s">
        <v>277</v>
      </c>
      <c r="B1670" s="58" t="s">
        <v>172</v>
      </c>
      <c r="C1670" s="58">
        <v>10</v>
      </c>
      <c r="D1670" s="58">
        <v>113</v>
      </c>
      <c r="E1670" s="59">
        <v>25</v>
      </c>
    </row>
    <row r="1671" spans="1:5" ht="15" x14ac:dyDescent="0.35">
      <c r="A1671" s="58" t="s">
        <v>277</v>
      </c>
      <c r="B1671" s="58" t="s">
        <v>172</v>
      </c>
      <c r="C1671" s="58">
        <v>11</v>
      </c>
      <c r="D1671" s="58">
        <v>114</v>
      </c>
      <c r="E1671" s="59">
        <v>25</v>
      </c>
    </row>
    <row r="1672" spans="1:5" ht="15" x14ac:dyDescent="0.35">
      <c r="A1672" s="58" t="s">
        <v>277</v>
      </c>
      <c r="B1672" s="58" t="s">
        <v>172</v>
      </c>
      <c r="C1672" s="58">
        <v>12</v>
      </c>
      <c r="D1672" s="58">
        <v>115</v>
      </c>
      <c r="E1672" s="59">
        <v>25</v>
      </c>
    </row>
    <row r="1673" spans="1:5" ht="15" x14ac:dyDescent="0.35">
      <c r="A1673" s="58" t="s">
        <v>277</v>
      </c>
      <c r="B1673" s="58" t="s">
        <v>180</v>
      </c>
      <c r="C1673" s="58">
        <v>1</v>
      </c>
      <c r="D1673" s="58">
        <v>104</v>
      </c>
      <c r="E1673" s="59">
        <v>28.3843</v>
      </c>
    </row>
    <row r="1674" spans="1:5" ht="15" x14ac:dyDescent="0.35">
      <c r="A1674" s="58" t="s">
        <v>277</v>
      </c>
      <c r="B1674" s="58" t="s">
        <v>180</v>
      </c>
      <c r="C1674" s="58">
        <v>2</v>
      </c>
      <c r="D1674" s="58">
        <v>105</v>
      </c>
      <c r="E1674" s="59">
        <v>28.3843</v>
      </c>
    </row>
    <row r="1675" spans="1:5" ht="15" x14ac:dyDescent="0.35">
      <c r="A1675" s="58" t="s">
        <v>277</v>
      </c>
      <c r="B1675" s="58" t="s">
        <v>180</v>
      </c>
      <c r="C1675" s="58">
        <v>3</v>
      </c>
      <c r="D1675" s="58">
        <v>106</v>
      </c>
      <c r="E1675" s="59">
        <v>28.3843</v>
      </c>
    </row>
    <row r="1676" spans="1:5" ht="15" x14ac:dyDescent="0.35">
      <c r="A1676" s="58" t="s">
        <v>277</v>
      </c>
      <c r="B1676" s="58" t="s">
        <v>180</v>
      </c>
      <c r="C1676" s="58">
        <v>4</v>
      </c>
      <c r="D1676" s="58">
        <v>107</v>
      </c>
      <c r="E1676" s="59">
        <v>28.3843</v>
      </c>
    </row>
    <row r="1677" spans="1:5" ht="15" x14ac:dyDescent="0.35">
      <c r="A1677" s="58" t="s">
        <v>277</v>
      </c>
      <c r="B1677" s="58" t="s">
        <v>180</v>
      </c>
      <c r="C1677" s="58">
        <v>5</v>
      </c>
      <c r="D1677" s="58">
        <v>108</v>
      </c>
      <c r="E1677" s="59">
        <v>28.3843</v>
      </c>
    </row>
    <row r="1678" spans="1:5" ht="15" x14ac:dyDescent="0.35">
      <c r="A1678" s="58" t="s">
        <v>277</v>
      </c>
      <c r="B1678" s="58" t="s">
        <v>180</v>
      </c>
      <c r="C1678" s="58">
        <v>6</v>
      </c>
      <c r="D1678" s="58">
        <v>109</v>
      </c>
      <c r="E1678" s="59">
        <v>28.3843</v>
      </c>
    </row>
    <row r="1679" spans="1:5" ht="15" x14ac:dyDescent="0.35">
      <c r="A1679" s="58" t="s">
        <v>277</v>
      </c>
      <c r="B1679" s="58" t="s">
        <v>180</v>
      </c>
      <c r="C1679" s="58">
        <v>7</v>
      </c>
      <c r="D1679" s="58">
        <v>110</v>
      </c>
      <c r="E1679" s="59">
        <v>28.3843</v>
      </c>
    </row>
    <row r="1680" spans="1:5" ht="15" x14ac:dyDescent="0.35">
      <c r="A1680" s="58" t="s">
        <v>277</v>
      </c>
      <c r="B1680" s="58" t="s">
        <v>180</v>
      </c>
      <c r="C1680" s="58">
        <v>8</v>
      </c>
      <c r="D1680" s="58">
        <v>111</v>
      </c>
      <c r="E1680" s="59">
        <v>28.3843</v>
      </c>
    </row>
    <row r="1681" spans="1:5" ht="15" x14ac:dyDescent="0.35">
      <c r="A1681" s="58" t="s">
        <v>277</v>
      </c>
      <c r="B1681" s="58" t="s">
        <v>180</v>
      </c>
      <c r="C1681" s="58">
        <v>9</v>
      </c>
      <c r="D1681" s="58">
        <v>112</v>
      </c>
      <c r="E1681" s="59">
        <v>28.3843</v>
      </c>
    </row>
    <row r="1682" spans="1:5" ht="15" x14ac:dyDescent="0.35">
      <c r="A1682" s="58" t="s">
        <v>277</v>
      </c>
      <c r="B1682" s="58" t="s">
        <v>180</v>
      </c>
      <c r="C1682" s="58">
        <v>10</v>
      </c>
      <c r="D1682" s="58">
        <v>113</v>
      </c>
      <c r="E1682" s="59">
        <v>28.3843</v>
      </c>
    </row>
    <row r="1683" spans="1:5" ht="15" x14ac:dyDescent="0.35">
      <c r="A1683" s="58" t="s">
        <v>277</v>
      </c>
      <c r="B1683" s="58" t="s">
        <v>180</v>
      </c>
      <c r="C1683" s="58">
        <v>11</v>
      </c>
      <c r="D1683" s="58">
        <v>114</v>
      </c>
      <c r="E1683" s="59">
        <v>28.3843</v>
      </c>
    </row>
    <row r="1684" spans="1:5" ht="15" x14ac:dyDescent="0.35">
      <c r="A1684" s="58" t="s">
        <v>277</v>
      </c>
      <c r="B1684" s="58" t="s">
        <v>180</v>
      </c>
      <c r="C1684" s="58">
        <v>12</v>
      </c>
      <c r="D1684" s="58">
        <v>115</v>
      </c>
      <c r="E1684" s="59">
        <v>28.3843</v>
      </c>
    </row>
    <row r="1685" spans="1:5" ht="15" x14ac:dyDescent="0.35">
      <c r="A1685" s="58" t="s">
        <v>282</v>
      </c>
      <c r="B1685" s="58" t="s">
        <v>182</v>
      </c>
      <c r="C1685" s="58">
        <v>1</v>
      </c>
      <c r="D1685" s="58">
        <v>104</v>
      </c>
      <c r="E1685" s="59">
        <v>143.8544</v>
      </c>
    </row>
    <row r="1686" spans="1:5" ht="15" x14ac:dyDescent="0.35">
      <c r="A1686" s="58" t="s">
        <v>282</v>
      </c>
      <c r="B1686" s="58" t="s">
        <v>182</v>
      </c>
      <c r="C1686" s="58">
        <v>2</v>
      </c>
      <c r="D1686" s="58">
        <v>105</v>
      </c>
      <c r="E1686" s="59">
        <v>0</v>
      </c>
    </row>
    <row r="1687" spans="1:5" ht="15" x14ac:dyDescent="0.35">
      <c r="A1687" s="58" t="s">
        <v>282</v>
      </c>
      <c r="B1687" s="58" t="s">
        <v>182</v>
      </c>
      <c r="C1687" s="58">
        <v>3</v>
      </c>
      <c r="D1687" s="58">
        <v>106</v>
      </c>
      <c r="E1687" s="59">
        <v>0</v>
      </c>
    </row>
    <row r="1688" spans="1:5" ht="15" x14ac:dyDescent="0.35">
      <c r="A1688" s="58" t="s">
        <v>282</v>
      </c>
      <c r="B1688" s="58" t="s">
        <v>182</v>
      </c>
      <c r="C1688" s="58">
        <v>4</v>
      </c>
      <c r="D1688" s="58">
        <v>107</v>
      </c>
      <c r="E1688" s="59">
        <v>0</v>
      </c>
    </row>
    <row r="1689" spans="1:5" ht="15" x14ac:dyDescent="0.35">
      <c r="A1689" s="58" t="s">
        <v>282</v>
      </c>
      <c r="B1689" s="58" t="s">
        <v>182</v>
      </c>
      <c r="C1689" s="58">
        <v>5</v>
      </c>
      <c r="D1689" s="58">
        <v>108</v>
      </c>
      <c r="E1689" s="59">
        <v>0</v>
      </c>
    </row>
    <row r="1690" spans="1:5" ht="15" x14ac:dyDescent="0.35">
      <c r="A1690" s="58" t="s">
        <v>282</v>
      </c>
      <c r="B1690" s="58" t="s">
        <v>182</v>
      </c>
      <c r="C1690" s="58">
        <v>6</v>
      </c>
      <c r="D1690" s="58">
        <v>109</v>
      </c>
      <c r="E1690" s="59">
        <v>0</v>
      </c>
    </row>
    <row r="1691" spans="1:5" ht="15" x14ac:dyDescent="0.35">
      <c r="A1691" s="58" t="s">
        <v>282</v>
      </c>
      <c r="B1691" s="58" t="s">
        <v>182</v>
      </c>
      <c r="C1691" s="58">
        <v>7</v>
      </c>
      <c r="D1691" s="58">
        <v>110</v>
      </c>
      <c r="E1691" s="59">
        <v>0</v>
      </c>
    </row>
    <row r="1692" spans="1:5" ht="15" x14ac:dyDescent="0.35">
      <c r="A1692" s="58" t="s">
        <v>282</v>
      </c>
      <c r="B1692" s="58" t="s">
        <v>182</v>
      </c>
      <c r="C1692" s="58">
        <v>8</v>
      </c>
      <c r="D1692" s="58">
        <v>111</v>
      </c>
      <c r="E1692" s="59">
        <v>0</v>
      </c>
    </row>
    <row r="1693" spans="1:5" ht="15" x14ac:dyDescent="0.35">
      <c r="A1693" s="58" t="s">
        <v>282</v>
      </c>
      <c r="B1693" s="58" t="s">
        <v>182</v>
      </c>
      <c r="C1693" s="58">
        <v>9</v>
      </c>
      <c r="D1693" s="58">
        <v>112</v>
      </c>
      <c r="E1693" s="59">
        <v>0</v>
      </c>
    </row>
    <row r="1694" spans="1:5" ht="15" x14ac:dyDescent="0.35">
      <c r="A1694" s="58" t="s">
        <v>282</v>
      </c>
      <c r="B1694" s="58" t="s">
        <v>182</v>
      </c>
      <c r="C1694" s="58">
        <v>10</v>
      </c>
      <c r="D1694" s="58">
        <v>113</v>
      </c>
      <c r="E1694" s="59">
        <v>0</v>
      </c>
    </row>
    <row r="1695" spans="1:5" ht="15" x14ac:dyDescent="0.35">
      <c r="A1695" s="58" t="s">
        <v>282</v>
      </c>
      <c r="B1695" s="58" t="s">
        <v>182</v>
      </c>
      <c r="C1695" s="58">
        <v>11</v>
      </c>
      <c r="D1695" s="58">
        <v>114</v>
      </c>
      <c r="E1695" s="59">
        <v>0</v>
      </c>
    </row>
    <row r="1696" spans="1:5" ht="15" x14ac:dyDescent="0.35">
      <c r="A1696" s="58" t="s">
        <v>282</v>
      </c>
      <c r="B1696" s="58" t="s">
        <v>182</v>
      </c>
      <c r="C1696" s="58">
        <v>12</v>
      </c>
      <c r="D1696" s="58">
        <v>115</v>
      </c>
      <c r="E1696" s="59">
        <v>0</v>
      </c>
    </row>
    <row r="1697" spans="1:5" ht="15" x14ac:dyDescent="0.35">
      <c r="A1697" s="58" t="s">
        <v>282</v>
      </c>
      <c r="B1697" s="58" t="s">
        <v>176</v>
      </c>
      <c r="C1697" s="58">
        <v>1</v>
      </c>
      <c r="D1697" s="58">
        <v>104</v>
      </c>
      <c r="E1697" s="59">
        <v>23.5</v>
      </c>
    </row>
    <row r="1698" spans="1:5" ht="15" x14ac:dyDescent="0.35">
      <c r="A1698" s="58" t="s">
        <v>282</v>
      </c>
      <c r="B1698" s="58" t="s">
        <v>176</v>
      </c>
      <c r="C1698" s="58">
        <v>2</v>
      </c>
      <c r="D1698" s="58">
        <v>105</v>
      </c>
      <c r="E1698" s="59">
        <v>23.5</v>
      </c>
    </row>
    <row r="1699" spans="1:5" ht="15" x14ac:dyDescent="0.35">
      <c r="A1699" s="58" t="s">
        <v>282</v>
      </c>
      <c r="B1699" s="58" t="s">
        <v>176</v>
      </c>
      <c r="C1699" s="58">
        <v>3</v>
      </c>
      <c r="D1699" s="58">
        <v>106</v>
      </c>
      <c r="E1699" s="59">
        <v>23.5</v>
      </c>
    </row>
    <row r="1700" spans="1:5" ht="15" x14ac:dyDescent="0.35">
      <c r="A1700" s="58" t="s">
        <v>282</v>
      </c>
      <c r="B1700" s="58" t="s">
        <v>176</v>
      </c>
      <c r="C1700" s="58">
        <v>4</v>
      </c>
      <c r="D1700" s="58">
        <v>107</v>
      </c>
      <c r="E1700" s="59">
        <v>23.5</v>
      </c>
    </row>
    <row r="1701" spans="1:5" ht="15" x14ac:dyDescent="0.35">
      <c r="A1701" s="58" t="s">
        <v>282</v>
      </c>
      <c r="B1701" s="58" t="s">
        <v>176</v>
      </c>
      <c r="C1701" s="58">
        <v>5</v>
      </c>
      <c r="D1701" s="58">
        <v>108</v>
      </c>
      <c r="E1701" s="59">
        <v>23.5</v>
      </c>
    </row>
    <row r="1702" spans="1:5" ht="15" x14ac:dyDescent="0.35">
      <c r="A1702" s="58" t="s">
        <v>282</v>
      </c>
      <c r="B1702" s="58" t="s">
        <v>176</v>
      </c>
      <c r="C1702" s="58">
        <v>6</v>
      </c>
      <c r="D1702" s="58">
        <v>109</v>
      </c>
      <c r="E1702" s="59">
        <v>23.5</v>
      </c>
    </row>
    <row r="1703" spans="1:5" ht="15" x14ac:dyDescent="0.35">
      <c r="A1703" s="58" t="s">
        <v>282</v>
      </c>
      <c r="B1703" s="58" t="s">
        <v>176</v>
      </c>
      <c r="C1703" s="58">
        <v>7</v>
      </c>
      <c r="D1703" s="58">
        <v>110</v>
      </c>
      <c r="E1703" s="59">
        <v>23.5</v>
      </c>
    </row>
    <row r="1704" spans="1:5" ht="15" x14ac:dyDescent="0.35">
      <c r="A1704" s="58" t="s">
        <v>282</v>
      </c>
      <c r="B1704" s="58" t="s">
        <v>176</v>
      </c>
      <c r="C1704" s="58">
        <v>8</v>
      </c>
      <c r="D1704" s="58">
        <v>111</v>
      </c>
      <c r="E1704" s="59">
        <v>23.5</v>
      </c>
    </row>
    <row r="1705" spans="1:5" ht="15" x14ac:dyDescent="0.35">
      <c r="A1705" s="58" t="s">
        <v>282</v>
      </c>
      <c r="B1705" s="58" t="s">
        <v>176</v>
      </c>
      <c r="C1705" s="58">
        <v>9</v>
      </c>
      <c r="D1705" s="58">
        <v>112</v>
      </c>
      <c r="E1705" s="59">
        <v>23.5</v>
      </c>
    </row>
    <row r="1706" spans="1:5" ht="15" x14ac:dyDescent="0.35">
      <c r="A1706" s="58" t="s">
        <v>282</v>
      </c>
      <c r="B1706" s="58" t="s">
        <v>176</v>
      </c>
      <c r="C1706" s="58">
        <v>10</v>
      </c>
      <c r="D1706" s="58">
        <v>113</v>
      </c>
      <c r="E1706" s="59">
        <v>23.5</v>
      </c>
    </row>
    <row r="1707" spans="1:5" ht="15" x14ac:dyDescent="0.35">
      <c r="A1707" s="58" t="s">
        <v>282</v>
      </c>
      <c r="B1707" s="58" t="s">
        <v>176</v>
      </c>
      <c r="C1707" s="58">
        <v>11</v>
      </c>
      <c r="D1707" s="58">
        <v>114</v>
      </c>
      <c r="E1707" s="59">
        <v>23.5</v>
      </c>
    </row>
    <row r="1708" spans="1:5" ht="15" x14ac:dyDescent="0.35">
      <c r="A1708" s="58" t="s">
        <v>282</v>
      </c>
      <c r="B1708" s="58" t="s">
        <v>176</v>
      </c>
      <c r="C1708" s="58">
        <v>12</v>
      </c>
      <c r="D1708" s="58">
        <v>115</v>
      </c>
      <c r="E1708" s="59">
        <v>23.5</v>
      </c>
    </row>
    <row r="1709" spans="1:5" ht="15" x14ac:dyDescent="0.35">
      <c r="A1709" s="58" t="s">
        <v>282</v>
      </c>
      <c r="B1709" s="58" t="s">
        <v>172</v>
      </c>
      <c r="C1709" s="58">
        <v>1</v>
      </c>
      <c r="D1709" s="58">
        <v>104</v>
      </c>
      <c r="E1709" s="59">
        <v>10</v>
      </c>
    </row>
    <row r="1710" spans="1:5" ht="15" x14ac:dyDescent="0.35">
      <c r="A1710" s="58" t="s">
        <v>282</v>
      </c>
      <c r="B1710" s="58" t="s">
        <v>172</v>
      </c>
      <c r="C1710" s="58">
        <v>2</v>
      </c>
      <c r="D1710" s="58">
        <v>105</v>
      </c>
      <c r="E1710" s="59">
        <v>10</v>
      </c>
    </row>
    <row r="1711" spans="1:5" ht="15" x14ac:dyDescent="0.35">
      <c r="A1711" s="58" t="s">
        <v>282</v>
      </c>
      <c r="B1711" s="58" t="s">
        <v>172</v>
      </c>
      <c r="C1711" s="58">
        <v>3</v>
      </c>
      <c r="D1711" s="58">
        <v>106</v>
      </c>
      <c r="E1711" s="59">
        <v>10</v>
      </c>
    </row>
    <row r="1712" spans="1:5" ht="15" x14ac:dyDescent="0.35">
      <c r="A1712" s="58" t="s">
        <v>282</v>
      </c>
      <c r="B1712" s="58" t="s">
        <v>172</v>
      </c>
      <c r="C1712" s="58">
        <v>4</v>
      </c>
      <c r="D1712" s="58">
        <v>107</v>
      </c>
      <c r="E1712" s="59">
        <v>10</v>
      </c>
    </row>
    <row r="1713" spans="1:5" ht="15" x14ac:dyDescent="0.35">
      <c r="A1713" s="58" t="s">
        <v>282</v>
      </c>
      <c r="B1713" s="58" t="s">
        <v>172</v>
      </c>
      <c r="C1713" s="58">
        <v>5</v>
      </c>
      <c r="D1713" s="58">
        <v>108</v>
      </c>
      <c r="E1713" s="59">
        <v>10</v>
      </c>
    </row>
    <row r="1714" spans="1:5" ht="15" x14ac:dyDescent="0.35">
      <c r="A1714" s="58" t="s">
        <v>282</v>
      </c>
      <c r="B1714" s="58" t="s">
        <v>172</v>
      </c>
      <c r="C1714" s="58">
        <v>6</v>
      </c>
      <c r="D1714" s="58">
        <v>109</v>
      </c>
      <c r="E1714" s="59">
        <v>10</v>
      </c>
    </row>
    <row r="1715" spans="1:5" ht="15" x14ac:dyDescent="0.35">
      <c r="A1715" s="58" t="s">
        <v>282</v>
      </c>
      <c r="B1715" s="58" t="s">
        <v>172</v>
      </c>
      <c r="C1715" s="58">
        <v>7</v>
      </c>
      <c r="D1715" s="58">
        <v>110</v>
      </c>
      <c r="E1715" s="59">
        <v>10</v>
      </c>
    </row>
    <row r="1716" spans="1:5" ht="15" x14ac:dyDescent="0.35">
      <c r="A1716" s="58" t="s">
        <v>282</v>
      </c>
      <c r="B1716" s="58" t="s">
        <v>172</v>
      </c>
      <c r="C1716" s="58">
        <v>8</v>
      </c>
      <c r="D1716" s="58">
        <v>111</v>
      </c>
      <c r="E1716" s="59">
        <v>10</v>
      </c>
    </row>
    <row r="1717" spans="1:5" ht="15" x14ac:dyDescent="0.35">
      <c r="A1717" s="58" t="s">
        <v>282</v>
      </c>
      <c r="B1717" s="58" t="s">
        <v>172</v>
      </c>
      <c r="C1717" s="58">
        <v>9</v>
      </c>
      <c r="D1717" s="58">
        <v>112</v>
      </c>
      <c r="E1717" s="59">
        <v>10</v>
      </c>
    </row>
    <row r="1718" spans="1:5" ht="15" x14ac:dyDescent="0.35">
      <c r="A1718" s="58" t="s">
        <v>282</v>
      </c>
      <c r="B1718" s="58" t="s">
        <v>172</v>
      </c>
      <c r="C1718" s="58">
        <v>10</v>
      </c>
      <c r="D1718" s="58">
        <v>113</v>
      </c>
      <c r="E1718" s="59">
        <v>10</v>
      </c>
    </row>
    <row r="1719" spans="1:5" ht="15" x14ac:dyDescent="0.35">
      <c r="A1719" s="58" t="s">
        <v>282</v>
      </c>
      <c r="B1719" s="58" t="s">
        <v>172</v>
      </c>
      <c r="C1719" s="58">
        <v>11</v>
      </c>
      <c r="D1719" s="58">
        <v>114</v>
      </c>
      <c r="E1719" s="59">
        <v>10</v>
      </c>
    </row>
    <row r="1720" spans="1:5" ht="15" x14ac:dyDescent="0.35">
      <c r="A1720" s="58" t="s">
        <v>282</v>
      </c>
      <c r="B1720" s="58" t="s">
        <v>172</v>
      </c>
      <c r="C1720" s="58">
        <v>12</v>
      </c>
      <c r="D1720" s="58">
        <v>115</v>
      </c>
      <c r="E1720" s="59">
        <v>10</v>
      </c>
    </row>
    <row r="1721" spans="1:5" ht="15" x14ac:dyDescent="0.35">
      <c r="A1721" s="58" t="s">
        <v>282</v>
      </c>
      <c r="B1721" s="58" t="s">
        <v>180</v>
      </c>
      <c r="C1721" s="58">
        <v>1</v>
      </c>
      <c r="D1721" s="58">
        <v>104</v>
      </c>
      <c r="E1721" s="59">
        <v>35.742800000000003</v>
      </c>
    </row>
    <row r="1722" spans="1:5" ht="15" x14ac:dyDescent="0.35">
      <c r="A1722" s="58" t="s">
        <v>282</v>
      </c>
      <c r="B1722" s="58" t="s">
        <v>180</v>
      </c>
      <c r="C1722" s="58">
        <v>2</v>
      </c>
      <c r="D1722" s="58">
        <v>105</v>
      </c>
      <c r="E1722" s="59">
        <v>35.742800000000003</v>
      </c>
    </row>
    <row r="1723" spans="1:5" ht="15" x14ac:dyDescent="0.35">
      <c r="A1723" s="58" t="s">
        <v>282</v>
      </c>
      <c r="B1723" s="58" t="s">
        <v>180</v>
      </c>
      <c r="C1723" s="58">
        <v>3</v>
      </c>
      <c r="D1723" s="58">
        <v>106</v>
      </c>
      <c r="E1723" s="59">
        <v>35.742800000000003</v>
      </c>
    </row>
    <row r="1724" spans="1:5" ht="15" x14ac:dyDescent="0.35">
      <c r="A1724" s="58" t="s">
        <v>282</v>
      </c>
      <c r="B1724" s="58" t="s">
        <v>180</v>
      </c>
      <c r="C1724" s="58">
        <v>4</v>
      </c>
      <c r="D1724" s="58">
        <v>107</v>
      </c>
      <c r="E1724" s="59">
        <v>35.742800000000003</v>
      </c>
    </row>
    <row r="1725" spans="1:5" ht="15" x14ac:dyDescent="0.35">
      <c r="A1725" s="58" t="s">
        <v>282</v>
      </c>
      <c r="B1725" s="58" t="s">
        <v>180</v>
      </c>
      <c r="C1725" s="58">
        <v>5</v>
      </c>
      <c r="D1725" s="58">
        <v>108</v>
      </c>
      <c r="E1725" s="59">
        <v>35.742800000000003</v>
      </c>
    </row>
    <row r="1726" spans="1:5" ht="15" x14ac:dyDescent="0.35">
      <c r="A1726" s="58" t="s">
        <v>282</v>
      </c>
      <c r="B1726" s="58" t="s">
        <v>180</v>
      </c>
      <c r="C1726" s="58">
        <v>6</v>
      </c>
      <c r="D1726" s="58">
        <v>109</v>
      </c>
      <c r="E1726" s="59">
        <v>35.742800000000003</v>
      </c>
    </row>
    <row r="1727" spans="1:5" ht="15" x14ac:dyDescent="0.35">
      <c r="A1727" s="58" t="s">
        <v>282</v>
      </c>
      <c r="B1727" s="58" t="s">
        <v>180</v>
      </c>
      <c r="C1727" s="58">
        <v>7</v>
      </c>
      <c r="D1727" s="58">
        <v>110</v>
      </c>
      <c r="E1727" s="59">
        <v>35.742800000000003</v>
      </c>
    </row>
    <row r="1728" spans="1:5" ht="15" x14ac:dyDescent="0.35">
      <c r="A1728" s="58" t="s">
        <v>282</v>
      </c>
      <c r="B1728" s="58" t="s">
        <v>180</v>
      </c>
      <c r="C1728" s="58">
        <v>8</v>
      </c>
      <c r="D1728" s="58">
        <v>111</v>
      </c>
      <c r="E1728" s="59">
        <v>35.742800000000003</v>
      </c>
    </row>
    <row r="1729" spans="1:5" ht="15" x14ac:dyDescent="0.35">
      <c r="A1729" s="58" t="s">
        <v>282</v>
      </c>
      <c r="B1729" s="58" t="s">
        <v>180</v>
      </c>
      <c r="C1729" s="58">
        <v>9</v>
      </c>
      <c r="D1729" s="58">
        <v>112</v>
      </c>
      <c r="E1729" s="59">
        <v>35.742800000000003</v>
      </c>
    </row>
    <row r="1730" spans="1:5" ht="15" x14ac:dyDescent="0.35">
      <c r="A1730" s="58" t="s">
        <v>282</v>
      </c>
      <c r="B1730" s="58" t="s">
        <v>180</v>
      </c>
      <c r="C1730" s="58">
        <v>10</v>
      </c>
      <c r="D1730" s="58">
        <v>113</v>
      </c>
      <c r="E1730" s="59">
        <v>35.742800000000003</v>
      </c>
    </row>
    <row r="1731" spans="1:5" ht="15" x14ac:dyDescent="0.35">
      <c r="A1731" s="58" t="s">
        <v>282</v>
      </c>
      <c r="B1731" s="58" t="s">
        <v>180</v>
      </c>
      <c r="C1731" s="58">
        <v>11</v>
      </c>
      <c r="D1731" s="58">
        <v>114</v>
      </c>
      <c r="E1731" s="59">
        <v>35.742800000000003</v>
      </c>
    </row>
    <row r="1732" spans="1:5" ht="15" x14ac:dyDescent="0.35">
      <c r="A1732" s="58" t="s">
        <v>282</v>
      </c>
      <c r="B1732" s="58" t="s">
        <v>180</v>
      </c>
      <c r="C1732" s="58">
        <v>12</v>
      </c>
      <c r="D1732" s="58">
        <v>115</v>
      </c>
      <c r="E1732" s="59">
        <v>35.742800000000003</v>
      </c>
    </row>
    <row r="1733" spans="1:5" ht="15" x14ac:dyDescent="0.35">
      <c r="A1733" s="58" t="s">
        <v>281</v>
      </c>
      <c r="B1733" s="58" t="s">
        <v>182</v>
      </c>
      <c r="C1733" s="58">
        <v>1</v>
      </c>
      <c r="D1733" s="58">
        <v>104</v>
      </c>
      <c r="E1733" s="59">
        <v>415.37569999999999</v>
      </c>
    </row>
    <row r="1734" spans="1:5" ht="15" x14ac:dyDescent="0.35">
      <c r="A1734" s="58" t="s">
        <v>281</v>
      </c>
      <c r="B1734" s="58" t="s">
        <v>182</v>
      </c>
      <c r="C1734" s="58">
        <v>2</v>
      </c>
      <c r="D1734" s="58">
        <v>105</v>
      </c>
      <c r="E1734" s="59">
        <v>316.97570000000002</v>
      </c>
    </row>
    <row r="1735" spans="1:5" ht="15" x14ac:dyDescent="0.35">
      <c r="A1735" s="58" t="s">
        <v>281</v>
      </c>
      <c r="B1735" s="58" t="s">
        <v>182</v>
      </c>
      <c r="C1735" s="58">
        <v>3</v>
      </c>
      <c r="D1735" s="58">
        <v>106</v>
      </c>
      <c r="E1735" s="59">
        <v>286.37569999999999</v>
      </c>
    </row>
    <row r="1736" spans="1:5" ht="15" x14ac:dyDescent="0.35">
      <c r="A1736" s="58" t="s">
        <v>281</v>
      </c>
      <c r="B1736" s="58" t="s">
        <v>182</v>
      </c>
      <c r="C1736" s="58">
        <v>4</v>
      </c>
      <c r="D1736" s="58">
        <v>107</v>
      </c>
      <c r="E1736" s="59">
        <v>251.66149999999999</v>
      </c>
    </row>
    <row r="1737" spans="1:5" ht="15" x14ac:dyDescent="0.35">
      <c r="A1737" s="58" t="s">
        <v>281</v>
      </c>
      <c r="B1737" s="58" t="s">
        <v>182</v>
      </c>
      <c r="C1737" s="58">
        <v>5</v>
      </c>
      <c r="D1737" s="58">
        <v>108</v>
      </c>
      <c r="E1737" s="59">
        <v>216.62569999999999</v>
      </c>
    </row>
    <row r="1738" spans="1:5" ht="15" x14ac:dyDescent="0.35">
      <c r="A1738" s="58" t="s">
        <v>281</v>
      </c>
      <c r="B1738" s="58" t="s">
        <v>182</v>
      </c>
      <c r="C1738" s="58">
        <v>6</v>
      </c>
      <c r="D1738" s="58">
        <v>109</v>
      </c>
      <c r="E1738" s="59">
        <v>214.48689999999999</v>
      </c>
    </row>
    <row r="1739" spans="1:5" ht="15" x14ac:dyDescent="0.35">
      <c r="A1739" s="58" t="s">
        <v>281</v>
      </c>
      <c r="B1739" s="58" t="s">
        <v>182</v>
      </c>
      <c r="C1739" s="58">
        <v>7</v>
      </c>
      <c r="D1739" s="58">
        <v>110</v>
      </c>
      <c r="E1739" s="59">
        <v>191.48689999999999</v>
      </c>
    </row>
    <row r="1740" spans="1:5" ht="15" x14ac:dyDescent="0.35">
      <c r="A1740" s="58" t="s">
        <v>281</v>
      </c>
      <c r="B1740" s="58" t="s">
        <v>182</v>
      </c>
      <c r="C1740" s="58">
        <v>8</v>
      </c>
      <c r="D1740" s="58">
        <v>111</v>
      </c>
      <c r="E1740" s="59">
        <v>192.04239999999999</v>
      </c>
    </row>
    <row r="1741" spans="1:5" ht="15" x14ac:dyDescent="0.35">
      <c r="A1741" s="58" t="s">
        <v>281</v>
      </c>
      <c r="B1741" s="58" t="s">
        <v>182</v>
      </c>
      <c r="C1741" s="58">
        <v>9</v>
      </c>
      <c r="D1741" s="58">
        <v>112</v>
      </c>
      <c r="E1741" s="59">
        <v>212.48689999999999</v>
      </c>
    </row>
    <row r="1742" spans="1:5" ht="15" x14ac:dyDescent="0.35">
      <c r="A1742" s="58" t="s">
        <v>281</v>
      </c>
      <c r="B1742" s="58" t="s">
        <v>182</v>
      </c>
      <c r="C1742" s="58">
        <v>10</v>
      </c>
      <c r="D1742" s="58">
        <v>113</v>
      </c>
      <c r="E1742" s="59">
        <v>234.15350000000001</v>
      </c>
    </row>
    <row r="1743" spans="1:5" ht="15" x14ac:dyDescent="0.35">
      <c r="A1743" s="58" t="s">
        <v>281</v>
      </c>
      <c r="B1743" s="58" t="s">
        <v>182</v>
      </c>
      <c r="C1743" s="58">
        <v>11</v>
      </c>
      <c r="D1743" s="58">
        <v>114</v>
      </c>
      <c r="E1743" s="59">
        <v>332.59800000000001</v>
      </c>
    </row>
    <row r="1744" spans="1:5" ht="15" x14ac:dyDescent="0.35">
      <c r="A1744" s="58" t="s">
        <v>281</v>
      </c>
      <c r="B1744" s="58" t="s">
        <v>182</v>
      </c>
      <c r="C1744" s="58">
        <v>12</v>
      </c>
      <c r="D1744" s="58">
        <v>115</v>
      </c>
      <c r="E1744" s="59">
        <v>335.15350000000001</v>
      </c>
    </row>
    <row r="1745" spans="1:5" ht="15" x14ac:dyDescent="0.35">
      <c r="A1745" s="58" t="s">
        <v>281</v>
      </c>
      <c r="B1745" s="58" t="s">
        <v>176</v>
      </c>
      <c r="C1745" s="58">
        <v>1</v>
      </c>
      <c r="D1745" s="58">
        <v>104</v>
      </c>
      <c r="E1745" s="59">
        <v>328.875</v>
      </c>
    </row>
    <row r="1746" spans="1:5" ht="15" x14ac:dyDescent="0.35">
      <c r="A1746" s="58" t="s">
        <v>281</v>
      </c>
      <c r="B1746" s="58" t="s">
        <v>176</v>
      </c>
      <c r="C1746" s="58">
        <v>2</v>
      </c>
      <c r="D1746" s="58">
        <v>105</v>
      </c>
      <c r="E1746" s="59">
        <v>328.875</v>
      </c>
    </row>
    <row r="1747" spans="1:5" ht="15" x14ac:dyDescent="0.35">
      <c r="A1747" s="58" t="s">
        <v>281</v>
      </c>
      <c r="B1747" s="58" t="s">
        <v>176</v>
      </c>
      <c r="C1747" s="58">
        <v>3</v>
      </c>
      <c r="D1747" s="58">
        <v>106</v>
      </c>
      <c r="E1747" s="59">
        <v>328.875</v>
      </c>
    </row>
    <row r="1748" spans="1:5" ht="15" x14ac:dyDescent="0.35">
      <c r="A1748" s="58" t="s">
        <v>281</v>
      </c>
      <c r="B1748" s="58" t="s">
        <v>176</v>
      </c>
      <c r="C1748" s="58">
        <v>4</v>
      </c>
      <c r="D1748" s="58">
        <v>107</v>
      </c>
      <c r="E1748" s="59">
        <v>328.875</v>
      </c>
    </row>
    <row r="1749" spans="1:5" ht="15" x14ac:dyDescent="0.35">
      <c r="A1749" s="58" t="s">
        <v>281</v>
      </c>
      <c r="B1749" s="58" t="s">
        <v>176</v>
      </c>
      <c r="C1749" s="58">
        <v>5</v>
      </c>
      <c r="D1749" s="58">
        <v>108</v>
      </c>
      <c r="E1749" s="59">
        <v>328.875</v>
      </c>
    </row>
    <row r="1750" spans="1:5" ht="15" x14ac:dyDescent="0.35">
      <c r="A1750" s="58" t="s">
        <v>281</v>
      </c>
      <c r="B1750" s="58" t="s">
        <v>176</v>
      </c>
      <c r="C1750" s="58">
        <v>6</v>
      </c>
      <c r="D1750" s="58">
        <v>109</v>
      </c>
      <c r="E1750" s="59">
        <v>328.875</v>
      </c>
    </row>
    <row r="1751" spans="1:5" ht="15" x14ac:dyDescent="0.35">
      <c r="A1751" s="58" t="s">
        <v>281</v>
      </c>
      <c r="B1751" s="58" t="s">
        <v>176</v>
      </c>
      <c r="C1751" s="58">
        <v>7</v>
      </c>
      <c r="D1751" s="58">
        <v>110</v>
      </c>
      <c r="E1751" s="59">
        <v>328.875</v>
      </c>
    </row>
    <row r="1752" spans="1:5" ht="15" x14ac:dyDescent="0.35">
      <c r="A1752" s="58" t="s">
        <v>281</v>
      </c>
      <c r="B1752" s="58" t="s">
        <v>176</v>
      </c>
      <c r="C1752" s="58">
        <v>8</v>
      </c>
      <c r="D1752" s="58">
        <v>111</v>
      </c>
      <c r="E1752" s="59">
        <v>328.875</v>
      </c>
    </row>
    <row r="1753" spans="1:5" ht="15" x14ac:dyDescent="0.35">
      <c r="A1753" s="58" t="s">
        <v>281</v>
      </c>
      <c r="B1753" s="58" t="s">
        <v>176</v>
      </c>
      <c r="C1753" s="58">
        <v>9</v>
      </c>
      <c r="D1753" s="58">
        <v>112</v>
      </c>
      <c r="E1753" s="59">
        <v>328.875</v>
      </c>
    </row>
    <row r="1754" spans="1:5" ht="15" x14ac:dyDescent="0.35">
      <c r="A1754" s="58" t="s">
        <v>281</v>
      </c>
      <c r="B1754" s="58" t="s">
        <v>176</v>
      </c>
      <c r="C1754" s="58">
        <v>10</v>
      </c>
      <c r="D1754" s="58">
        <v>113</v>
      </c>
      <c r="E1754" s="59">
        <v>328.875</v>
      </c>
    </row>
    <row r="1755" spans="1:5" ht="15" x14ac:dyDescent="0.35">
      <c r="A1755" s="58" t="s">
        <v>281</v>
      </c>
      <c r="B1755" s="58" t="s">
        <v>176</v>
      </c>
      <c r="C1755" s="58">
        <v>11</v>
      </c>
      <c r="D1755" s="58">
        <v>114</v>
      </c>
      <c r="E1755" s="59">
        <v>328.875</v>
      </c>
    </row>
    <row r="1756" spans="1:5" ht="15" x14ac:dyDescent="0.35">
      <c r="A1756" s="58" t="s">
        <v>281</v>
      </c>
      <c r="B1756" s="58" t="s">
        <v>176</v>
      </c>
      <c r="C1756" s="58">
        <v>12</v>
      </c>
      <c r="D1756" s="58">
        <v>115</v>
      </c>
      <c r="E1756" s="59">
        <v>328.875</v>
      </c>
    </row>
    <row r="1757" spans="1:5" ht="15" x14ac:dyDescent="0.35">
      <c r="A1757" s="58" t="s">
        <v>281</v>
      </c>
      <c r="B1757" s="58" t="s">
        <v>172</v>
      </c>
      <c r="C1757" s="58">
        <v>1</v>
      </c>
      <c r="D1757" s="58">
        <v>104</v>
      </c>
      <c r="E1757" s="59">
        <v>285</v>
      </c>
    </row>
    <row r="1758" spans="1:5" ht="15" x14ac:dyDescent="0.35">
      <c r="A1758" s="58" t="s">
        <v>281</v>
      </c>
      <c r="B1758" s="58" t="s">
        <v>172</v>
      </c>
      <c r="C1758" s="58">
        <v>2</v>
      </c>
      <c r="D1758" s="58">
        <v>105</v>
      </c>
      <c r="E1758" s="59">
        <v>285</v>
      </c>
    </row>
    <row r="1759" spans="1:5" ht="15" x14ac:dyDescent="0.35">
      <c r="A1759" s="58" t="s">
        <v>281</v>
      </c>
      <c r="B1759" s="58" t="s">
        <v>172</v>
      </c>
      <c r="C1759" s="58">
        <v>3</v>
      </c>
      <c r="D1759" s="58">
        <v>106</v>
      </c>
      <c r="E1759" s="59">
        <v>285</v>
      </c>
    </row>
    <row r="1760" spans="1:5" ht="15" x14ac:dyDescent="0.35">
      <c r="A1760" s="58" t="s">
        <v>281</v>
      </c>
      <c r="B1760" s="58" t="s">
        <v>172</v>
      </c>
      <c r="C1760" s="58">
        <v>4</v>
      </c>
      <c r="D1760" s="58">
        <v>107</v>
      </c>
      <c r="E1760" s="59">
        <v>285</v>
      </c>
    </row>
    <row r="1761" spans="1:5" ht="15" x14ac:dyDescent="0.35">
      <c r="A1761" s="58" t="s">
        <v>281</v>
      </c>
      <c r="B1761" s="58" t="s">
        <v>172</v>
      </c>
      <c r="C1761" s="58">
        <v>5</v>
      </c>
      <c r="D1761" s="58">
        <v>108</v>
      </c>
      <c r="E1761" s="59">
        <v>285</v>
      </c>
    </row>
    <row r="1762" spans="1:5" ht="15" x14ac:dyDescent="0.35">
      <c r="A1762" s="58" t="s">
        <v>281</v>
      </c>
      <c r="B1762" s="58" t="s">
        <v>172</v>
      </c>
      <c r="C1762" s="58">
        <v>6</v>
      </c>
      <c r="D1762" s="58">
        <v>109</v>
      </c>
      <c r="E1762" s="59">
        <v>285</v>
      </c>
    </row>
    <row r="1763" spans="1:5" ht="15" x14ac:dyDescent="0.35">
      <c r="A1763" s="58" t="s">
        <v>281</v>
      </c>
      <c r="B1763" s="58" t="s">
        <v>172</v>
      </c>
      <c r="C1763" s="58">
        <v>7</v>
      </c>
      <c r="D1763" s="58">
        <v>110</v>
      </c>
      <c r="E1763" s="59">
        <v>285</v>
      </c>
    </row>
    <row r="1764" spans="1:5" ht="15" x14ac:dyDescent="0.35">
      <c r="A1764" s="58" t="s">
        <v>281</v>
      </c>
      <c r="B1764" s="58" t="s">
        <v>172</v>
      </c>
      <c r="C1764" s="58">
        <v>8</v>
      </c>
      <c r="D1764" s="58">
        <v>111</v>
      </c>
      <c r="E1764" s="59">
        <v>285</v>
      </c>
    </row>
    <row r="1765" spans="1:5" ht="15" x14ac:dyDescent="0.35">
      <c r="A1765" s="58" t="s">
        <v>281</v>
      </c>
      <c r="B1765" s="58" t="s">
        <v>172</v>
      </c>
      <c r="C1765" s="58">
        <v>9</v>
      </c>
      <c r="D1765" s="58">
        <v>112</v>
      </c>
      <c r="E1765" s="59">
        <v>285</v>
      </c>
    </row>
    <row r="1766" spans="1:5" ht="15" x14ac:dyDescent="0.35">
      <c r="A1766" s="58" t="s">
        <v>281</v>
      </c>
      <c r="B1766" s="58" t="s">
        <v>172</v>
      </c>
      <c r="C1766" s="58">
        <v>10</v>
      </c>
      <c r="D1766" s="58">
        <v>113</v>
      </c>
      <c r="E1766" s="59">
        <v>285</v>
      </c>
    </row>
    <row r="1767" spans="1:5" ht="15" x14ac:dyDescent="0.35">
      <c r="A1767" s="58" t="s">
        <v>281</v>
      </c>
      <c r="B1767" s="58" t="s">
        <v>172</v>
      </c>
      <c r="C1767" s="58">
        <v>11</v>
      </c>
      <c r="D1767" s="58">
        <v>114</v>
      </c>
      <c r="E1767" s="59">
        <v>285</v>
      </c>
    </row>
    <row r="1768" spans="1:5" ht="15" x14ac:dyDescent="0.35">
      <c r="A1768" s="58" t="s">
        <v>281</v>
      </c>
      <c r="B1768" s="58" t="s">
        <v>172</v>
      </c>
      <c r="C1768" s="58">
        <v>12</v>
      </c>
      <c r="D1768" s="58">
        <v>115</v>
      </c>
      <c r="E1768" s="59">
        <v>285</v>
      </c>
    </row>
    <row r="1769" spans="1:5" ht="15" x14ac:dyDescent="0.35">
      <c r="A1769" s="58" t="s">
        <v>281</v>
      </c>
      <c r="B1769" s="58" t="s">
        <v>180</v>
      </c>
      <c r="C1769" s="58">
        <v>1</v>
      </c>
      <c r="D1769" s="58">
        <v>104</v>
      </c>
      <c r="E1769" s="59">
        <v>374.1053</v>
      </c>
    </row>
    <row r="1770" spans="1:5" ht="15" x14ac:dyDescent="0.35">
      <c r="A1770" s="58" t="s">
        <v>281</v>
      </c>
      <c r="B1770" s="58" t="s">
        <v>180</v>
      </c>
      <c r="C1770" s="58">
        <v>2</v>
      </c>
      <c r="D1770" s="58">
        <v>105</v>
      </c>
      <c r="E1770" s="59">
        <v>374.1053</v>
      </c>
    </row>
    <row r="1771" spans="1:5" ht="15" x14ac:dyDescent="0.35">
      <c r="A1771" s="58" t="s">
        <v>281</v>
      </c>
      <c r="B1771" s="58" t="s">
        <v>180</v>
      </c>
      <c r="C1771" s="58">
        <v>3</v>
      </c>
      <c r="D1771" s="58">
        <v>106</v>
      </c>
      <c r="E1771" s="59">
        <v>374.1053</v>
      </c>
    </row>
    <row r="1772" spans="1:5" ht="15" x14ac:dyDescent="0.35">
      <c r="A1772" s="58" t="s">
        <v>281</v>
      </c>
      <c r="B1772" s="58" t="s">
        <v>180</v>
      </c>
      <c r="C1772" s="58">
        <v>4</v>
      </c>
      <c r="D1772" s="58">
        <v>107</v>
      </c>
      <c r="E1772" s="59">
        <v>374.1053</v>
      </c>
    </row>
    <row r="1773" spans="1:5" ht="15" x14ac:dyDescent="0.35">
      <c r="A1773" s="58" t="s">
        <v>281</v>
      </c>
      <c r="B1773" s="58" t="s">
        <v>180</v>
      </c>
      <c r="C1773" s="58">
        <v>5</v>
      </c>
      <c r="D1773" s="58">
        <v>108</v>
      </c>
      <c r="E1773" s="59">
        <v>374.1053</v>
      </c>
    </row>
    <row r="1774" spans="1:5" ht="15" x14ac:dyDescent="0.35">
      <c r="A1774" s="58" t="s">
        <v>281</v>
      </c>
      <c r="B1774" s="58" t="s">
        <v>180</v>
      </c>
      <c r="C1774" s="58">
        <v>6</v>
      </c>
      <c r="D1774" s="58">
        <v>109</v>
      </c>
      <c r="E1774" s="59">
        <v>374.1053</v>
      </c>
    </row>
    <row r="1775" spans="1:5" ht="15" x14ac:dyDescent="0.35">
      <c r="A1775" s="58" t="s">
        <v>281</v>
      </c>
      <c r="B1775" s="58" t="s">
        <v>180</v>
      </c>
      <c r="C1775" s="58">
        <v>7</v>
      </c>
      <c r="D1775" s="58">
        <v>110</v>
      </c>
      <c r="E1775" s="59">
        <v>374.1053</v>
      </c>
    </row>
    <row r="1776" spans="1:5" ht="15" x14ac:dyDescent="0.35">
      <c r="A1776" s="58" t="s">
        <v>281</v>
      </c>
      <c r="B1776" s="58" t="s">
        <v>180</v>
      </c>
      <c r="C1776" s="58">
        <v>8</v>
      </c>
      <c r="D1776" s="58">
        <v>111</v>
      </c>
      <c r="E1776" s="59">
        <v>374.1053</v>
      </c>
    </row>
    <row r="1777" spans="1:5" ht="15" x14ac:dyDescent="0.35">
      <c r="A1777" s="58" t="s">
        <v>281</v>
      </c>
      <c r="B1777" s="58" t="s">
        <v>180</v>
      </c>
      <c r="C1777" s="58">
        <v>9</v>
      </c>
      <c r="D1777" s="58">
        <v>112</v>
      </c>
      <c r="E1777" s="59">
        <v>374.1053</v>
      </c>
    </row>
    <row r="1778" spans="1:5" ht="15" x14ac:dyDescent="0.35">
      <c r="A1778" s="58" t="s">
        <v>281</v>
      </c>
      <c r="B1778" s="58" t="s">
        <v>180</v>
      </c>
      <c r="C1778" s="58">
        <v>10</v>
      </c>
      <c r="D1778" s="58">
        <v>113</v>
      </c>
      <c r="E1778" s="59">
        <v>374.1053</v>
      </c>
    </row>
    <row r="1779" spans="1:5" ht="15" x14ac:dyDescent="0.35">
      <c r="A1779" s="58" t="s">
        <v>281</v>
      </c>
      <c r="B1779" s="58" t="s">
        <v>180</v>
      </c>
      <c r="C1779" s="58">
        <v>11</v>
      </c>
      <c r="D1779" s="58">
        <v>114</v>
      </c>
      <c r="E1779" s="59">
        <v>374.1053</v>
      </c>
    </row>
    <row r="1780" spans="1:5" ht="15" x14ac:dyDescent="0.35">
      <c r="A1780" s="58" t="s">
        <v>281</v>
      </c>
      <c r="B1780" s="58" t="s">
        <v>180</v>
      </c>
      <c r="C1780" s="58">
        <v>12</v>
      </c>
      <c r="D1780" s="58">
        <v>115</v>
      </c>
      <c r="E1780" s="59">
        <v>374.1053</v>
      </c>
    </row>
    <row r="1781" spans="1:5" ht="15" x14ac:dyDescent="0.35">
      <c r="A1781" s="58" t="s">
        <v>289</v>
      </c>
      <c r="B1781" s="58" t="s">
        <v>182</v>
      </c>
      <c r="C1781" s="58">
        <v>1</v>
      </c>
      <c r="D1781" s="58">
        <v>104</v>
      </c>
      <c r="E1781" s="59">
        <v>180.0121</v>
      </c>
    </row>
    <row r="1782" spans="1:5" ht="15" x14ac:dyDescent="0.35">
      <c r="A1782" s="58" t="s">
        <v>289</v>
      </c>
      <c r="B1782" s="58" t="s">
        <v>182</v>
      </c>
      <c r="C1782" s="58">
        <v>2</v>
      </c>
      <c r="D1782" s="58">
        <v>105</v>
      </c>
      <c r="E1782" s="59">
        <v>124.0788</v>
      </c>
    </row>
    <row r="1783" spans="1:5" ht="15" x14ac:dyDescent="0.35">
      <c r="A1783" s="58" t="s">
        <v>289</v>
      </c>
      <c r="B1783" s="58" t="s">
        <v>182</v>
      </c>
      <c r="C1783" s="58">
        <v>3</v>
      </c>
      <c r="D1783" s="58">
        <v>106</v>
      </c>
      <c r="E1783" s="59">
        <v>136.0121</v>
      </c>
    </row>
    <row r="1784" spans="1:5" ht="15" x14ac:dyDescent="0.35">
      <c r="A1784" s="58" t="s">
        <v>289</v>
      </c>
      <c r="B1784" s="58" t="s">
        <v>182</v>
      </c>
      <c r="C1784" s="58">
        <v>4</v>
      </c>
      <c r="D1784" s="58">
        <v>107</v>
      </c>
      <c r="E1784" s="59">
        <v>151.5359</v>
      </c>
    </row>
    <row r="1785" spans="1:5" ht="15" x14ac:dyDescent="0.35">
      <c r="A1785" s="58" t="s">
        <v>289</v>
      </c>
      <c r="B1785" s="58" t="s">
        <v>182</v>
      </c>
      <c r="C1785" s="58">
        <v>5</v>
      </c>
      <c r="D1785" s="58">
        <v>108</v>
      </c>
      <c r="E1785" s="59">
        <v>211.0538</v>
      </c>
    </row>
    <row r="1786" spans="1:5" ht="15" x14ac:dyDescent="0.35">
      <c r="A1786" s="58" t="s">
        <v>289</v>
      </c>
      <c r="B1786" s="58" t="s">
        <v>182</v>
      </c>
      <c r="C1786" s="58">
        <v>6</v>
      </c>
      <c r="D1786" s="58">
        <v>109</v>
      </c>
      <c r="E1786" s="59">
        <v>219.78989999999999</v>
      </c>
    </row>
    <row r="1787" spans="1:5" ht="15" x14ac:dyDescent="0.35">
      <c r="A1787" s="58" t="s">
        <v>289</v>
      </c>
      <c r="B1787" s="58" t="s">
        <v>182</v>
      </c>
      <c r="C1787" s="58">
        <v>7</v>
      </c>
      <c r="D1787" s="58">
        <v>110</v>
      </c>
      <c r="E1787" s="59">
        <v>192.0121</v>
      </c>
    </row>
    <row r="1788" spans="1:5" ht="15" x14ac:dyDescent="0.35">
      <c r="A1788" s="58" t="s">
        <v>289</v>
      </c>
      <c r="B1788" s="58" t="s">
        <v>182</v>
      </c>
      <c r="C1788" s="58">
        <v>8</v>
      </c>
      <c r="D1788" s="58">
        <v>111</v>
      </c>
      <c r="E1788" s="59">
        <v>171.34540000000001</v>
      </c>
    </row>
    <row r="1789" spans="1:5" ht="15" x14ac:dyDescent="0.35">
      <c r="A1789" s="58" t="s">
        <v>289</v>
      </c>
      <c r="B1789" s="58" t="s">
        <v>182</v>
      </c>
      <c r="C1789" s="58">
        <v>9</v>
      </c>
      <c r="D1789" s="58">
        <v>112</v>
      </c>
      <c r="E1789" s="59">
        <v>183.6788</v>
      </c>
    </row>
    <row r="1790" spans="1:5" ht="15" x14ac:dyDescent="0.35">
      <c r="A1790" s="58" t="s">
        <v>289</v>
      </c>
      <c r="B1790" s="58" t="s">
        <v>182</v>
      </c>
      <c r="C1790" s="58">
        <v>10</v>
      </c>
      <c r="D1790" s="58">
        <v>113</v>
      </c>
      <c r="E1790" s="59">
        <v>189.23429999999999</v>
      </c>
    </row>
    <row r="1791" spans="1:5" ht="15" x14ac:dyDescent="0.35">
      <c r="A1791" s="58" t="s">
        <v>289</v>
      </c>
      <c r="B1791" s="58" t="s">
        <v>182</v>
      </c>
      <c r="C1791" s="58">
        <v>11</v>
      </c>
      <c r="D1791" s="58">
        <v>114</v>
      </c>
      <c r="E1791" s="59">
        <v>183.78989999999999</v>
      </c>
    </row>
    <row r="1792" spans="1:5" ht="15" x14ac:dyDescent="0.35">
      <c r="A1792" s="58" t="s">
        <v>289</v>
      </c>
      <c r="B1792" s="58" t="s">
        <v>182</v>
      </c>
      <c r="C1792" s="58">
        <v>12</v>
      </c>
      <c r="D1792" s="58">
        <v>115</v>
      </c>
      <c r="E1792" s="59">
        <v>164.45650000000001</v>
      </c>
    </row>
    <row r="1793" spans="1:5" ht="15" x14ac:dyDescent="0.35">
      <c r="A1793" s="58" t="s">
        <v>289</v>
      </c>
      <c r="B1793" s="58" t="s">
        <v>176</v>
      </c>
      <c r="C1793" s="58">
        <v>1</v>
      </c>
      <c r="D1793" s="58">
        <v>104</v>
      </c>
      <c r="E1793" s="59">
        <v>221.25</v>
      </c>
    </row>
    <row r="1794" spans="1:5" ht="15" x14ac:dyDescent="0.35">
      <c r="A1794" s="58" t="s">
        <v>289</v>
      </c>
      <c r="B1794" s="58" t="s">
        <v>176</v>
      </c>
      <c r="C1794" s="58">
        <v>2</v>
      </c>
      <c r="D1794" s="58">
        <v>105</v>
      </c>
      <c r="E1794" s="59">
        <v>221.25</v>
      </c>
    </row>
    <row r="1795" spans="1:5" ht="15" x14ac:dyDescent="0.35">
      <c r="A1795" s="58" t="s">
        <v>289</v>
      </c>
      <c r="B1795" s="58" t="s">
        <v>176</v>
      </c>
      <c r="C1795" s="58">
        <v>3</v>
      </c>
      <c r="D1795" s="58">
        <v>106</v>
      </c>
      <c r="E1795" s="59">
        <v>221.25</v>
      </c>
    </row>
    <row r="1796" spans="1:5" ht="15" x14ac:dyDescent="0.35">
      <c r="A1796" s="58" t="s">
        <v>289</v>
      </c>
      <c r="B1796" s="58" t="s">
        <v>176</v>
      </c>
      <c r="C1796" s="58">
        <v>4</v>
      </c>
      <c r="D1796" s="58">
        <v>107</v>
      </c>
      <c r="E1796" s="59">
        <v>221.25</v>
      </c>
    </row>
    <row r="1797" spans="1:5" ht="15" x14ac:dyDescent="0.35">
      <c r="A1797" s="58" t="s">
        <v>289</v>
      </c>
      <c r="B1797" s="58" t="s">
        <v>176</v>
      </c>
      <c r="C1797" s="58">
        <v>5</v>
      </c>
      <c r="D1797" s="58">
        <v>108</v>
      </c>
      <c r="E1797" s="59">
        <v>221.25</v>
      </c>
    </row>
    <row r="1798" spans="1:5" ht="15" x14ac:dyDescent="0.35">
      <c r="A1798" s="58" t="s">
        <v>289</v>
      </c>
      <c r="B1798" s="58" t="s">
        <v>176</v>
      </c>
      <c r="C1798" s="58">
        <v>6</v>
      </c>
      <c r="D1798" s="58">
        <v>109</v>
      </c>
      <c r="E1798" s="59">
        <v>221.25</v>
      </c>
    </row>
    <row r="1799" spans="1:5" ht="15" x14ac:dyDescent="0.35">
      <c r="A1799" s="58" t="s">
        <v>289</v>
      </c>
      <c r="B1799" s="58" t="s">
        <v>176</v>
      </c>
      <c r="C1799" s="58">
        <v>7</v>
      </c>
      <c r="D1799" s="58">
        <v>110</v>
      </c>
      <c r="E1799" s="59">
        <v>221.25</v>
      </c>
    </row>
    <row r="1800" spans="1:5" ht="15" x14ac:dyDescent="0.35">
      <c r="A1800" s="58" t="s">
        <v>289</v>
      </c>
      <c r="B1800" s="58" t="s">
        <v>176</v>
      </c>
      <c r="C1800" s="58">
        <v>8</v>
      </c>
      <c r="D1800" s="58">
        <v>111</v>
      </c>
      <c r="E1800" s="59">
        <v>221.25</v>
      </c>
    </row>
    <row r="1801" spans="1:5" ht="15" x14ac:dyDescent="0.35">
      <c r="A1801" s="58" t="s">
        <v>289</v>
      </c>
      <c r="B1801" s="58" t="s">
        <v>176</v>
      </c>
      <c r="C1801" s="58">
        <v>9</v>
      </c>
      <c r="D1801" s="58">
        <v>112</v>
      </c>
      <c r="E1801" s="59">
        <v>221.25</v>
      </c>
    </row>
    <row r="1802" spans="1:5" ht="15" x14ac:dyDescent="0.35">
      <c r="A1802" s="58" t="s">
        <v>289</v>
      </c>
      <c r="B1802" s="58" t="s">
        <v>176</v>
      </c>
      <c r="C1802" s="58">
        <v>10</v>
      </c>
      <c r="D1802" s="58">
        <v>113</v>
      </c>
      <c r="E1802" s="59">
        <v>221.25</v>
      </c>
    </row>
    <row r="1803" spans="1:5" ht="15" x14ac:dyDescent="0.35">
      <c r="A1803" s="58" t="s">
        <v>289</v>
      </c>
      <c r="B1803" s="58" t="s">
        <v>176</v>
      </c>
      <c r="C1803" s="58">
        <v>11</v>
      </c>
      <c r="D1803" s="58">
        <v>114</v>
      </c>
      <c r="E1803" s="59">
        <v>221.25</v>
      </c>
    </row>
    <row r="1804" spans="1:5" ht="15" x14ac:dyDescent="0.35">
      <c r="A1804" s="58" t="s">
        <v>289</v>
      </c>
      <c r="B1804" s="58" t="s">
        <v>176</v>
      </c>
      <c r="C1804" s="58">
        <v>12</v>
      </c>
      <c r="D1804" s="58">
        <v>115</v>
      </c>
      <c r="E1804" s="59">
        <v>221.25</v>
      </c>
    </row>
    <row r="1805" spans="1:5" ht="15" x14ac:dyDescent="0.35">
      <c r="A1805" s="58" t="s">
        <v>289</v>
      </c>
      <c r="B1805" s="58" t="s">
        <v>172</v>
      </c>
      <c r="C1805" s="58">
        <v>1</v>
      </c>
      <c r="D1805" s="58">
        <v>104</v>
      </c>
      <c r="E1805" s="59">
        <v>318</v>
      </c>
    </row>
    <row r="1806" spans="1:5" ht="15" x14ac:dyDescent="0.35">
      <c r="A1806" s="58" t="s">
        <v>289</v>
      </c>
      <c r="B1806" s="58" t="s">
        <v>172</v>
      </c>
      <c r="C1806" s="58">
        <v>2</v>
      </c>
      <c r="D1806" s="58">
        <v>105</v>
      </c>
      <c r="E1806" s="59">
        <v>318</v>
      </c>
    </row>
    <row r="1807" spans="1:5" ht="15" x14ac:dyDescent="0.35">
      <c r="A1807" s="58" t="s">
        <v>289</v>
      </c>
      <c r="B1807" s="58" t="s">
        <v>172</v>
      </c>
      <c r="C1807" s="58">
        <v>3</v>
      </c>
      <c r="D1807" s="58">
        <v>106</v>
      </c>
      <c r="E1807" s="59">
        <v>318</v>
      </c>
    </row>
    <row r="1808" spans="1:5" ht="15" x14ac:dyDescent="0.35">
      <c r="A1808" s="58" t="s">
        <v>289</v>
      </c>
      <c r="B1808" s="58" t="s">
        <v>172</v>
      </c>
      <c r="C1808" s="58">
        <v>4</v>
      </c>
      <c r="D1808" s="58">
        <v>107</v>
      </c>
      <c r="E1808" s="59">
        <v>318</v>
      </c>
    </row>
    <row r="1809" spans="1:5" ht="15" x14ac:dyDescent="0.35">
      <c r="A1809" s="58" t="s">
        <v>289</v>
      </c>
      <c r="B1809" s="58" t="s">
        <v>172</v>
      </c>
      <c r="C1809" s="58">
        <v>5</v>
      </c>
      <c r="D1809" s="58">
        <v>108</v>
      </c>
      <c r="E1809" s="59">
        <v>318</v>
      </c>
    </row>
    <row r="1810" spans="1:5" ht="15" x14ac:dyDescent="0.35">
      <c r="A1810" s="58" t="s">
        <v>289</v>
      </c>
      <c r="B1810" s="58" t="s">
        <v>172</v>
      </c>
      <c r="C1810" s="58">
        <v>6</v>
      </c>
      <c r="D1810" s="58">
        <v>109</v>
      </c>
      <c r="E1810" s="59">
        <v>318</v>
      </c>
    </row>
    <row r="1811" spans="1:5" ht="15" x14ac:dyDescent="0.35">
      <c r="A1811" s="58" t="s">
        <v>289</v>
      </c>
      <c r="B1811" s="58" t="s">
        <v>172</v>
      </c>
      <c r="C1811" s="58">
        <v>7</v>
      </c>
      <c r="D1811" s="58">
        <v>110</v>
      </c>
      <c r="E1811" s="59">
        <v>318</v>
      </c>
    </row>
    <row r="1812" spans="1:5" ht="15" x14ac:dyDescent="0.35">
      <c r="A1812" s="58" t="s">
        <v>289</v>
      </c>
      <c r="B1812" s="58" t="s">
        <v>172</v>
      </c>
      <c r="C1812" s="58">
        <v>8</v>
      </c>
      <c r="D1812" s="58">
        <v>111</v>
      </c>
      <c r="E1812" s="59">
        <v>318</v>
      </c>
    </row>
    <row r="1813" spans="1:5" ht="15" x14ac:dyDescent="0.35">
      <c r="A1813" s="58" t="s">
        <v>289</v>
      </c>
      <c r="B1813" s="58" t="s">
        <v>172</v>
      </c>
      <c r="C1813" s="58">
        <v>9</v>
      </c>
      <c r="D1813" s="58">
        <v>112</v>
      </c>
      <c r="E1813" s="59">
        <v>318</v>
      </c>
    </row>
    <row r="1814" spans="1:5" ht="15" x14ac:dyDescent="0.35">
      <c r="A1814" s="58" t="s">
        <v>289</v>
      </c>
      <c r="B1814" s="58" t="s">
        <v>172</v>
      </c>
      <c r="C1814" s="58">
        <v>10</v>
      </c>
      <c r="D1814" s="58">
        <v>113</v>
      </c>
      <c r="E1814" s="59">
        <v>318</v>
      </c>
    </row>
    <row r="1815" spans="1:5" ht="15" x14ac:dyDescent="0.35">
      <c r="A1815" s="58" t="s">
        <v>289</v>
      </c>
      <c r="B1815" s="58" t="s">
        <v>172</v>
      </c>
      <c r="C1815" s="58">
        <v>11</v>
      </c>
      <c r="D1815" s="58">
        <v>114</v>
      </c>
      <c r="E1815" s="59">
        <v>318</v>
      </c>
    </row>
    <row r="1816" spans="1:5" ht="15" x14ac:dyDescent="0.35">
      <c r="A1816" s="58" t="s">
        <v>289</v>
      </c>
      <c r="B1816" s="58" t="s">
        <v>172</v>
      </c>
      <c r="C1816" s="58">
        <v>12</v>
      </c>
      <c r="D1816" s="58">
        <v>115</v>
      </c>
      <c r="E1816" s="59">
        <v>318</v>
      </c>
    </row>
    <row r="1817" spans="1:5" ht="15" x14ac:dyDescent="0.35">
      <c r="A1817" s="58" t="s">
        <v>289</v>
      </c>
      <c r="B1817" s="58" t="s">
        <v>180</v>
      </c>
      <c r="C1817" s="58">
        <v>1</v>
      </c>
      <c r="D1817" s="58">
        <v>104</v>
      </c>
      <c r="E1817" s="59">
        <v>243.02189999999999</v>
      </c>
    </row>
    <row r="1818" spans="1:5" ht="15" x14ac:dyDescent="0.35">
      <c r="A1818" s="58" t="s">
        <v>289</v>
      </c>
      <c r="B1818" s="58" t="s">
        <v>180</v>
      </c>
      <c r="C1818" s="58">
        <v>2</v>
      </c>
      <c r="D1818" s="58">
        <v>105</v>
      </c>
      <c r="E1818" s="59">
        <v>243.02189999999999</v>
      </c>
    </row>
    <row r="1819" spans="1:5" ht="15" x14ac:dyDescent="0.35">
      <c r="A1819" s="58" t="s">
        <v>289</v>
      </c>
      <c r="B1819" s="58" t="s">
        <v>180</v>
      </c>
      <c r="C1819" s="58">
        <v>3</v>
      </c>
      <c r="D1819" s="58">
        <v>106</v>
      </c>
      <c r="E1819" s="59">
        <v>243.02189999999999</v>
      </c>
    </row>
    <row r="1820" spans="1:5" ht="15" x14ac:dyDescent="0.35">
      <c r="A1820" s="58" t="s">
        <v>289</v>
      </c>
      <c r="B1820" s="58" t="s">
        <v>180</v>
      </c>
      <c r="C1820" s="58">
        <v>4</v>
      </c>
      <c r="D1820" s="58">
        <v>107</v>
      </c>
      <c r="E1820" s="59">
        <v>243.02189999999999</v>
      </c>
    </row>
    <row r="1821" spans="1:5" ht="15" x14ac:dyDescent="0.35">
      <c r="A1821" s="58" t="s">
        <v>289</v>
      </c>
      <c r="B1821" s="58" t="s">
        <v>180</v>
      </c>
      <c r="C1821" s="58">
        <v>5</v>
      </c>
      <c r="D1821" s="58">
        <v>108</v>
      </c>
      <c r="E1821" s="59">
        <v>243.02189999999999</v>
      </c>
    </row>
    <row r="1822" spans="1:5" ht="15" x14ac:dyDescent="0.35">
      <c r="A1822" s="58" t="s">
        <v>289</v>
      </c>
      <c r="B1822" s="58" t="s">
        <v>180</v>
      </c>
      <c r="C1822" s="58">
        <v>6</v>
      </c>
      <c r="D1822" s="58">
        <v>109</v>
      </c>
      <c r="E1822" s="59">
        <v>243.02189999999999</v>
      </c>
    </row>
    <row r="1823" spans="1:5" ht="15" x14ac:dyDescent="0.35">
      <c r="A1823" s="58" t="s">
        <v>289</v>
      </c>
      <c r="B1823" s="58" t="s">
        <v>180</v>
      </c>
      <c r="C1823" s="58">
        <v>7</v>
      </c>
      <c r="D1823" s="58">
        <v>110</v>
      </c>
      <c r="E1823" s="59">
        <v>243.02189999999999</v>
      </c>
    </row>
    <row r="1824" spans="1:5" ht="15" x14ac:dyDescent="0.35">
      <c r="A1824" s="58" t="s">
        <v>289</v>
      </c>
      <c r="B1824" s="58" t="s">
        <v>180</v>
      </c>
      <c r="C1824" s="58">
        <v>8</v>
      </c>
      <c r="D1824" s="58">
        <v>111</v>
      </c>
      <c r="E1824" s="59">
        <v>243.02189999999999</v>
      </c>
    </row>
    <row r="1825" spans="1:5" ht="15" x14ac:dyDescent="0.35">
      <c r="A1825" s="58" t="s">
        <v>289</v>
      </c>
      <c r="B1825" s="58" t="s">
        <v>180</v>
      </c>
      <c r="C1825" s="58">
        <v>9</v>
      </c>
      <c r="D1825" s="58">
        <v>112</v>
      </c>
      <c r="E1825" s="59">
        <v>243.02189999999999</v>
      </c>
    </row>
    <row r="1826" spans="1:5" ht="15" x14ac:dyDescent="0.35">
      <c r="A1826" s="58" t="s">
        <v>289</v>
      </c>
      <c r="B1826" s="58" t="s">
        <v>180</v>
      </c>
      <c r="C1826" s="58">
        <v>10</v>
      </c>
      <c r="D1826" s="58">
        <v>113</v>
      </c>
      <c r="E1826" s="59">
        <v>243.02189999999999</v>
      </c>
    </row>
    <row r="1827" spans="1:5" ht="15" x14ac:dyDescent="0.35">
      <c r="A1827" s="58" t="s">
        <v>289</v>
      </c>
      <c r="B1827" s="58" t="s">
        <v>180</v>
      </c>
      <c r="C1827" s="58">
        <v>11</v>
      </c>
      <c r="D1827" s="58">
        <v>114</v>
      </c>
      <c r="E1827" s="59">
        <v>243.02189999999999</v>
      </c>
    </row>
    <row r="1828" spans="1:5" ht="15" x14ac:dyDescent="0.35">
      <c r="A1828" s="58" t="s">
        <v>289</v>
      </c>
      <c r="B1828" s="58" t="s">
        <v>180</v>
      </c>
      <c r="C1828" s="58">
        <v>12</v>
      </c>
      <c r="D1828" s="58">
        <v>115</v>
      </c>
      <c r="E1828" s="59">
        <v>243.02189999999999</v>
      </c>
    </row>
    <row r="1829" spans="1:5" ht="15" x14ac:dyDescent="0.35">
      <c r="A1829" s="58" t="s">
        <v>325</v>
      </c>
      <c r="B1829" s="58" t="s">
        <v>182</v>
      </c>
      <c r="C1829" s="58">
        <v>1</v>
      </c>
      <c r="D1829" s="58">
        <v>104</v>
      </c>
      <c r="E1829" s="59">
        <v>25.561</v>
      </c>
    </row>
    <row r="1830" spans="1:5" ht="15" x14ac:dyDescent="0.35">
      <c r="A1830" s="58" t="s">
        <v>325</v>
      </c>
      <c r="B1830" s="58" t="s">
        <v>182</v>
      </c>
      <c r="C1830" s="58">
        <v>2</v>
      </c>
      <c r="D1830" s="58">
        <v>105</v>
      </c>
      <c r="E1830" s="59">
        <v>0</v>
      </c>
    </row>
    <row r="1831" spans="1:5" ht="15" x14ac:dyDescent="0.35">
      <c r="A1831" s="58" t="s">
        <v>325</v>
      </c>
      <c r="B1831" s="58" t="s">
        <v>182</v>
      </c>
      <c r="C1831" s="58">
        <v>3</v>
      </c>
      <c r="D1831" s="58">
        <v>106</v>
      </c>
      <c r="E1831" s="59">
        <v>0</v>
      </c>
    </row>
    <row r="1832" spans="1:5" ht="15" x14ac:dyDescent="0.35">
      <c r="A1832" s="58" t="s">
        <v>325</v>
      </c>
      <c r="B1832" s="58" t="s">
        <v>182</v>
      </c>
      <c r="C1832" s="58">
        <v>4</v>
      </c>
      <c r="D1832" s="58">
        <v>107</v>
      </c>
      <c r="E1832" s="59">
        <v>0</v>
      </c>
    </row>
    <row r="1833" spans="1:5" ht="15" x14ac:dyDescent="0.35">
      <c r="A1833" s="58" t="s">
        <v>325</v>
      </c>
      <c r="B1833" s="58" t="s">
        <v>182</v>
      </c>
      <c r="C1833" s="58">
        <v>5</v>
      </c>
      <c r="D1833" s="58">
        <v>108</v>
      </c>
      <c r="E1833" s="59">
        <v>0</v>
      </c>
    </row>
    <row r="1834" spans="1:5" ht="15" x14ac:dyDescent="0.35">
      <c r="A1834" s="58" t="s">
        <v>325</v>
      </c>
      <c r="B1834" s="58" t="s">
        <v>182</v>
      </c>
      <c r="C1834" s="58">
        <v>6</v>
      </c>
      <c r="D1834" s="58">
        <v>109</v>
      </c>
      <c r="E1834" s="59">
        <v>0</v>
      </c>
    </row>
    <row r="1835" spans="1:5" ht="15" x14ac:dyDescent="0.35">
      <c r="A1835" s="58" t="s">
        <v>325</v>
      </c>
      <c r="B1835" s="58" t="s">
        <v>182</v>
      </c>
      <c r="C1835" s="58">
        <v>7</v>
      </c>
      <c r="D1835" s="58">
        <v>110</v>
      </c>
      <c r="E1835" s="59">
        <v>0</v>
      </c>
    </row>
    <row r="1836" spans="1:5" ht="15" x14ac:dyDescent="0.35">
      <c r="A1836" s="58" t="s">
        <v>325</v>
      </c>
      <c r="B1836" s="58" t="s">
        <v>182</v>
      </c>
      <c r="C1836" s="58">
        <v>8</v>
      </c>
      <c r="D1836" s="58">
        <v>111</v>
      </c>
      <c r="E1836" s="59">
        <v>0</v>
      </c>
    </row>
    <row r="1837" spans="1:5" ht="15" x14ac:dyDescent="0.35">
      <c r="A1837" s="58" t="s">
        <v>325</v>
      </c>
      <c r="B1837" s="58" t="s">
        <v>182</v>
      </c>
      <c r="C1837" s="58">
        <v>9</v>
      </c>
      <c r="D1837" s="58">
        <v>112</v>
      </c>
      <c r="E1837" s="59">
        <v>0</v>
      </c>
    </row>
    <row r="1838" spans="1:5" ht="15" x14ac:dyDescent="0.35">
      <c r="A1838" s="58" t="s">
        <v>325</v>
      </c>
      <c r="B1838" s="58" t="s">
        <v>182</v>
      </c>
      <c r="C1838" s="58">
        <v>10</v>
      </c>
      <c r="D1838" s="58">
        <v>113</v>
      </c>
      <c r="E1838" s="59">
        <v>14.5177</v>
      </c>
    </row>
    <row r="1839" spans="1:5" ht="15" x14ac:dyDescent="0.35">
      <c r="A1839" s="58" t="s">
        <v>325</v>
      </c>
      <c r="B1839" s="58" t="s">
        <v>182</v>
      </c>
      <c r="C1839" s="58">
        <v>11</v>
      </c>
      <c r="D1839" s="58">
        <v>114</v>
      </c>
      <c r="E1839" s="59">
        <v>21.303000000000001</v>
      </c>
    </row>
    <row r="1840" spans="1:5" ht="15" x14ac:dyDescent="0.35">
      <c r="A1840" s="58" t="s">
        <v>325</v>
      </c>
      <c r="B1840" s="58" t="s">
        <v>182</v>
      </c>
      <c r="C1840" s="58">
        <v>12</v>
      </c>
      <c r="D1840" s="58">
        <v>115</v>
      </c>
      <c r="E1840" s="59">
        <v>24.9772</v>
      </c>
    </row>
    <row r="1841" spans="1:5" ht="15" x14ac:dyDescent="0.35">
      <c r="A1841" s="58" t="s">
        <v>325</v>
      </c>
      <c r="B1841" s="58" t="s">
        <v>176</v>
      </c>
      <c r="C1841" s="58">
        <v>1</v>
      </c>
      <c r="D1841" s="58">
        <v>104</v>
      </c>
      <c r="E1841" s="59">
        <v>45.125</v>
      </c>
    </row>
    <row r="1842" spans="1:5" ht="15" x14ac:dyDescent="0.35">
      <c r="A1842" s="58" t="s">
        <v>325</v>
      </c>
      <c r="B1842" s="58" t="s">
        <v>176</v>
      </c>
      <c r="C1842" s="58">
        <v>2</v>
      </c>
      <c r="D1842" s="58">
        <v>105</v>
      </c>
      <c r="E1842" s="59">
        <v>45.125</v>
      </c>
    </row>
    <row r="1843" spans="1:5" ht="15" x14ac:dyDescent="0.35">
      <c r="A1843" s="58" t="s">
        <v>325</v>
      </c>
      <c r="B1843" s="58" t="s">
        <v>176</v>
      </c>
      <c r="C1843" s="58">
        <v>3</v>
      </c>
      <c r="D1843" s="58">
        <v>106</v>
      </c>
      <c r="E1843" s="59">
        <v>45.125</v>
      </c>
    </row>
    <row r="1844" spans="1:5" ht="15" x14ac:dyDescent="0.35">
      <c r="A1844" s="58" t="s">
        <v>325</v>
      </c>
      <c r="B1844" s="58" t="s">
        <v>176</v>
      </c>
      <c r="C1844" s="58">
        <v>4</v>
      </c>
      <c r="D1844" s="58">
        <v>107</v>
      </c>
      <c r="E1844" s="59">
        <v>45.125</v>
      </c>
    </row>
    <row r="1845" spans="1:5" ht="15" x14ac:dyDescent="0.35">
      <c r="A1845" s="58" t="s">
        <v>325</v>
      </c>
      <c r="B1845" s="58" t="s">
        <v>176</v>
      </c>
      <c r="C1845" s="58">
        <v>5</v>
      </c>
      <c r="D1845" s="58">
        <v>108</v>
      </c>
      <c r="E1845" s="59">
        <v>45.125</v>
      </c>
    </row>
    <row r="1846" spans="1:5" ht="15" x14ac:dyDescent="0.35">
      <c r="A1846" s="58" t="s">
        <v>325</v>
      </c>
      <c r="B1846" s="58" t="s">
        <v>176</v>
      </c>
      <c r="C1846" s="58">
        <v>6</v>
      </c>
      <c r="D1846" s="58">
        <v>109</v>
      </c>
      <c r="E1846" s="59">
        <v>45.125</v>
      </c>
    </row>
    <row r="1847" spans="1:5" ht="15" x14ac:dyDescent="0.35">
      <c r="A1847" s="58" t="s">
        <v>325</v>
      </c>
      <c r="B1847" s="58" t="s">
        <v>176</v>
      </c>
      <c r="C1847" s="58">
        <v>7</v>
      </c>
      <c r="D1847" s="58">
        <v>110</v>
      </c>
      <c r="E1847" s="59">
        <v>45.125</v>
      </c>
    </row>
    <row r="1848" spans="1:5" ht="15" x14ac:dyDescent="0.35">
      <c r="A1848" s="58" t="s">
        <v>325</v>
      </c>
      <c r="B1848" s="58" t="s">
        <v>176</v>
      </c>
      <c r="C1848" s="58">
        <v>8</v>
      </c>
      <c r="D1848" s="58">
        <v>111</v>
      </c>
      <c r="E1848" s="59">
        <v>45.125</v>
      </c>
    </row>
    <row r="1849" spans="1:5" ht="15" x14ac:dyDescent="0.35">
      <c r="A1849" s="58" t="s">
        <v>325</v>
      </c>
      <c r="B1849" s="58" t="s">
        <v>176</v>
      </c>
      <c r="C1849" s="58">
        <v>9</v>
      </c>
      <c r="D1849" s="58">
        <v>112</v>
      </c>
      <c r="E1849" s="59">
        <v>45.125</v>
      </c>
    </row>
    <row r="1850" spans="1:5" ht="15" x14ac:dyDescent="0.35">
      <c r="A1850" s="58" t="s">
        <v>325</v>
      </c>
      <c r="B1850" s="58" t="s">
        <v>176</v>
      </c>
      <c r="C1850" s="58">
        <v>10</v>
      </c>
      <c r="D1850" s="58">
        <v>113</v>
      </c>
      <c r="E1850" s="59">
        <v>45.125</v>
      </c>
    </row>
    <row r="1851" spans="1:5" ht="15" x14ac:dyDescent="0.35">
      <c r="A1851" s="58" t="s">
        <v>325</v>
      </c>
      <c r="B1851" s="58" t="s">
        <v>176</v>
      </c>
      <c r="C1851" s="58">
        <v>11</v>
      </c>
      <c r="D1851" s="58">
        <v>114</v>
      </c>
      <c r="E1851" s="59">
        <v>45.125</v>
      </c>
    </row>
    <row r="1852" spans="1:5" ht="15" x14ac:dyDescent="0.35">
      <c r="A1852" s="58" t="s">
        <v>325</v>
      </c>
      <c r="B1852" s="58" t="s">
        <v>176</v>
      </c>
      <c r="C1852" s="58">
        <v>12</v>
      </c>
      <c r="D1852" s="58">
        <v>115</v>
      </c>
      <c r="E1852" s="59">
        <v>45.125</v>
      </c>
    </row>
    <row r="1853" spans="1:5" ht="15" x14ac:dyDescent="0.35">
      <c r="A1853" s="58" t="s">
        <v>325</v>
      </c>
      <c r="B1853" s="58" t="s">
        <v>172</v>
      </c>
      <c r="C1853" s="58">
        <v>1</v>
      </c>
      <c r="D1853" s="58">
        <v>104</v>
      </c>
      <c r="E1853" s="59">
        <v>58</v>
      </c>
    </row>
    <row r="1854" spans="1:5" ht="15" x14ac:dyDescent="0.35">
      <c r="A1854" s="58" t="s">
        <v>325</v>
      </c>
      <c r="B1854" s="58" t="s">
        <v>172</v>
      </c>
      <c r="C1854" s="58">
        <v>2</v>
      </c>
      <c r="D1854" s="58">
        <v>105</v>
      </c>
      <c r="E1854" s="59">
        <v>58</v>
      </c>
    </row>
    <row r="1855" spans="1:5" ht="15" x14ac:dyDescent="0.35">
      <c r="A1855" s="58" t="s">
        <v>325</v>
      </c>
      <c r="B1855" s="58" t="s">
        <v>172</v>
      </c>
      <c r="C1855" s="58">
        <v>3</v>
      </c>
      <c r="D1855" s="58">
        <v>106</v>
      </c>
      <c r="E1855" s="59">
        <v>58</v>
      </c>
    </row>
    <row r="1856" spans="1:5" ht="15" x14ac:dyDescent="0.35">
      <c r="A1856" s="58" t="s">
        <v>325</v>
      </c>
      <c r="B1856" s="58" t="s">
        <v>172</v>
      </c>
      <c r="C1856" s="58">
        <v>4</v>
      </c>
      <c r="D1856" s="58">
        <v>107</v>
      </c>
      <c r="E1856" s="59">
        <v>58</v>
      </c>
    </row>
    <row r="1857" spans="1:5" ht="15" x14ac:dyDescent="0.35">
      <c r="A1857" s="58" t="s">
        <v>325</v>
      </c>
      <c r="B1857" s="58" t="s">
        <v>172</v>
      </c>
      <c r="C1857" s="58">
        <v>5</v>
      </c>
      <c r="D1857" s="58">
        <v>108</v>
      </c>
      <c r="E1857" s="59">
        <v>58</v>
      </c>
    </row>
    <row r="1858" spans="1:5" ht="15" x14ac:dyDescent="0.35">
      <c r="A1858" s="58" t="s">
        <v>325</v>
      </c>
      <c r="B1858" s="58" t="s">
        <v>172</v>
      </c>
      <c r="C1858" s="58">
        <v>6</v>
      </c>
      <c r="D1858" s="58">
        <v>109</v>
      </c>
      <c r="E1858" s="59">
        <v>58</v>
      </c>
    </row>
    <row r="1859" spans="1:5" ht="15" x14ac:dyDescent="0.35">
      <c r="A1859" s="58" t="s">
        <v>325</v>
      </c>
      <c r="B1859" s="58" t="s">
        <v>172</v>
      </c>
      <c r="C1859" s="58">
        <v>7</v>
      </c>
      <c r="D1859" s="58">
        <v>110</v>
      </c>
      <c r="E1859" s="59">
        <v>58</v>
      </c>
    </row>
    <row r="1860" spans="1:5" ht="15" x14ac:dyDescent="0.35">
      <c r="A1860" s="58" t="s">
        <v>325</v>
      </c>
      <c r="B1860" s="58" t="s">
        <v>172</v>
      </c>
      <c r="C1860" s="58">
        <v>8</v>
      </c>
      <c r="D1860" s="58">
        <v>111</v>
      </c>
      <c r="E1860" s="59">
        <v>58</v>
      </c>
    </row>
    <row r="1861" spans="1:5" ht="15" x14ac:dyDescent="0.35">
      <c r="A1861" s="58" t="s">
        <v>325</v>
      </c>
      <c r="B1861" s="58" t="s">
        <v>172</v>
      </c>
      <c r="C1861" s="58">
        <v>9</v>
      </c>
      <c r="D1861" s="58">
        <v>112</v>
      </c>
      <c r="E1861" s="59">
        <v>58</v>
      </c>
    </row>
    <row r="1862" spans="1:5" ht="15" x14ac:dyDescent="0.35">
      <c r="A1862" s="58" t="s">
        <v>325</v>
      </c>
      <c r="B1862" s="58" t="s">
        <v>172</v>
      </c>
      <c r="C1862" s="58">
        <v>10</v>
      </c>
      <c r="D1862" s="58">
        <v>113</v>
      </c>
      <c r="E1862" s="59">
        <v>58</v>
      </c>
    </row>
    <row r="1863" spans="1:5" ht="15" x14ac:dyDescent="0.35">
      <c r="A1863" s="58" t="s">
        <v>325</v>
      </c>
      <c r="B1863" s="58" t="s">
        <v>172</v>
      </c>
      <c r="C1863" s="58">
        <v>11</v>
      </c>
      <c r="D1863" s="58">
        <v>114</v>
      </c>
      <c r="E1863" s="59">
        <v>58</v>
      </c>
    </row>
    <row r="1864" spans="1:5" ht="15" x14ac:dyDescent="0.35">
      <c r="A1864" s="58" t="s">
        <v>325</v>
      </c>
      <c r="B1864" s="58" t="s">
        <v>172</v>
      </c>
      <c r="C1864" s="58">
        <v>12</v>
      </c>
      <c r="D1864" s="58">
        <v>115</v>
      </c>
      <c r="E1864" s="59">
        <v>58</v>
      </c>
    </row>
    <row r="1865" spans="1:5" ht="15" x14ac:dyDescent="0.35">
      <c r="A1865" s="58" t="s">
        <v>325</v>
      </c>
      <c r="B1865" s="58" t="s">
        <v>180</v>
      </c>
      <c r="C1865" s="58">
        <v>1</v>
      </c>
      <c r="D1865" s="58">
        <v>104</v>
      </c>
      <c r="E1865" s="59">
        <v>54.540300000000002</v>
      </c>
    </row>
    <row r="1866" spans="1:5" ht="15" x14ac:dyDescent="0.35">
      <c r="A1866" s="58" t="s">
        <v>325</v>
      </c>
      <c r="B1866" s="58" t="s">
        <v>180</v>
      </c>
      <c r="C1866" s="58">
        <v>2</v>
      </c>
      <c r="D1866" s="58">
        <v>105</v>
      </c>
      <c r="E1866" s="59">
        <v>54.540300000000002</v>
      </c>
    </row>
    <row r="1867" spans="1:5" ht="15" x14ac:dyDescent="0.35">
      <c r="A1867" s="58" t="s">
        <v>325</v>
      </c>
      <c r="B1867" s="58" t="s">
        <v>180</v>
      </c>
      <c r="C1867" s="58">
        <v>3</v>
      </c>
      <c r="D1867" s="58">
        <v>106</v>
      </c>
      <c r="E1867" s="59">
        <v>54.540300000000002</v>
      </c>
    </row>
    <row r="1868" spans="1:5" ht="15" x14ac:dyDescent="0.35">
      <c r="A1868" s="58" t="s">
        <v>325</v>
      </c>
      <c r="B1868" s="58" t="s">
        <v>180</v>
      </c>
      <c r="C1868" s="58">
        <v>4</v>
      </c>
      <c r="D1868" s="58">
        <v>107</v>
      </c>
      <c r="E1868" s="59">
        <v>54.540300000000002</v>
      </c>
    </row>
    <row r="1869" spans="1:5" ht="15" x14ac:dyDescent="0.35">
      <c r="A1869" s="58" t="s">
        <v>325</v>
      </c>
      <c r="B1869" s="58" t="s">
        <v>180</v>
      </c>
      <c r="C1869" s="58">
        <v>5</v>
      </c>
      <c r="D1869" s="58">
        <v>108</v>
      </c>
      <c r="E1869" s="59">
        <v>54.540300000000002</v>
      </c>
    </row>
    <row r="1870" spans="1:5" ht="15" x14ac:dyDescent="0.35">
      <c r="A1870" s="58" t="s">
        <v>325</v>
      </c>
      <c r="B1870" s="58" t="s">
        <v>180</v>
      </c>
      <c r="C1870" s="58">
        <v>6</v>
      </c>
      <c r="D1870" s="58">
        <v>109</v>
      </c>
      <c r="E1870" s="59">
        <v>54.540300000000002</v>
      </c>
    </row>
    <row r="1871" spans="1:5" ht="15" x14ac:dyDescent="0.35">
      <c r="A1871" s="58" t="s">
        <v>325</v>
      </c>
      <c r="B1871" s="58" t="s">
        <v>180</v>
      </c>
      <c r="C1871" s="58">
        <v>7</v>
      </c>
      <c r="D1871" s="58">
        <v>110</v>
      </c>
      <c r="E1871" s="59">
        <v>54.540300000000002</v>
      </c>
    </row>
    <row r="1872" spans="1:5" ht="15" x14ac:dyDescent="0.35">
      <c r="A1872" s="58" t="s">
        <v>325</v>
      </c>
      <c r="B1872" s="58" t="s">
        <v>180</v>
      </c>
      <c r="C1872" s="58">
        <v>8</v>
      </c>
      <c r="D1872" s="58">
        <v>111</v>
      </c>
      <c r="E1872" s="59">
        <v>54.540300000000002</v>
      </c>
    </row>
    <row r="1873" spans="1:5" ht="15" x14ac:dyDescent="0.35">
      <c r="A1873" s="58" t="s">
        <v>325</v>
      </c>
      <c r="B1873" s="58" t="s">
        <v>180</v>
      </c>
      <c r="C1873" s="58">
        <v>9</v>
      </c>
      <c r="D1873" s="58">
        <v>112</v>
      </c>
      <c r="E1873" s="59">
        <v>54.540300000000002</v>
      </c>
    </row>
    <row r="1874" spans="1:5" ht="15" x14ac:dyDescent="0.35">
      <c r="A1874" s="58" t="s">
        <v>325</v>
      </c>
      <c r="B1874" s="58" t="s">
        <v>180</v>
      </c>
      <c r="C1874" s="58">
        <v>10</v>
      </c>
      <c r="D1874" s="58">
        <v>113</v>
      </c>
      <c r="E1874" s="59">
        <v>54.540300000000002</v>
      </c>
    </row>
    <row r="1875" spans="1:5" ht="15" x14ac:dyDescent="0.35">
      <c r="A1875" s="58" t="s">
        <v>325</v>
      </c>
      <c r="B1875" s="58" t="s">
        <v>180</v>
      </c>
      <c r="C1875" s="58">
        <v>11</v>
      </c>
      <c r="D1875" s="58">
        <v>114</v>
      </c>
      <c r="E1875" s="59">
        <v>54.540300000000002</v>
      </c>
    </row>
    <row r="1876" spans="1:5" ht="15" x14ac:dyDescent="0.35">
      <c r="A1876" s="58" t="s">
        <v>325</v>
      </c>
      <c r="B1876" s="58" t="s">
        <v>180</v>
      </c>
      <c r="C1876" s="58">
        <v>12</v>
      </c>
      <c r="D1876" s="58">
        <v>115</v>
      </c>
      <c r="E1876" s="59">
        <v>54.540300000000002</v>
      </c>
    </row>
    <row r="1877" spans="1:5" ht="15" x14ac:dyDescent="0.35">
      <c r="A1877" s="58" t="s">
        <v>356</v>
      </c>
      <c r="B1877" s="58" t="s">
        <v>182</v>
      </c>
      <c r="C1877" s="58">
        <v>1</v>
      </c>
      <c r="D1877" s="58">
        <v>104</v>
      </c>
      <c r="E1877" s="59">
        <v>14.8736</v>
      </c>
    </row>
    <row r="1878" spans="1:5" ht="15" x14ac:dyDescent="0.35">
      <c r="A1878" s="58" t="s">
        <v>356</v>
      </c>
      <c r="B1878" s="58" t="s">
        <v>182</v>
      </c>
      <c r="C1878" s="58">
        <v>2</v>
      </c>
      <c r="D1878" s="58">
        <v>105</v>
      </c>
      <c r="E1878" s="59">
        <v>16.073599999999999</v>
      </c>
    </row>
    <row r="1879" spans="1:5" ht="15" x14ac:dyDescent="0.35">
      <c r="A1879" s="58" t="s">
        <v>356</v>
      </c>
      <c r="B1879" s="58" t="s">
        <v>182</v>
      </c>
      <c r="C1879" s="58">
        <v>3</v>
      </c>
      <c r="D1879" s="58">
        <v>106</v>
      </c>
      <c r="E1879" s="59">
        <v>20.8736</v>
      </c>
    </row>
    <row r="1880" spans="1:5" ht="15" x14ac:dyDescent="0.35">
      <c r="A1880" s="58" t="s">
        <v>356</v>
      </c>
      <c r="B1880" s="58" t="s">
        <v>182</v>
      </c>
      <c r="C1880" s="58">
        <v>4</v>
      </c>
      <c r="D1880" s="58">
        <v>107</v>
      </c>
      <c r="E1880" s="59">
        <v>26.302099999999999</v>
      </c>
    </row>
    <row r="1881" spans="1:5" ht="15" x14ac:dyDescent="0.35">
      <c r="A1881" s="58" t="s">
        <v>356</v>
      </c>
      <c r="B1881" s="58" t="s">
        <v>182</v>
      </c>
      <c r="C1881" s="58">
        <v>5</v>
      </c>
      <c r="D1881" s="58">
        <v>108</v>
      </c>
      <c r="E1881" s="59">
        <v>28.3736</v>
      </c>
    </row>
    <row r="1882" spans="1:5" ht="15" x14ac:dyDescent="0.35">
      <c r="A1882" s="58" t="s">
        <v>356</v>
      </c>
      <c r="B1882" s="58" t="s">
        <v>182</v>
      </c>
      <c r="C1882" s="58">
        <v>6</v>
      </c>
      <c r="D1882" s="58">
        <v>109</v>
      </c>
      <c r="E1882" s="59">
        <v>30.540199999999999</v>
      </c>
    </row>
    <row r="1883" spans="1:5" ht="15" x14ac:dyDescent="0.35">
      <c r="A1883" s="58" t="s">
        <v>356</v>
      </c>
      <c r="B1883" s="58" t="s">
        <v>182</v>
      </c>
      <c r="C1883" s="58">
        <v>7</v>
      </c>
      <c r="D1883" s="58">
        <v>110</v>
      </c>
      <c r="E1883" s="59">
        <v>22.540199999999999</v>
      </c>
    </row>
    <row r="1884" spans="1:5" ht="15" x14ac:dyDescent="0.35">
      <c r="A1884" s="58" t="s">
        <v>356</v>
      </c>
      <c r="B1884" s="58" t="s">
        <v>182</v>
      </c>
      <c r="C1884" s="58">
        <v>8</v>
      </c>
      <c r="D1884" s="58">
        <v>111</v>
      </c>
      <c r="E1884" s="59">
        <v>18.429099999999998</v>
      </c>
    </row>
    <row r="1885" spans="1:5" ht="15" x14ac:dyDescent="0.35">
      <c r="A1885" s="58" t="s">
        <v>356</v>
      </c>
      <c r="B1885" s="58" t="s">
        <v>182</v>
      </c>
      <c r="C1885" s="58">
        <v>9</v>
      </c>
      <c r="D1885" s="58">
        <v>112</v>
      </c>
      <c r="E1885" s="59">
        <v>26.206900000000001</v>
      </c>
    </row>
    <row r="1886" spans="1:5" ht="15" x14ac:dyDescent="0.35">
      <c r="A1886" s="58" t="s">
        <v>356</v>
      </c>
      <c r="B1886" s="58" t="s">
        <v>182</v>
      </c>
      <c r="C1886" s="58">
        <v>10</v>
      </c>
      <c r="D1886" s="58">
        <v>113</v>
      </c>
      <c r="E1886" s="59">
        <v>35.540199999999999</v>
      </c>
    </row>
    <row r="1887" spans="1:5" ht="15" x14ac:dyDescent="0.35">
      <c r="A1887" s="58" t="s">
        <v>356</v>
      </c>
      <c r="B1887" s="58" t="s">
        <v>182</v>
      </c>
      <c r="C1887" s="58">
        <v>11</v>
      </c>
      <c r="D1887" s="58">
        <v>114</v>
      </c>
      <c r="E1887" s="59">
        <v>41.651299999999999</v>
      </c>
    </row>
    <row r="1888" spans="1:5" ht="15" x14ac:dyDescent="0.35">
      <c r="A1888" s="58" t="s">
        <v>356</v>
      </c>
      <c r="B1888" s="58" t="s">
        <v>182</v>
      </c>
      <c r="C1888" s="58">
        <v>12</v>
      </c>
      <c r="D1888" s="58">
        <v>115</v>
      </c>
      <c r="E1888" s="59">
        <v>40.095799999999997</v>
      </c>
    </row>
    <row r="1889" spans="1:5" ht="15" x14ac:dyDescent="0.35">
      <c r="A1889" s="58" t="s">
        <v>356</v>
      </c>
      <c r="B1889" s="58" t="s">
        <v>176</v>
      </c>
      <c r="C1889" s="58">
        <v>1</v>
      </c>
      <c r="D1889" s="58">
        <v>104</v>
      </c>
      <c r="E1889" s="59">
        <v>33.625</v>
      </c>
    </row>
    <row r="1890" spans="1:5" ht="15" x14ac:dyDescent="0.35">
      <c r="A1890" s="58" t="s">
        <v>356</v>
      </c>
      <c r="B1890" s="58" t="s">
        <v>176</v>
      </c>
      <c r="C1890" s="58">
        <v>2</v>
      </c>
      <c r="D1890" s="58">
        <v>105</v>
      </c>
      <c r="E1890" s="59">
        <v>33.625</v>
      </c>
    </row>
    <row r="1891" spans="1:5" ht="15" x14ac:dyDescent="0.35">
      <c r="A1891" s="58" t="s">
        <v>356</v>
      </c>
      <c r="B1891" s="58" t="s">
        <v>176</v>
      </c>
      <c r="C1891" s="58">
        <v>3</v>
      </c>
      <c r="D1891" s="58">
        <v>106</v>
      </c>
      <c r="E1891" s="59">
        <v>33.625</v>
      </c>
    </row>
    <row r="1892" spans="1:5" ht="15" x14ac:dyDescent="0.35">
      <c r="A1892" s="58" t="s">
        <v>356</v>
      </c>
      <c r="B1892" s="58" t="s">
        <v>176</v>
      </c>
      <c r="C1892" s="58">
        <v>4</v>
      </c>
      <c r="D1892" s="58">
        <v>107</v>
      </c>
      <c r="E1892" s="59">
        <v>33.625</v>
      </c>
    </row>
    <row r="1893" spans="1:5" ht="15" x14ac:dyDescent="0.35">
      <c r="A1893" s="58" t="s">
        <v>356</v>
      </c>
      <c r="B1893" s="58" t="s">
        <v>176</v>
      </c>
      <c r="C1893" s="58">
        <v>5</v>
      </c>
      <c r="D1893" s="58">
        <v>108</v>
      </c>
      <c r="E1893" s="59">
        <v>33.625</v>
      </c>
    </row>
    <row r="1894" spans="1:5" ht="15" x14ac:dyDescent="0.35">
      <c r="A1894" s="58" t="s">
        <v>356</v>
      </c>
      <c r="B1894" s="58" t="s">
        <v>176</v>
      </c>
      <c r="C1894" s="58">
        <v>6</v>
      </c>
      <c r="D1894" s="58">
        <v>109</v>
      </c>
      <c r="E1894" s="59">
        <v>33.625</v>
      </c>
    </row>
    <row r="1895" spans="1:5" ht="15" x14ac:dyDescent="0.35">
      <c r="A1895" s="58" t="s">
        <v>356</v>
      </c>
      <c r="B1895" s="58" t="s">
        <v>176</v>
      </c>
      <c r="C1895" s="58">
        <v>7</v>
      </c>
      <c r="D1895" s="58">
        <v>110</v>
      </c>
      <c r="E1895" s="59">
        <v>33.625</v>
      </c>
    </row>
    <row r="1896" spans="1:5" ht="15" x14ac:dyDescent="0.35">
      <c r="A1896" s="58" t="s">
        <v>356</v>
      </c>
      <c r="B1896" s="58" t="s">
        <v>176</v>
      </c>
      <c r="C1896" s="58">
        <v>8</v>
      </c>
      <c r="D1896" s="58">
        <v>111</v>
      </c>
      <c r="E1896" s="59">
        <v>33.625</v>
      </c>
    </row>
    <row r="1897" spans="1:5" ht="15" x14ac:dyDescent="0.35">
      <c r="A1897" s="58" t="s">
        <v>356</v>
      </c>
      <c r="B1897" s="58" t="s">
        <v>176</v>
      </c>
      <c r="C1897" s="58">
        <v>9</v>
      </c>
      <c r="D1897" s="58">
        <v>112</v>
      </c>
      <c r="E1897" s="59">
        <v>33.625</v>
      </c>
    </row>
    <row r="1898" spans="1:5" ht="15" x14ac:dyDescent="0.35">
      <c r="A1898" s="58" t="s">
        <v>356</v>
      </c>
      <c r="B1898" s="58" t="s">
        <v>176</v>
      </c>
      <c r="C1898" s="58">
        <v>10</v>
      </c>
      <c r="D1898" s="58">
        <v>113</v>
      </c>
      <c r="E1898" s="59">
        <v>33.625</v>
      </c>
    </row>
    <row r="1899" spans="1:5" ht="15" x14ac:dyDescent="0.35">
      <c r="A1899" s="58" t="s">
        <v>356</v>
      </c>
      <c r="B1899" s="58" t="s">
        <v>176</v>
      </c>
      <c r="C1899" s="58">
        <v>11</v>
      </c>
      <c r="D1899" s="58">
        <v>114</v>
      </c>
      <c r="E1899" s="59">
        <v>33.625</v>
      </c>
    </row>
    <row r="1900" spans="1:5" ht="15" x14ac:dyDescent="0.35">
      <c r="A1900" s="58" t="s">
        <v>356</v>
      </c>
      <c r="B1900" s="58" t="s">
        <v>176</v>
      </c>
      <c r="C1900" s="58">
        <v>12</v>
      </c>
      <c r="D1900" s="58">
        <v>115</v>
      </c>
      <c r="E1900" s="59">
        <v>33.625</v>
      </c>
    </row>
    <row r="1901" spans="1:5" ht="15" x14ac:dyDescent="0.35">
      <c r="A1901" s="58" t="s">
        <v>356</v>
      </c>
      <c r="B1901" s="58" t="s">
        <v>172</v>
      </c>
      <c r="C1901" s="58">
        <v>1</v>
      </c>
      <c r="D1901" s="58">
        <v>104</v>
      </c>
      <c r="E1901" s="59">
        <v>31</v>
      </c>
    </row>
    <row r="1902" spans="1:5" ht="15" x14ac:dyDescent="0.35">
      <c r="A1902" s="58" t="s">
        <v>356</v>
      </c>
      <c r="B1902" s="58" t="s">
        <v>172</v>
      </c>
      <c r="C1902" s="58">
        <v>2</v>
      </c>
      <c r="D1902" s="58">
        <v>105</v>
      </c>
      <c r="E1902" s="59">
        <v>31</v>
      </c>
    </row>
    <row r="1903" spans="1:5" ht="15" x14ac:dyDescent="0.35">
      <c r="A1903" s="58" t="s">
        <v>356</v>
      </c>
      <c r="B1903" s="58" t="s">
        <v>172</v>
      </c>
      <c r="C1903" s="58">
        <v>3</v>
      </c>
      <c r="D1903" s="58">
        <v>106</v>
      </c>
      <c r="E1903" s="59">
        <v>31</v>
      </c>
    </row>
    <row r="1904" spans="1:5" ht="15" x14ac:dyDescent="0.35">
      <c r="A1904" s="58" t="s">
        <v>356</v>
      </c>
      <c r="B1904" s="58" t="s">
        <v>172</v>
      </c>
      <c r="C1904" s="58">
        <v>4</v>
      </c>
      <c r="D1904" s="58">
        <v>107</v>
      </c>
      <c r="E1904" s="59">
        <v>31</v>
      </c>
    </row>
    <row r="1905" spans="1:5" ht="15" x14ac:dyDescent="0.35">
      <c r="A1905" s="58" t="s">
        <v>356</v>
      </c>
      <c r="B1905" s="58" t="s">
        <v>172</v>
      </c>
      <c r="C1905" s="58">
        <v>5</v>
      </c>
      <c r="D1905" s="58">
        <v>108</v>
      </c>
      <c r="E1905" s="59">
        <v>31</v>
      </c>
    </row>
    <row r="1906" spans="1:5" ht="15" x14ac:dyDescent="0.35">
      <c r="A1906" s="58" t="s">
        <v>356</v>
      </c>
      <c r="B1906" s="58" t="s">
        <v>172</v>
      </c>
      <c r="C1906" s="58">
        <v>6</v>
      </c>
      <c r="D1906" s="58">
        <v>109</v>
      </c>
      <c r="E1906" s="59">
        <v>31</v>
      </c>
    </row>
    <row r="1907" spans="1:5" ht="15" x14ac:dyDescent="0.35">
      <c r="A1907" s="58" t="s">
        <v>356</v>
      </c>
      <c r="B1907" s="58" t="s">
        <v>172</v>
      </c>
      <c r="C1907" s="58">
        <v>7</v>
      </c>
      <c r="D1907" s="58">
        <v>110</v>
      </c>
      <c r="E1907" s="59">
        <v>31</v>
      </c>
    </row>
    <row r="1908" spans="1:5" ht="15" x14ac:dyDescent="0.35">
      <c r="A1908" s="58" t="s">
        <v>356</v>
      </c>
      <c r="B1908" s="58" t="s">
        <v>172</v>
      </c>
      <c r="C1908" s="58">
        <v>8</v>
      </c>
      <c r="D1908" s="58">
        <v>111</v>
      </c>
      <c r="E1908" s="59">
        <v>31</v>
      </c>
    </row>
    <row r="1909" spans="1:5" ht="15" x14ac:dyDescent="0.35">
      <c r="A1909" s="58" t="s">
        <v>356</v>
      </c>
      <c r="B1909" s="58" t="s">
        <v>172</v>
      </c>
      <c r="C1909" s="58">
        <v>9</v>
      </c>
      <c r="D1909" s="58">
        <v>112</v>
      </c>
      <c r="E1909" s="59">
        <v>31</v>
      </c>
    </row>
    <row r="1910" spans="1:5" ht="15" x14ac:dyDescent="0.35">
      <c r="A1910" s="58" t="s">
        <v>356</v>
      </c>
      <c r="B1910" s="58" t="s">
        <v>172</v>
      </c>
      <c r="C1910" s="58">
        <v>10</v>
      </c>
      <c r="D1910" s="58">
        <v>113</v>
      </c>
      <c r="E1910" s="59">
        <v>31</v>
      </c>
    </row>
    <row r="1911" spans="1:5" ht="15" x14ac:dyDescent="0.35">
      <c r="A1911" s="58" t="s">
        <v>356</v>
      </c>
      <c r="B1911" s="58" t="s">
        <v>172</v>
      </c>
      <c r="C1911" s="58">
        <v>11</v>
      </c>
      <c r="D1911" s="58">
        <v>114</v>
      </c>
      <c r="E1911" s="59">
        <v>31</v>
      </c>
    </row>
    <row r="1912" spans="1:5" ht="15" x14ac:dyDescent="0.35">
      <c r="A1912" s="58" t="s">
        <v>356</v>
      </c>
      <c r="B1912" s="58" t="s">
        <v>172</v>
      </c>
      <c r="C1912" s="58">
        <v>12</v>
      </c>
      <c r="D1912" s="58">
        <v>115</v>
      </c>
      <c r="E1912" s="59">
        <v>31</v>
      </c>
    </row>
    <row r="1913" spans="1:5" ht="15" x14ac:dyDescent="0.35">
      <c r="A1913" s="58" t="s">
        <v>356</v>
      </c>
      <c r="B1913" s="58" t="s">
        <v>180</v>
      </c>
      <c r="C1913" s="58">
        <v>1</v>
      </c>
      <c r="D1913" s="58">
        <v>104</v>
      </c>
      <c r="E1913" s="59">
        <v>32.5291</v>
      </c>
    </row>
    <row r="1914" spans="1:5" ht="15" x14ac:dyDescent="0.35">
      <c r="A1914" s="58" t="s">
        <v>356</v>
      </c>
      <c r="B1914" s="58" t="s">
        <v>180</v>
      </c>
      <c r="C1914" s="58">
        <v>2</v>
      </c>
      <c r="D1914" s="58">
        <v>105</v>
      </c>
      <c r="E1914" s="59">
        <v>32.5291</v>
      </c>
    </row>
    <row r="1915" spans="1:5" ht="15" x14ac:dyDescent="0.35">
      <c r="A1915" s="58" t="s">
        <v>356</v>
      </c>
      <c r="B1915" s="58" t="s">
        <v>180</v>
      </c>
      <c r="C1915" s="58">
        <v>3</v>
      </c>
      <c r="D1915" s="58">
        <v>106</v>
      </c>
      <c r="E1915" s="59">
        <v>32.5291</v>
      </c>
    </row>
    <row r="1916" spans="1:5" ht="15" x14ac:dyDescent="0.35">
      <c r="A1916" s="58" t="s">
        <v>356</v>
      </c>
      <c r="B1916" s="58" t="s">
        <v>180</v>
      </c>
      <c r="C1916" s="58">
        <v>4</v>
      </c>
      <c r="D1916" s="58">
        <v>107</v>
      </c>
      <c r="E1916" s="59">
        <v>32.5291</v>
      </c>
    </row>
    <row r="1917" spans="1:5" ht="15" x14ac:dyDescent="0.35">
      <c r="A1917" s="58" t="s">
        <v>356</v>
      </c>
      <c r="B1917" s="58" t="s">
        <v>180</v>
      </c>
      <c r="C1917" s="58">
        <v>5</v>
      </c>
      <c r="D1917" s="58">
        <v>108</v>
      </c>
      <c r="E1917" s="59">
        <v>32.5291</v>
      </c>
    </row>
    <row r="1918" spans="1:5" ht="15" x14ac:dyDescent="0.35">
      <c r="A1918" s="58" t="s">
        <v>356</v>
      </c>
      <c r="B1918" s="58" t="s">
        <v>180</v>
      </c>
      <c r="C1918" s="58">
        <v>6</v>
      </c>
      <c r="D1918" s="58">
        <v>109</v>
      </c>
      <c r="E1918" s="59">
        <v>32.5291</v>
      </c>
    </row>
    <row r="1919" spans="1:5" ht="15" x14ac:dyDescent="0.35">
      <c r="A1919" s="58" t="s">
        <v>356</v>
      </c>
      <c r="B1919" s="58" t="s">
        <v>180</v>
      </c>
      <c r="C1919" s="58">
        <v>7</v>
      </c>
      <c r="D1919" s="58">
        <v>110</v>
      </c>
      <c r="E1919" s="59">
        <v>32.5291</v>
      </c>
    </row>
    <row r="1920" spans="1:5" ht="15" x14ac:dyDescent="0.35">
      <c r="A1920" s="58" t="s">
        <v>356</v>
      </c>
      <c r="B1920" s="58" t="s">
        <v>180</v>
      </c>
      <c r="C1920" s="58">
        <v>8</v>
      </c>
      <c r="D1920" s="58">
        <v>111</v>
      </c>
      <c r="E1920" s="59">
        <v>32.5291</v>
      </c>
    </row>
    <row r="1921" spans="1:5" ht="15" x14ac:dyDescent="0.35">
      <c r="A1921" s="58" t="s">
        <v>356</v>
      </c>
      <c r="B1921" s="58" t="s">
        <v>180</v>
      </c>
      <c r="C1921" s="58">
        <v>9</v>
      </c>
      <c r="D1921" s="58">
        <v>112</v>
      </c>
      <c r="E1921" s="59">
        <v>32.5291</v>
      </c>
    </row>
    <row r="1922" spans="1:5" ht="15" x14ac:dyDescent="0.35">
      <c r="A1922" s="58" t="s">
        <v>356</v>
      </c>
      <c r="B1922" s="58" t="s">
        <v>180</v>
      </c>
      <c r="C1922" s="58">
        <v>10</v>
      </c>
      <c r="D1922" s="58">
        <v>113</v>
      </c>
      <c r="E1922" s="59">
        <v>32.5291</v>
      </c>
    </row>
    <row r="1923" spans="1:5" ht="15" x14ac:dyDescent="0.35">
      <c r="A1923" s="58" t="s">
        <v>356</v>
      </c>
      <c r="B1923" s="58" t="s">
        <v>180</v>
      </c>
      <c r="C1923" s="58">
        <v>11</v>
      </c>
      <c r="D1923" s="58">
        <v>114</v>
      </c>
      <c r="E1923" s="59">
        <v>32.5291</v>
      </c>
    </row>
    <row r="1924" spans="1:5" ht="15" x14ac:dyDescent="0.35">
      <c r="A1924" s="58" t="s">
        <v>356</v>
      </c>
      <c r="B1924" s="58" t="s">
        <v>180</v>
      </c>
      <c r="C1924" s="58">
        <v>12</v>
      </c>
      <c r="D1924" s="58">
        <v>115</v>
      </c>
      <c r="E1924" s="59">
        <v>32.5291</v>
      </c>
    </row>
    <row r="1925" spans="1:5" ht="15" x14ac:dyDescent="0.35">
      <c r="A1925" s="58" t="s">
        <v>365</v>
      </c>
      <c r="B1925" s="58" t="s">
        <v>182</v>
      </c>
      <c r="C1925" s="58">
        <v>1</v>
      </c>
      <c r="D1925" s="58">
        <v>104</v>
      </c>
      <c r="E1925" s="59">
        <v>410.80630000000002</v>
      </c>
    </row>
    <row r="1926" spans="1:5" ht="15" x14ac:dyDescent="0.35">
      <c r="A1926" s="58" t="s">
        <v>365</v>
      </c>
      <c r="B1926" s="58" t="s">
        <v>182</v>
      </c>
      <c r="C1926" s="58">
        <v>2</v>
      </c>
      <c r="D1926" s="58">
        <v>105</v>
      </c>
      <c r="E1926" s="59">
        <v>231.09520000000001</v>
      </c>
    </row>
    <row r="1927" spans="1:5" ht="15" x14ac:dyDescent="0.35">
      <c r="A1927" s="58" t="s">
        <v>365</v>
      </c>
      <c r="B1927" s="58" t="s">
        <v>182</v>
      </c>
      <c r="C1927" s="58">
        <v>3</v>
      </c>
      <c r="D1927" s="58">
        <v>106</v>
      </c>
      <c r="E1927" s="59">
        <v>206.1952</v>
      </c>
    </row>
    <row r="1928" spans="1:5" ht="15" x14ac:dyDescent="0.35">
      <c r="A1928" s="58" t="s">
        <v>365</v>
      </c>
      <c r="B1928" s="58" t="s">
        <v>182</v>
      </c>
      <c r="C1928" s="58">
        <v>4</v>
      </c>
      <c r="D1928" s="58">
        <v>107</v>
      </c>
      <c r="E1928" s="59">
        <v>204.5523</v>
      </c>
    </row>
    <row r="1929" spans="1:5" ht="15" x14ac:dyDescent="0.35">
      <c r="A1929" s="58" t="s">
        <v>365</v>
      </c>
      <c r="B1929" s="58" t="s">
        <v>182</v>
      </c>
      <c r="C1929" s="58">
        <v>5</v>
      </c>
      <c r="D1929" s="58">
        <v>108</v>
      </c>
      <c r="E1929" s="59">
        <v>195.0702</v>
      </c>
    </row>
    <row r="1930" spans="1:5" ht="15" x14ac:dyDescent="0.35">
      <c r="A1930" s="58" t="s">
        <v>365</v>
      </c>
      <c r="B1930" s="58" t="s">
        <v>182</v>
      </c>
      <c r="C1930" s="58">
        <v>6</v>
      </c>
      <c r="D1930" s="58">
        <v>109</v>
      </c>
      <c r="E1930" s="59">
        <v>197.2508</v>
      </c>
    </row>
    <row r="1931" spans="1:5" ht="15" x14ac:dyDescent="0.35">
      <c r="A1931" s="58" t="s">
        <v>365</v>
      </c>
      <c r="B1931" s="58" t="s">
        <v>182</v>
      </c>
      <c r="C1931" s="58">
        <v>7</v>
      </c>
      <c r="D1931" s="58">
        <v>110</v>
      </c>
      <c r="E1931" s="59">
        <v>175.91739999999999</v>
      </c>
    </row>
    <row r="1932" spans="1:5" ht="15" x14ac:dyDescent="0.35">
      <c r="A1932" s="58" t="s">
        <v>365</v>
      </c>
      <c r="B1932" s="58" t="s">
        <v>182</v>
      </c>
      <c r="C1932" s="58">
        <v>8</v>
      </c>
      <c r="D1932" s="58">
        <v>111</v>
      </c>
      <c r="E1932" s="59">
        <v>153.2508</v>
      </c>
    </row>
    <row r="1933" spans="1:5" ht="15" x14ac:dyDescent="0.35">
      <c r="A1933" s="58" t="s">
        <v>365</v>
      </c>
      <c r="B1933" s="58" t="s">
        <v>182</v>
      </c>
      <c r="C1933" s="58">
        <v>9</v>
      </c>
      <c r="D1933" s="58">
        <v>112</v>
      </c>
      <c r="E1933" s="59">
        <v>169.80629999999999</v>
      </c>
    </row>
    <row r="1934" spans="1:5" ht="15" x14ac:dyDescent="0.35">
      <c r="A1934" s="58" t="s">
        <v>365</v>
      </c>
      <c r="B1934" s="58" t="s">
        <v>182</v>
      </c>
      <c r="C1934" s="58">
        <v>10</v>
      </c>
      <c r="D1934" s="58">
        <v>113</v>
      </c>
      <c r="E1934" s="59">
        <v>184.36189999999999</v>
      </c>
    </row>
    <row r="1935" spans="1:5" ht="15" x14ac:dyDescent="0.35">
      <c r="A1935" s="58" t="s">
        <v>365</v>
      </c>
      <c r="B1935" s="58" t="s">
        <v>182</v>
      </c>
      <c r="C1935" s="58">
        <v>11</v>
      </c>
      <c r="D1935" s="58">
        <v>114</v>
      </c>
      <c r="E1935" s="59">
        <v>164.02850000000001</v>
      </c>
    </row>
    <row r="1936" spans="1:5" ht="15" x14ac:dyDescent="0.35">
      <c r="A1936" s="58" t="s">
        <v>365</v>
      </c>
      <c r="B1936" s="58" t="s">
        <v>182</v>
      </c>
      <c r="C1936" s="58">
        <v>12</v>
      </c>
      <c r="D1936" s="58">
        <v>115</v>
      </c>
      <c r="E1936" s="59">
        <v>165.1396</v>
      </c>
    </row>
    <row r="1937" spans="1:5" ht="15" x14ac:dyDescent="0.35">
      <c r="A1937" s="58" t="s">
        <v>365</v>
      </c>
      <c r="B1937" s="58" t="s">
        <v>176</v>
      </c>
      <c r="C1937" s="58">
        <v>1</v>
      </c>
      <c r="D1937" s="58">
        <v>104</v>
      </c>
      <c r="E1937" s="59">
        <v>509.75</v>
      </c>
    </row>
    <row r="1938" spans="1:5" ht="15" x14ac:dyDescent="0.35">
      <c r="A1938" s="58" t="s">
        <v>365</v>
      </c>
      <c r="B1938" s="58" t="s">
        <v>176</v>
      </c>
      <c r="C1938" s="58">
        <v>2</v>
      </c>
      <c r="D1938" s="58">
        <v>105</v>
      </c>
      <c r="E1938" s="59">
        <v>509.75</v>
      </c>
    </row>
    <row r="1939" spans="1:5" ht="15" x14ac:dyDescent="0.35">
      <c r="A1939" s="58" t="s">
        <v>365</v>
      </c>
      <c r="B1939" s="58" t="s">
        <v>176</v>
      </c>
      <c r="C1939" s="58">
        <v>3</v>
      </c>
      <c r="D1939" s="58">
        <v>106</v>
      </c>
      <c r="E1939" s="59">
        <v>509.75</v>
      </c>
    </row>
    <row r="1940" spans="1:5" ht="15" x14ac:dyDescent="0.35">
      <c r="A1940" s="58" t="s">
        <v>365</v>
      </c>
      <c r="B1940" s="58" t="s">
        <v>176</v>
      </c>
      <c r="C1940" s="58">
        <v>4</v>
      </c>
      <c r="D1940" s="58">
        <v>107</v>
      </c>
      <c r="E1940" s="59">
        <v>509.75</v>
      </c>
    </row>
    <row r="1941" spans="1:5" ht="15" x14ac:dyDescent="0.35">
      <c r="A1941" s="58" t="s">
        <v>365</v>
      </c>
      <c r="B1941" s="58" t="s">
        <v>176</v>
      </c>
      <c r="C1941" s="58">
        <v>5</v>
      </c>
      <c r="D1941" s="58">
        <v>108</v>
      </c>
      <c r="E1941" s="59">
        <v>509.75</v>
      </c>
    </row>
    <row r="1942" spans="1:5" ht="15" x14ac:dyDescent="0.35">
      <c r="A1942" s="58" t="s">
        <v>365</v>
      </c>
      <c r="B1942" s="58" t="s">
        <v>176</v>
      </c>
      <c r="C1942" s="58">
        <v>6</v>
      </c>
      <c r="D1942" s="58">
        <v>109</v>
      </c>
      <c r="E1942" s="59">
        <v>509.75</v>
      </c>
    </row>
    <row r="1943" spans="1:5" ht="15" x14ac:dyDescent="0.35">
      <c r="A1943" s="58" t="s">
        <v>365</v>
      </c>
      <c r="B1943" s="58" t="s">
        <v>176</v>
      </c>
      <c r="C1943" s="58">
        <v>7</v>
      </c>
      <c r="D1943" s="58">
        <v>110</v>
      </c>
      <c r="E1943" s="59">
        <v>509.75</v>
      </c>
    </row>
    <row r="1944" spans="1:5" ht="15" x14ac:dyDescent="0.35">
      <c r="A1944" s="58" t="s">
        <v>365</v>
      </c>
      <c r="B1944" s="58" t="s">
        <v>176</v>
      </c>
      <c r="C1944" s="58">
        <v>8</v>
      </c>
      <c r="D1944" s="58">
        <v>111</v>
      </c>
      <c r="E1944" s="59">
        <v>509.75</v>
      </c>
    </row>
    <row r="1945" spans="1:5" ht="15" x14ac:dyDescent="0.35">
      <c r="A1945" s="58" t="s">
        <v>365</v>
      </c>
      <c r="B1945" s="58" t="s">
        <v>176</v>
      </c>
      <c r="C1945" s="58">
        <v>9</v>
      </c>
      <c r="D1945" s="58">
        <v>112</v>
      </c>
      <c r="E1945" s="59">
        <v>509.75</v>
      </c>
    </row>
    <row r="1946" spans="1:5" ht="15" x14ac:dyDescent="0.35">
      <c r="A1946" s="58" t="s">
        <v>365</v>
      </c>
      <c r="B1946" s="58" t="s">
        <v>176</v>
      </c>
      <c r="C1946" s="58">
        <v>10</v>
      </c>
      <c r="D1946" s="58">
        <v>113</v>
      </c>
      <c r="E1946" s="59">
        <v>509.75</v>
      </c>
    </row>
    <row r="1947" spans="1:5" ht="15" x14ac:dyDescent="0.35">
      <c r="A1947" s="58" t="s">
        <v>365</v>
      </c>
      <c r="B1947" s="58" t="s">
        <v>176</v>
      </c>
      <c r="C1947" s="58">
        <v>11</v>
      </c>
      <c r="D1947" s="58">
        <v>114</v>
      </c>
      <c r="E1947" s="59">
        <v>509.75</v>
      </c>
    </row>
    <row r="1948" spans="1:5" ht="15" x14ac:dyDescent="0.35">
      <c r="A1948" s="58" t="s">
        <v>365</v>
      </c>
      <c r="B1948" s="58" t="s">
        <v>176</v>
      </c>
      <c r="C1948" s="58">
        <v>12</v>
      </c>
      <c r="D1948" s="58">
        <v>115</v>
      </c>
      <c r="E1948" s="59">
        <v>509.75</v>
      </c>
    </row>
    <row r="1949" spans="1:5" ht="15" x14ac:dyDescent="0.35">
      <c r="A1949" s="58" t="s">
        <v>365</v>
      </c>
      <c r="B1949" s="58" t="s">
        <v>172</v>
      </c>
      <c r="C1949" s="58">
        <v>1</v>
      </c>
      <c r="D1949" s="58">
        <v>104</v>
      </c>
      <c r="E1949" s="59">
        <v>432</v>
      </c>
    </row>
    <row r="1950" spans="1:5" ht="15" x14ac:dyDescent="0.35">
      <c r="A1950" s="58" t="s">
        <v>365</v>
      </c>
      <c r="B1950" s="58" t="s">
        <v>172</v>
      </c>
      <c r="C1950" s="58">
        <v>2</v>
      </c>
      <c r="D1950" s="58">
        <v>105</v>
      </c>
      <c r="E1950" s="59">
        <v>432</v>
      </c>
    </row>
    <row r="1951" spans="1:5" ht="15" x14ac:dyDescent="0.35">
      <c r="A1951" s="58" t="s">
        <v>365</v>
      </c>
      <c r="B1951" s="58" t="s">
        <v>172</v>
      </c>
      <c r="C1951" s="58">
        <v>3</v>
      </c>
      <c r="D1951" s="58">
        <v>106</v>
      </c>
      <c r="E1951" s="59">
        <v>432</v>
      </c>
    </row>
    <row r="1952" spans="1:5" ht="15" x14ac:dyDescent="0.35">
      <c r="A1952" s="58" t="s">
        <v>365</v>
      </c>
      <c r="B1952" s="58" t="s">
        <v>172</v>
      </c>
      <c r="C1952" s="58">
        <v>4</v>
      </c>
      <c r="D1952" s="58">
        <v>107</v>
      </c>
      <c r="E1952" s="59">
        <v>432</v>
      </c>
    </row>
    <row r="1953" spans="1:5" ht="15" x14ac:dyDescent="0.35">
      <c r="A1953" s="58" t="s">
        <v>365</v>
      </c>
      <c r="B1953" s="58" t="s">
        <v>172</v>
      </c>
      <c r="C1953" s="58">
        <v>5</v>
      </c>
      <c r="D1953" s="58">
        <v>108</v>
      </c>
      <c r="E1953" s="59">
        <v>432</v>
      </c>
    </row>
    <row r="1954" spans="1:5" ht="15" x14ac:dyDescent="0.35">
      <c r="A1954" s="58" t="s">
        <v>365</v>
      </c>
      <c r="B1954" s="58" t="s">
        <v>172</v>
      </c>
      <c r="C1954" s="58">
        <v>6</v>
      </c>
      <c r="D1954" s="58">
        <v>109</v>
      </c>
      <c r="E1954" s="59">
        <v>432</v>
      </c>
    </row>
    <row r="1955" spans="1:5" ht="15" x14ac:dyDescent="0.35">
      <c r="A1955" s="58" t="s">
        <v>365</v>
      </c>
      <c r="B1955" s="58" t="s">
        <v>172</v>
      </c>
      <c r="C1955" s="58">
        <v>7</v>
      </c>
      <c r="D1955" s="58">
        <v>110</v>
      </c>
      <c r="E1955" s="59">
        <v>432</v>
      </c>
    </row>
    <row r="1956" spans="1:5" ht="15" x14ac:dyDescent="0.35">
      <c r="A1956" s="58" t="s">
        <v>365</v>
      </c>
      <c r="B1956" s="58" t="s">
        <v>172</v>
      </c>
      <c r="C1956" s="58">
        <v>8</v>
      </c>
      <c r="D1956" s="58">
        <v>111</v>
      </c>
      <c r="E1956" s="59">
        <v>432</v>
      </c>
    </row>
    <row r="1957" spans="1:5" ht="15" x14ac:dyDescent="0.35">
      <c r="A1957" s="58" t="s">
        <v>365</v>
      </c>
      <c r="B1957" s="58" t="s">
        <v>172</v>
      </c>
      <c r="C1957" s="58">
        <v>9</v>
      </c>
      <c r="D1957" s="58">
        <v>112</v>
      </c>
      <c r="E1957" s="59">
        <v>432</v>
      </c>
    </row>
    <row r="1958" spans="1:5" ht="15" x14ac:dyDescent="0.35">
      <c r="A1958" s="58" t="s">
        <v>365</v>
      </c>
      <c r="B1958" s="58" t="s">
        <v>172</v>
      </c>
      <c r="C1958" s="58">
        <v>10</v>
      </c>
      <c r="D1958" s="58">
        <v>113</v>
      </c>
      <c r="E1958" s="59">
        <v>432</v>
      </c>
    </row>
    <row r="1959" spans="1:5" ht="15" x14ac:dyDescent="0.35">
      <c r="A1959" s="58" t="s">
        <v>365</v>
      </c>
      <c r="B1959" s="58" t="s">
        <v>172</v>
      </c>
      <c r="C1959" s="58">
        <v>11</v>
      </c>
      <c r="D1959" s="58">
        <v>114</v>
      </c>
      <c r="E1959" s="59">
        <v>432</v>
      </c>
    </row>
    <row r="1960" spans="1:5" ht="15" x14ac:dyDescent="0.35">
      <c r="A1960" s="58" t="s">
        <v>365</v>
      </c>
      <c r="B1960" s="58" t="s">
        <v>172</v>
      </c>
      <c r="C1960" s="58">
        <v>12</v>
      </c>
      <c r="D1960" s="58">
        <v>115</v>
      </c>
      <c r="E1960" s="59">
        <v>432</v>
      </c>
    </row>
    <row r="1961" spans="1:5" ht="15" x14ac:dyDescent="0.35">
      <c r="A1961" s="58" t="s">
        <v>365</v>
      </c>
      <c r="B1961" s="58" t="s">
        <v>180</v>
      </c>
      <c r="C1961" s="58">
        <v>1</v>
      </c>
      <c r="D1961" s="58">
        <v>104</v>
      </c>
      <c r="E1961" s="59">
        <v>563.79409999999996</v>
      </c>
    </row>
    <row r="1962" spans="1:5" ht="15" x14ac:dyDescent="0.35">
      <c r="A1962" s="58" t="s">
        <v>365</v>
      </c>
      <c r="B1962" s="58" t="s">
        <v>180</v>
      </c>
      <c r="C1962" s="58">
        <v>2</v>
      </c>
      <c r="D1962" s="58">
        <v>105</v>
      </c>
      <c r="E1962" s="59">
        <v>563.79409999999996</v>
      </c>
    </row>
    <row r="1963" spans="1:5" ht="15" x14ac:dyDescent="0.35">
      <c r="A1963" s="58" t="s">
        <v>365</v>
      </c>
      <c r="B1963" s="58" t="s">
        <v>180</v>
      </c>
      <c r="C1963" s="58">
        <v>3</v>
      </c>
      <c r="D1963" s="58">
        <v>106</v>
      </c>
      <c r="E1963" s="59">
        <v>563.79409999999996</v>
      </c>
    </row>
    <row r="1964" spans="1:5" ht="15" x14ac:dyDescent="0.35">
      <c r="A1964" s="58" t="s">
        <v>365</v>
      </c>
      <c r="B1964" s="58" t="s">
        <v>180</v>
      </c>
      <c r="C1964" s="58">
        <v>4</v>
      </c>
      <c r="D1964" s="58">
        <v>107</v>
      </c>
      <c r="E1964" s="59">
        <v>563.79409999999996</v>
      </c>
    </row>
    <row r="1965" spans="1:5" ht="15" x14ac:dyDescent="0.35">
      <c r="A1965" s="58" t="s">
        <v>365</v>
      </c>
      <c r="B1965" s="58" t="s">
        <v>180</v>
      </c>
      <c r="C1965" s="58">
        <v>5</v>
      </c>
      <c r="D1965" s="58">
        <v>108</v>
      </c>
      <c r="E1965" s="59">
        <v>563.79409999999996</v>
      </c>
    </row>
    <row r="1966" spans="1:5" ht="15" x14ac:dyDescent="0.35">
      <c r="A1966" s="58" t="s">
        <v>365</v>
      </c>
      <c r="B1966" s="58" t="s">
        <v>180</v>
      </c>
      <c r="C1966" s="58">
        <v>6</v>
      </c>
      <c r="D1966" s="58">
        <v>109</v>
      </c>
      <c r="E1966" s="59">
        <v>563.79409999999996</v>
      </c>
    </row>
    <row r="1967" spans="1:5" ht="15" x14ac:dyDescent="0.35">
      <c r="A1967" s="58" t="s">
        <v>365</v>
      </c>
      <c r="B1967" s="58" t="s">
        <v>180</v>
      </c>
      <c r="C1967" s="58">
        <v>7</v>
      </c>
      <c r="D1967" s="58">
        <v>110</v>
      </c>
      <c r="E1967" s="59">
        <v>563.79409999999996</v>
      </c>
    </row>
    <row r="1968" spans="1:5" ht="15" x14ac:dyDescent="0.35">
      <c r="A1968" s="58" t="s">
        <v>365</v>
      </c>
      <c r="B1968" s="58" t="s">
        <v>180</v>
      </c>
      <c r="C1968" s="58">
        <v>8</v>
      </c>
      <c r="D1968" s="58">
        <v>111</v>
      </c>
      <c r="E1968" s="59">
        <v>563.79409999999996</v>
      </c>
    </row>
    <row r="1969" spans="1:5" ht="15" x14ac:dyDescent="0.35">
      <c r="A1969" s="58" t="s">
        <v>365</v>
      </c>
      <c r="B1969" s="58" t="s">
        <v>180</v>
      </c>
      <c r="C1969" s="58">
        <v>9</v>
      </c>
      <c r="D1969" s="58">
        <v>112</v>
      </c>
      <c r="E1969" s="59">
        <v>563.79409999999996</v>
      </c>
    </row>
    <row r="1970" spans="1:5" ht="15" x14ac:dyDescent="0.35">
      <c r="A1970" s="58" t="s">
        <v>365</v>
      </c>
      <c r="B1970" s="58" t="s">
        <v>180</v>
      </c>
      <c r="C1970" s="58">
        <v>10</v>
      </c>
      <c r="D1970" s="58">
        <v>113</v>
      </c>
      <c r="E1970" s="59">
        <v>563.79409999999996</v>
      </c>
    </row>
    <row r="1971" spans="1:5" ht="15" x14ac:dyDescent="0.35">
      <c r="A1971" s="58" t="s">
        <v>365</v>
      </c>
      <c r="B1971" s="58" t="s">
        <v>180</v>
      </c>
      <c r="C1971" s="58">
        <v>11</v>
      </c>
      <c r="D1971" s="58">
        <v>114</v>
      </c>
      <c r="E1971" s="59">
        <v>563.79409999999996</v>
      </c>
    </row>
    <row r="1972" spans="1:5" ht="15" x14ac:dyDescent="0.35">
      <c r="A1972" s="58" t="s">
        <v>365</v>
      </c>
      <c r="B1972" s="58" t="s">
        <v>180</v>
      </c>
      <c r="C1972" s="58">
        <v>12</v>
      </c>
      <c r="D1972" s="58">
        <v>115</v>
      </c>
      <c r="E1972" s="59">
        <v>563.79409999999996</v>
      </c>
    </row>
    <row r="1973" spans="1:5" ht="15" x14ac:dyDescent="0.35">
      <c r="A1973" s="58" t="s">
        <v>395</v>
      </c>
      <c r="B1973" s="58" t="s">
        <v>182</v>
      </c>
      <c r="C1973" s="58">
        <v>1</v>
      </c>
      <c r="D1973" s="58">
        <v>104</v>
      </c>
      <c r="E1973" s="59">
        <v>263.97000000000003</v>
      </c>
    </row>
    <row r="1974" spans="1:5" ht="15" x14ac:dyDescent="0.35">
      <c r="A1974" s="58" t="s">
        <v>395</v>
      </c>
      <c r="B1974" s="58" t="s">
        <v>182</v>
      </c>
      <c r="C1974" s="58">
        <v>2</v>
      </c>
      <c r="D1974" s="58">
        <v>105</v>
      </c>
      <c r="E1974" s="59">
        <v>101.1923</v>
      </c>
    </row>
    <row r="1975" spans="1:5" ht="15" x14ac:dyDescent="0.35">
      <c r="A1975" s="58" t="s">
        <v>395</v>
      </c>
      <c r="B1975" s="58" t="s">
        <v>182</v>
      </c>
      <c r="C1975" s="58">
        <v>3</v>
      </c>
      <c r="D1975" s="58">
        <v>106</v>
      </c>
      <c r="E1975" s="59">
        <v>84.192300000000003</v>
      </c>
    </row>
    <row r="1976" spans="1:5" ht="15" x14ac:dyDescent="0.35">
      <c r="A1976" s="58" t="s">
        <v>395</v>
      </c>
      <c r="B1976" s="58" t="s">
        <v>182</v>
      </c>
      <c r="C1976" s="58">
        <v>4</v>
      </c>
      <c r="D1976" s="58">
        <v>107</v>
      </c>
      <c r="E1976" s="59">
        <v>93.049400000000006</v>
      </c>
    </row>
    <row r="1977" spans="1:5" ht="15" x14ac:dyDescent="0.35">
      <c r="A1977" s="58" t="s">
        <v>395</v>
      </c>
      <c r="B1977" s="58" t="s">
        <v>182</v>
      </c>
      <c r="C1977" s="58">
        <v>5</v>
      </c>
      <c r="D1977" s="58">
        <v>108</v>
      </c>
      <c r="E1977" s="59">
        <v>84.567300000000003</v>
      </c>
    </row>
    <row r="1978" spans="1:5" ht="15" x14ac:dyDescent="0.35">
      <c r="A1978" s="58" t="s">
        <v>395</v>
      </c>
      <c r="B1978" s="58" t="s">
        <v>182</v>
      </c>
      <c r="C1978" s="58">
        <v>6</v>
      </c>
      <c r="D1978" s="58">
        <v>109</v>
      </c>
      <c r="E1978" s="59">
        <v>81.081199999999995</v>
      </c>
    </row>
    <row r="1979" spans="1:5" ht="15" x14ac:dyDescent="0.35">
      <c r="A1979" s="58" t="s">
        <v>395</v>
      </c>
      <c r="B1979" s="58" t="s">
        <v>182</v>
      </c>
      <c r="C1979" s="58">
        <v>7</v>
      </c>
      <c r="D1979" s="58">
        <v>110</v>
      </c>
      <c r="E1979" s="59">
        <v>67.192300000000003</v>
      </c>
    </row>
    <row r="1980" spans="1:5" ht="15" x14ac:dyDescent="0.35">
      <c r="A1980" s="58" t="s">
        <v>395</v>
      </c>
      <c r="B1980" s="58" t="s">
        <v>182</v>
      </c>
      <c r="C1980" s="58">
        <v>8</v>
      </c>
      <c r="D1980" s="58">
        <v>111</v>
      </c>
      <c r="E1980" s="59">
        <v>51.414499999999997</v>
      </c>
    </row>
    <row r="1981" spans="1:5" ht="15" x14ac:dyDescent="0.35">
      <c r="A1981" s="58" t="s">
        <v>395</v>
      </c>
      <c r="B1981" s="58" t="s">
        <v>182</v>
      </c>
      <c r="C1981" s="58">
        <v>9</v>
      </c>
      <c r="D1981" s="58">
        <v>112</v>
      </c>
      <c r="E1981" s="59">
        <v>70.414500000000004</v>
      </c>
    </row>
    <row r="1982" spans="1:5" ht="15" x14ac:dyDescent="0.35">
      <c r="A1982" s="58" t="s">
        <v>395</v>
      </c>
      <c r="B1982" s="58" t="s">
        <v>182</v>
      </c>
      <c r="C1982" s="58">
        <v>10</v>
      </c>
      <c r="D1982" s="58">
        <v>113</v>
      </c>
      <c r="E1982" s="59">
        <v>82.303399999999996</v>
      </c>
    </row>
    <row r="1983" spans="1:5" ht="15" x14ac:dyDescent="0.35">
      <c r="A1983" s="58" t="s">
        <v>395</v>
      </c>
      <c r="B1983" s="58" t="s">
        <v>182</v>
      </c>
      <c r="C1983" s="58">
        <v>11</v>
      </c>
      <c r="D1983" s="58">
        <v>114</v>
      </c>
      <c r="E1983" s="59">
        <v>63.414499999999997</v>
      </c>
    </row>
    <row r="1984" spans="1:5" ht="15" x14ac:dyDescent="0.35">
      <c r="A1984" s="58" t="s">
        <v>395</v>
      </c>
      <c r="B1984" s="58" t="s">
        <v>182</v>
      </c>
      <c r="C1984" s="58">
        <v>12</v>
      </c>
      <c r="D1984" s="58">
        <v>115</v>
      </c>
      <c r="E1984" s="59">
        <v>65.081199999999995</v>
      </c>
    </row>
    <row r="1985" spans="1:5" ht="15" x14ac:dyDescent="0.35">
      <c r="A1985" s="58" t="s">
        <v>395</v>
      </c>
      <c r="B1985" s="58" t="s">
        <v>176</v>
      </c>
      <c r="C1985" s="58">
        <v>1</v>
      </c>
      <c r="D1985" s="58">
        <v>104</v>
      </c>
      <c r="E1985" s="59">
        <v>266.125</v>
      </c>
    </row>
    <row r="1986" spans="1:5" ht="15" x14ac:dyDescent="0.35">
      <c r="A1986" s="58" t="s">
        <v>395</v>
      </c>
      <c r="B1986" s="58" t="s">
        <v>176</v>
      </c>
      <c r="C1986" s="58">
        <v>2</v>
      </c>
      <c r="D1986" s="58">
        <v>105</v>
      </c>
      <c r="E1986" s="59">
        <v>266.125</v>
      </c>
    </row>
    <row r="1987" spans="1:5" ht="15" x14ac:dyDescent="0.35">
      <c r="A1987" s="58" t="s">
        <v>395</v>
      </c>
      <c r="B1987" s="58" t="s">
        <v>176</v>
      </c>
      <c r="C1987" s="58">
        <v>3</v>
      </c>
      <c r="D1987" s="58">
        <v>106</v>
      </c>
      <c r="E1987" s="59">
        <v>266.125</v>
      </c>
    </row>
    <row r="1988" spans="1:5" ht="15" x14ac:dyDescent="0.35">
      <c r="A1988" s="58" t="s">
        <v>395</v>
      </c>
      <c r="B1988" s="58" t="s">
        <v>176</v>
      </c>
      <c r="C1988" s="58">
        <v>4</v>
      </c>
      <c r="D1988" s="58">
        <v>107</v>
      </c>
      <c r="E1988" s="59">
        <v>266.125</v>
      </c>
    </row>
    <row r="1989" spans="1:5" ht="15" x14ac:dyDescent="0.35">
      <c r="A1989" s="58" t="s">
        <v>395</v>
      </c>
      <c r="B1989" s="58" t="s">
        <v>176</v>
      </c>
      <c r="C1989" s="58">
        <v>5</v>
      </c>
      <c r="D1989" s="58">
        <v>108</v>
      </c>
      <c r="E1989" s="59">
        <v>266.125</v>
      </c>
    </row>
    <row r="1990" spans="1:5" ht="15" x14ac:dyDescent="0.35">
      <c r="A1990" s="58" t="s">
        <v>395</v>
      </c>
      <c r="B1990" s="58" t="s">
        <v>176</v>
      </c>
      <c r="C1990" s="58">
        <v>6</v>
      </c>
      <c r="D1990" s="58">
        <v>109</v>
      </c>
      <c r="E1990" s="59">
        <v>266.125</v>
      </c>
    </row>
    <row r="1991" spans="1:5" ht="15" x14ac:dyDescent="0.35">
      <c r="A1991" s="58" t="s">
        <v>395</v>
      </c>
      <c r="B1991" s="58" t="s">
        <v>176</v>
      </c>
      <c r="C1991" s="58">
        <v>7</v>
      </c>
      <c r="D1991" s="58">
        <v>110</v>
      </c>
      <c r="E1991" s="59">
        <v>266.125</v>
      </c>
    </row>
    <row r="1992" spans="1:5" ht="15" x14ac:dyDescent="0.35">
      <c r="A1992" s="58" t="s">
        <v>395</v>
      </c>
      <c r="B1992" s="58" t="s">
        <v>176</v>
      </c>
      <c r="C1992" s="58">
        <v>8</v>
      </c>
      <c r="D1992" s="58">
        <v>111</v>
      </c>
      <c r="E1992" s="59">
        <v>266.125</v>
      </c>
    </row>
    <row r="1993" spans="1:5" ht="15" x14ac:dyDescent="0.35">
      <c r="A1993" s="58" t="s">
        <v>395</v>
      </c>
      <c r="B1993" s="58" t="s">
        <v>176</v>
      </c>
      <c r="C1993" s="58">
        <v>9</v>
      </c>
      <c r="D1993" s="58">
        <v>112</v>
      </c>
      <c r="E1993" s="59">
        <v>266.125</v>
      </c>
    </row>
    <row r="1994" spans="1:5" ht="15" x14ac:dyDescent="0.35">
      <c r="A1994" s="58" t="s">
        <v>395</v>
      </c>
      <c r="B1994" s="58" t="s">
        <v>176</v>
      </c>
      <c r="C1994" s="58">
        <v>10</v>
      </c>
      <c r="D1994" s="58">
        <v>113</v>
      </c>
      <c r="E1994" s="59">
        <v>266.125</v>
      </c>
    </row>
    <row r="1995" spans="1:5" ht="15" x14ac:dyDescent="0.35">
      <c r="A1995" s="58" t="s">
        <v>395</v>
      </c>
      <c r="B1995" s="58" t="s">
        <v>176</v>
      </c>
      <c r="C1995" s="58">
        <v>11</v>
      </c>
      <c r="D1995" s="58">
        <v>114</v>
      </c>
      <c r="E1995" s="59">
        <v>266.125</v>
      </c>
    </row>
    <row r="1996" spans="1:5" ht="15" x14ac:dyDescent="0.35">
      <c r="A1996" s="58" t="s">
        <v>395</v>
      </c>
      <c r="B1996" s="58" t="s">
        <v>176</v>
      </c>
      <c r="C1996" s="58">
        <v>12</v>
      </c>
      <c r="D1996" s="58">
        <v>115</v>
      </c>
      <c r="E1996" s="59">
        <v>266.125</v>
      </c>
    </row>
    <row r="1997" spans="1:5" ht="15" x14ac:dyDescent="0.35">
      <c r="A1997" s="58" t="s">
        <v>395</v>
      </c>
      <c r="B1997" s="58" t="s">
        <v>172</v>
      </c>
      <c r="C1997" s="58">
        <v>1</v>
      </c>
      <c r="D1997" s="58">
        <v>104</v>
      </c>
      <c r="E1997" s="59">
        <v>245</v>
      </c>
    </row>
    <row r="1998" spans="1:5" ht="15" x14ac:dyDescent="0.35">
      <c r="A1998" s="58" t="s">
        <v>395</v>
      </c>
      <c r="B1998" s="58" t="s">
        <v>172</v>
      </c>
      <c r="C1998" s="58">
        <v>2</v>
      </c>
      <c r="D1998" s="58">
        <v>105</v>
      </c>
      <c r="E1998" s="59">
        <v>245</v>
      </c>
    </row>
    <row r="1999" spans="1:5" ht="15" x14ac:dyDescent="0.35">
      <c r="A1999" s="58" t="s">
        <v>395</v>
      </c>
      <c r="B1999" s="58" t="s">
        <v>172</v>
      </c>
      <c r="C1999" s="58">
        <v>3</v>
      </c>
      <c r="D1999" s="58">
        <v>106</v>
      </c>
      <c r="E1999" s="59">
        <v>245</v>
      </c>
    </row>
    <row r="2000" spans="1:5" ht="15" x14ac:dyDescent="0.35">
      <c r="A2000" s="58" t="s">
        <v>395</v>
      </c>
      <c r="B2000" s="58" t="s">
        <v>172</v>
      </c>
      <c r="C2000" s="58">
        <v>4</v>
      </c>
      <c r="D2000" s="58">
        <v>107</v>
      </c>
      <c r="E2000" s="59">
        <v>245</v>
      </c>
    </row>
    <row r="2001" spans="1:5" ht="15" x14ac:dyDescent="0.35">
      <c r="A2001" s="58" t="s">
        <v>395</v>
      </c>
      <c r="B2001" s="58" t="s">
        <v>172</v>
      </c>
      <c r="C2001" s="58">
        <v>5</v>
      </c>
      <c r="D2001" s="58">
        <v>108</v>
      </c>
      <c r="E2001" s="59">
        <v>245</v>
      </c>
    </row>
    <row r="2002" spans="1:5" ht="15" x14ac:dyDescent="0.35">
      <c r="A2002" s="58" t="s">
        <v>395</v>
      </c>
      <c r="B2002" s="58" t="s">
        <v>172</v>
      </c>
      <c r="C2002" s="58">
        <v>6</v>
      </c>
      <c r="D2002" s="58">
        <v>109</v>
      </c>
      <c r="E2002" s="59">
        <v>245</v>
      </c>
    </row>
    <row r="2003" spans="1:5" ht="15" x14ac:dyDescent="0.35">
      <c r="A2003" s="58" t="s">
        <v>395</v>
      </c>
      <c r="B2003" s="58" t="s">
        <v>172</v>
      </c>
      <c r="C2003" s="58">
        <v>7</v>
      </c>
      <c r="D2003" s="58">
        <v>110</v>
      </c>
      <c r="E2003" s="59">
        <v>245</v>
      </c>
    </row>
    <row r="2004" spans="1:5" ht="15" x14ac:dyDescent="0.35">
      <c r="A2004" s="58" t="s">
        <v>395</v>
      </c>
      <c r="B2004" s="58" t="s">
        <v>172</v>
      </c>
      <c r="C2004" s="58">
        <v>8</v>
      </c>
      <c r="D2004" s="58">
        <v>111</v>
      </c>
      <c r="E2004" s="59">
        <v>245</v>
      </c>
    </row>
    <row r="2005" spans="1:5" ht="15" x14ac:dyDescent="0.35">
      <c r="A2005" s="58" t="s">
        <v>395</v>
      </c>
      <c r="B2005" s="58" t="s">
        <v>172</v>
      </c>
      <c r="C2005" s="58">
        <v>9</v>
      </c>
      <c r="D2005" s="58">
        <v>112</v>
      </c>
      <c r="E2005" s="59">
        <v>245</v>
      </c>
    </row>
    <row r="2006" spans="1:5" ht="15" x14ac:dyDescent="0.35">
      <c r="A2006" s="58" t="s">
        <v>395</v>
      </c>
      <c r="B2006" s="58" t="s">
        <v>172</v>
      </c>
      <c r="C2006" s="58">
        <v>10</v>
      </c>
      <c r="D2006" s="58">
        <v>113</v>
      </c>
      <c r="E2006" s="59">
        <v>245</v>
      </c>
    </row>
    <row r="2007" spans="1:5" ht="15" x14ac:dyDescent="0.35">
      <c r="A2007" s="58" t="s">
        <v>395</v>
      </c>
      <c r="B2007" s="58" t="s">
        <v>172</v>
      </c>
      <c r="C2007" s="58">
        <v>11</v>
      </c>
      <c r="D2007" s="58">
        <v>114</v>
      </c>
      <c r="E2007" s="59">
        <v>245</v>
      </c>
    </row>
    <row r="2008" spans="1:5" ht="15" x14ac:dyDescent="0.35">
      <c r="A2008" s="58" t="s">
        <v>395</v>
      </c>
      <c r="B2008" s="58" t="s">
        <v>172</v>
      </c>
      <c r="C2008" s="58">
        <v>12</v>
      </c>
      <c r="D2008" s="58">
        <v>115</v>
      </c>
      <c r="E2008" s="59">
        <v>245</v>
      </c>
    </row>
    <row r="2009" spans="1:5" ht="15" x14ac:dyDescent="0.35">
      <c r="A2009" s="58" t="s">
        <v>395</v>
      </c>
      <c r="B2009" s="58" t="s">
        <v>180</v>
      </c>
      <c r="C2009" s="58">
        <v>1</v>
      </c>
      <c r="D2009" s="58">
        <v>104</v>
      </c>
      <c r="E2009" s="59">
        <v>319.75580000000002</v>
      </c>
    </row>
    <row r="2010" spans="1:5" ht="15" x14ac:dyDescent="0.35">
      <c r="A2010" s="58" t="s">
        <v>395</v>
      </c>
      <c r="B2010" s="58" t="s">
        <v>180</v>
      </c>
      <c r="C2010" s="58">
        <v>2</v>
      </c>
      <c r="D2010" s="58">
        <v>105</v>
      </c>
      <c r="E2010" s="59">
        <v>319.75580000000002</v>
      </c>
    </row>
    <row r="2011" spans="1:5" ht="15" x14ac:dyDescent="0.35">
      <c r="A2011" s="58" t="s">
        <v>395</v>
      </c>
      <c r="B2011" s="58" t="s">
        <v>180</v>
      </c>
      <c r="C2011" s="58">
        <v>3</v>
      </c>
      <c r="D2011" s="58">
        <v>106</v>
      </c>
      <c r="E2011" s="59">
        <v>319.75580000000002</v>
      </c>
    </row>
    <row r="2012" spans="1:5" ht="15" x14ac:dyDescent="0.35">
      <c r="A2012" s="58" t="s">
        <v>395</v>
      </c>
      <c r="B2012" s="58" t="s">
        <v>180</v>
      </c>
      <c r="C2012" s="58">
        <v>4</v>
      </c>
      <c r="D2012" s="58">
        <v>107</v>
      </c>
      <c r="E2012" s="59">
        <v>319.75580000000002</v>
      </c>
    </row>
    <row r="2013" spans="1:5" ht="15" x14ac:dyDescent="0.35">
      <c r="A2013" s="58" t="s">
        <v>395</v>
      </c>
      <c r="B2013" s="58" t="s">
        <v>180</v>
      </c>
      <c r="C2013" s="58">
        <v>5</v>
      </c>
      <c r="D2013" s="58">
        <v>108</v>
      </c>
      <c r="E2013" s="59">
        <v>319.75580000000002</v>
      </c>
    </row>
    <row r="2014" spans="1:5" ht="15" x14ac:dyDescent="0.35">
      <c r="A2014" s="58" t="s">
        <v>395</v>
      </c>
      <c r="B2014" s="58" t="s">
        <v>180</v>
      </c>
      <c r="C2014" s="58">
        <v>6</v>
      </c>
      <c r="D2014" s="58">
        <v>109</v>
      </c>
      <c r="E2014" s="59">
        <v>319.75580000000002</v>
      </c>
    </row>
    <row r="2015" spans="1:5" ht="15" x14ac:dyDescent="0.35">
      <c r="A2015" s="58" t="s">
        <v>395</v>
      </c>
      <c r="B2015" s="58" t="s">
        <v>180</v>
      </c>
      <c r="C2015" s="58">
        <v>7</v>
      </c>
      <c r="D2015" s="58">
        <v>110</v>
      </c>
      <c r="E2015" s="59">
        <v>319.75580000000002</v>
      </c>
    </row>
    <row r="2016" spans="1:5" ht="15" x14ac:dyDescent="0.35">
      <c r="A2016" s="58" t="s">
        <v>395</v>
      </c>
      <c r="B2016" s="58" t="s">
        <v>180</v>
      </c>
      <c r="C2016" s="58">
        <v>8</v>
      </c>
      <c r="D2016" s="58">
        <v>111</v>
      </c>
      <c r="E2016" s="59">
        <v>319.75580000000002</v>
      </c>
    </row>
    <row r="2017" spans="1:5" ht="15" x14ac:dyDescent="0.35">
      <c r="A2017" s="58" t="s">
        <v>395</v>
      </c>
      <c r="B2017" s="58" t="s">
        <v>180</v>
      </c>
      <c r="C2017" s="58">
        <v>9</v>
      </c>
      <c r="D2017" s="58">
        <v>112</v>
      </c>
      <c r="E2017" s="59">
        <v>319.75580000000002</v>
      </c>
    </row>
    <row r="2018" spans="1:5" ht="15" x14ac:dyDescent="0.35">
      <c r="A2018" s="58" t="s">
        <v>395</v>
      </c>
      <c r="B2018" s="58" t="s">
        <v>180</v>
      </c>
      <c r="C2018" s="58">
        <v>10</v>
      </c>
      <c r="D2018" s="58">
        <v>113</v>
      </c>
      <c r="E2018" s="59">
        <v>319.75580000000002</v>
      </c>
    </row>
    <row r="2019" spans="1:5" ht="15" x14ac:dyDescent="0.35">
      <c r="A2019" s="58" t="s">
        <v>395</v>
      </c>
      <c r="B2019" s="58" t="s">
        <v>180</v>
      </c>
      <c r="C2019" s="58">
        <v>11</v>
      </c>
      <c r="D2019" s="58">
        <v>114</v>
      </c>
      <c r="E2019" s="59">
        <v>319.75580000000002</v>
      </c>
    </row>
    <row r="2020" spans="1:5" ht="15" x14ac:dyDescent="0.35">
      <c r="A2020" s="58" t="s">
        <v>395</v>
      </c>
      <c r="B2020" s="58" t="s">
        <v>180</v>
      </c>
      <c r="C2020" s="58">
        <v>12</v>
      </c>
      <c r="D2020" s="58">
        <v>115</v>
      </c>
      <c r="E2020" s="59">
        <v>319.75580000000002</v>
      </c>
    </row>
    <row r="2021" spans="1:5" ht="15" x14ac:dyDescent="0.35">
      <c r="A2021" s="58" t="s">
        <v>318</v>
      </c>
      <c r="B2021" s="58" t="s">
        <v>182</v>
      </c>
      <c r="C2021" s="58">
        <v>1</v>
      </c>
      <c r="D2021" s="58">
        <v>104</v>
      </c>
      <c r="E2021" s="59">
        <v>38.9818</v>
      </c>
    </row>
    <row r="2022" spans="1:5" ht="15" x14ac:dyDescent="0.35">
      <c r="A2022" s="58" t="s">
        <v>318</v>
      </c>
      <c r="B2022" s="58" t="s">
        <v>182</v>
      </c>
      <c r="C2022" s="58">
        <v>2</v>
      </c>
      <c r="D2022" s="58">
        <v>105</v>
      </c>
      <c r="E2022" s="59">
        <v>107.8707</v>
      </c>
    </row>
    <row r="2023" spans="1:5" ht="15" x14ac:dyDescent="0.35">
      <c r="A2023" s="58" t="s">
        <v>318</v>
      </c>
      <c r="B2023" s="58" t="s">
        <v>182</v>
      </c>
      <c r="C2023" s="58">
        <v>3</v>
      </c>
      <c r="D2023" s="58">
        <v>106</v>
      </c>
      <c r="E2023" s="59">
        <v>93.037300000000002</v>
      </c>
    </row>
    <row r="2024" spans="1:5" ht="15" x14ac:dyDescent="0.35">
      <c r="A2024" s="58" t="s">
        <v>318</v>
      </c>
      <c r="B2024" s="58" t="s">
        <v>182</v>
      </c>
      <c r="C2024" s="58">
        <v>4</v>
      </c>
      <c r="D2024" s="58">
        <v>107</v>
      </c>
      <c r="E2024" s="59">
        <v>89.013499999999993</v>
      </c>
    </row>
    <row r="2025" spans="1:5" ht="15" x14ac:dyDescent="0.35">
      <c r="A2025" s="58" t="s">
        <v>318</v>
      </c>
      <c r="B2025" s="58" t="s">
        <v>182</v>
      </c>
      <c r="C2025" s="58">
        <v>5</v>
      </c>
      <c r="D2025" s="58">
        <v>108</v>
      </c>
      <c r="E2025" s="59">
        <v>84.120699999999999</v>
      </c>
    </row>
    <row r="2026" spans="1:5" ht="15" x14ac:dyDescent="0.35">
      <c r="A2026" s="58" t="s">
        <v>318</v>
      </c>
      <c r="B2026" s="58" t="s">
        <v>182</v>
      </c>
      <c r="C2026" s="58">
        <v>6</v>
      </c>
      <c r="D2026" s="58">
        <v>109</v>
      </c>
      <c r="E2026" s="59">
        <v>84.981800000000007</v>
      </c>
    </row>
    <row r="2027" spans="1:5" ht="15" x14ac:dyDescent="0.35">
      <c r="A2027" s="58" t="s">
        <v>318</v>
      </c>
      <c r="B2027" s="58" t="s">
        <v>182</v>
      </c>
      <c r="C2027" s="58">
        <v>7</v>
      </c>
      <c r="D2027" s="58">
        <v>110</v>
      </c>
      <c r="E2027" s="59">
        <v>74.426199999999994</v>
      </c>
    </row>
    <row r="2028" spans="1:5" ht="15" x14ac:dyDescent="0.35">
      <c r="A2028" s="58" t="s">
        <v>318</v>
      </c>
      <c r="B2028" s="58" t="s">
        <v>182</v>
      </c>
      <c r="C2028" s="58">
        <v>8</v>
      </c>
      <c r="D2028" s="58">
        <v>111</v>
      </c>
      <c r="E2028" s="59">
        <v>58.648400000000002</v>
      </c>
    </row>
    <row r="2029" spans="1:5" ht="15" x14ac:dyDescent="0.35">
      <c r="A2029" s="58" t="s">
        <v>318</v>
      </c>
      <c r="B2029" s="58" t="s">
        <v>182</v>
      </c>
      <c r="C2029" s="58">
        <v>9</v>
      </c>
      <c r="D2029" s="58">
        <v>112</v>
      </c>
      <c r="E2029" s="59">
        <v>75.0929</v>
      </c>
    </row>
    <row r="2030" spans="1:5" ht="15" x14ac:dyDescent="0.35">
      <c r="A2030" s="58" t="s">
        <v>318</v>
      </c>
      <c r="B2030" s="58" t="s">
        <v>182</v>
      </c>
      <c r="C2030" s="58">
        <v>10</v>
      </c>
      <c r="D2030" s="58">
        <v>113</v>
      </c>
      <c r="E2030" s="59">
        <v>78.870699999999999</v>
      </c>
    </row>
    <row r="2031" spans="1:5" ht="15" x14ac:dyDescent="0.35">
      <c r="A2031" s="58" t="s">
        <v>318</v>
      </c>
      <c r="B2031" s="58" t="s">
        <v>182</v>
      </c>
      <c r="C2031" s="58">
        <v>11</v>
      </c>
      <c r="D2031" s="58">
        <v>114</v>
      </c>
      <c r="E2031" s="59">
        <v>56.759500000000003</v>
      </c>
    </row>
    <row r="2032" spans="1:5" ht="15" x14ac:dyDescent="0.35">
      <c r="A2032" s="58" t="s">
        <v>318</v>
      </c>
      <c r="B2032" s="58" t="s">
        <v>182</v>
      </c>
      <c r="C2032" s="58">
        <v>12</v>
      </c>
      <c r="D2032" s="58">
        <v>115</v>
      </c>
      <c r="E2032" s="59">
        <v>61.759500000000003</v>
      </c>
    </row>
    <row r="2033" spans="1:5" ht="15" x14ac:dyDescent="0.35">
      <c r="A2033" s="58" t="s">
        <v>318</v>
      </c>
      <c r="B2033" s="58" t="s">
        <v>176</v>
      </c>
      <c r="C2033" s="58">
        <v>1</v>
      </c>
      <c r="D2033" s="58">
        <v>104</v>
      </c>
      <c r="E2033" s="59">
        <v>37.75</v>
      </c>
    </row>
    <row r="2034" spans="1:5" ht="15" x14ac:dyDescent="0.35">
      <c r="A2034" s="58" t="s">
        <v>318</v>
      </c>
      <c r="B2034" s="58" t="s">
        <v>176</v>
      </c>
      <c r="C2034" s="58">
        <v>2</v>
      </c>
      <c r="D2034" s="58">
        <v>105</v>
      </c>
      <c r="E2034" s="59">
        <v>37.75</v>
      </c>
    </row>
    <row r="2035" spans="1:5" ht="15" x14ac:dyDescent="0.35">
      <c r="A2035" s="58" t="s">
        <v>318</v>
      </c>
      <c r="B2035" s="58" t="s">
        <v>176</v>
      </c>
      <c r="C2035" s="58">
        <v>3</v>
      </c>
      <c r="D2035" s="58">
        <v>106</v>
      </c>
      <c r="E2035" s="59">
        <v>37.75</v>
      </c>
    </row>
    <row r="2036" spans="1:5" ht="15" x14ac:dyDescent="0.35">
      <c r="A2036" s="58" t="s">
        <v>318</v>
      </c>
      <c r="B2036" s="58" t="s">
        <v>176</v>
      </c>
      <c r="C2036" s="58">
        <v>4</v>
      </c>
      <c r="D2036" s="58">
        <v>107</v>
      </c>
      <c r="E2036" s="59">
        <v>37.75</v>
      </c>
    </row>
    <row r="2037" spans="1:5" ht="15" x14ac:dyDescent="0.35">
      <c r="A2037" s="58" t="s">
        <v>318</v>
      </c>
      <c r="B2037" s="58" t="s">
        <v>176</v>
      </c>
      <c r="C2037" s="58">
        <v>5</v>
      </c>
      <c r="D2037" s="58">
        <v>108</v>
      </c>
      <c r="E2037" s="59">
        <v>37.75</v>
      </c>
    </row>
    <row r="2038" spans="1:5" ht="15" x14ac:dyDescent="0.35">
      <c r="A2038" s="58" t="s">
        <v>318</v>
      </c>
      <c r="B2038" s="58" t="s">
        <v>176</v>
      </c>
      <c r="C2038" s="58">
        <v>6</v>
      </c>
      <c r="D2038" s="58">
        <v>109</v>
      </c>
      <c r="E2038" s="59">
        <v>37.75</v>
      </c>
    </row>
    <row r="2039" spans="1:5" ht="15" x14ac:dyDescent="0.35">
      <c r="A2039" s="58" t="s">
        <v>318</v>
      </c>
      <c r="B2039" s="58" t="s">
        <v>176</v>
      </c>
      <c r="C2039" s="58">
        <v>7</v>
      </c>
      <c r="D2039" s="58">
        <v>110</v>
      </c>
      <c r="E2039" s="59">
        <v>37.75</v>
      </c>
    </row>
    <row r="2040" spans="1:5" ht="15" x14ac:dyDescent="0.35">
      <c r="A2040" s="58" t="s">
        <v>318</v>
      </c>
      <c r="B2040" s="58" t="s">
        <v>176</v>
      </c>
      <c r="C2040" s="58">
        <v>8</v>
      </c>
      <c r="D2040" s="58">
        <v>111</v>
      </c>
      <c r="E2040" s="59">
        <v>37.75</v>
      </c>
    </row>
    <row r="2041" spans="1:5" ht="15" x14ac:dyDescent="0.35">
      <c r="A2041" s="58" t="s">
        <v>318</v>
      </c>
      <c r="B2041" s="58" t="s">
        <v>176</v>
      </c>
      <c r="C2041" s="58">
        <v>9</v>
      </c>
      <c r="D2041" s="58">
        <v>112</v>
      </c>
      <c r="E2041" s="59">
        <v>37.75</v>
      </c>
    </row>
    <row r="2042" spans="1:5" ht="15" x14ac:dyDescent="0.35">
      <c r="A2042" s="58" t="s">
        <v>318</v>
      </c>
      <c r="B2042" s="58" t="s">
        <v>176</v>
      </c>
      <c r="C2042" s="58">
        <v>10</v>
      </c>
      <c r="D2042" s="58">
        <v>113</v>
      </c>
      <c r="E2042" s="59">
        <v>37.75</v>
      </c>
    </row>
    <row r="2043" spans="1:5" ht="15" x14ac:dyDescent="0.35">
      <c r="A2043" s="58" t="s">
        <v>318</v>
      </c>
      <c r="B2043" s="58" t="s">
        <v>176</v>
      </c>
      <c r="C2043" s="58">
        <v>11</v>
      </c>
      <c r="D2043" s="58">
        <v>114</v>
      </c>
      <c r="E2043" s="59">
        <v>37.75</v>
      </c>
    </row>
    <row r="2044" spans="1:5" ht="15" x14ac:dyDescent="0.35">
      <c r="A2044" s="58" t="s">
        <v>318</v>
      </c>
      <c r="B2044" s="58" t="s">
        <v>176</v>
      </c>
      <c r="C2044" s="58">
        <v>12</v>
      </c>
      <c r="D2044" s="58">
        <v>115</v>
      </c>
      <c r="E2044" s="59">
        <v>37.75</v>
      </c>
    </row>
    <row r="2045" spans="1:5" ht="15" x14ac:dyDescent="0.35">
      <c r="A2045" s="58" t="s">
        <v>318</v>
      </c>
      <c r="B2045" s="58" t="s">
        <v>172</v>
      </c>
      <c r="C2045" s="58">
        <v>1</v>
      </c>
      <c r="D2045" s="58">
        <v>104</v>
      </c>
      <c r="E2045" s="59">
        <v>109</v>
      </c>
    </row>
    <row r="2046" spans="1:5" ht="15" x14ac:dyDescent="0.35">
      <c r="A2046" s="58" t="s">
        <v>318</v>
      </c>
      <c r="B2046" s="58" t="s">
        <v>172</v>
      </c>
      <c r="C2046" s="58">
        <v>2</v>
      </c>
      <c r="D2046" s="58">
        <v>105</v>
      </c>
      <c r="E2046" s="59">
        <v>109</v>
      </c>
    </row>
    <row r="2047" spans="1:5" ht="15" x14ac:dyDescent="0.35">
      <c r="A2047" s="58" t="s">
        <v>318</v>
      </c>
      <c r="B2047" s="58" t="s">
        <v>172</v>
      </c>
      <c r="C2047" s="58">
        <v>3</v>
      </c>
      <c r="D2047" s="58">
        <v>106</v>
      </c>
      <c r="E2047" s="59">
        <v>109</v>
      </c>
    </row>
    <row r="2048" spans="1:5" ht="15" x14ac:dyDescent="0.35">
      <c r="A2048" s="58" t="s">
        <v>318</v>
      </c>
      <c r="B2048" s="58" t="s">
        <v>172</v>
      </c>
      <c r="C2048" s="58">
        <v>4</v>
      </c>
      <c r="D2048" s="58">
        <v>107</v>
      </c>
      <c r="E2048" s="59">
        <v>109</v>
      </c>
    </row>
    <row r="2049" spans="1:5" ht="15" x14ac:dyDescent="0.35">
      <c r="A2049" s="58" t="s">
        <v>318</v>
      </c>
      <c r="B2049" s="58" t="s">
        <v>172</v>
      </c>
      <c r="C2049" s="58">
        <v>5</v>
      </c>
      <c r="D2049" s="58">
        <v>108</v>
      </c>
      <c r="E2049" s="59">
        <v>109</v>
      </c>
    </row>
    <row r="2050" spans="1:5" ht="15" x14ac:dyDescent="0.35">
      <c r="A2050" s="58" t="s">
        <v>318</v>
      </c>
      <c r="B2050" s="58" t="s">
        <v>172</v>
      </c>
      <c r="C2050" s="58">
        <v>6</v>
      </c>
      <c r="D2050" s="58">
        <v>109</v>
      </c>
      <c r="E2050" s="59">
        <v>109</v>
      </c>
    </row>
    <row r="2051" spans="1:5" ht="15" x14ac:dyDescent="0.35">
      <c r="A2051" s="58" t="s">
        <v>318</v>
      </c>
      <c r="B2051" s="58" t="s">
        <v>172</v>
      </c>
      <c r="C2051" s="58">
        <v>7</v>
      </c>
      <c r="D2051" s="58">
        <v>110</v>
      </c>
      <c r="E2051" s="59">
        <v>109</v>
      </c>
    </row>
    <row r="2052" spans="1:5" ht="15" x14ac:dyDescent="0.35">
      <c r="A2052" s="58" t="s">
        <v>318</v>
      </c>
      <c r="B2052" s="58" t="s">
        <v>172</v>
      </c>
      <c r="C2052" s="58">
        <v>8</v>
      </c>
      <c r="D2052" s="58">
        <v>111</v>
      </c>
      <c r="E2052" s="59">
        <v>109</v>
      </c>
    </row>
    <row r="2053" spans="1:5" ht="15" x14ac:dyDescent="0.35">
      <c r="A2053" s="58" t="s">
        <v>318</v>
      </c>
      <c r="B2053" s="58" t="s">
        <v>172</v>
      </c>
      <c r="C2053" s="58">
        <v>9</v>
      </c>
      <c r="D2053" s="58">
        <v>112</v>
      </c>
      <c r="E2053" s="59">
        <v>109</v>
      </c>
    </row>
    <row r="2054" spans="1:5" ht="15" x14ac:dyDescent="0.35">
      <c r="A2054" s="58" t="s">
        <v>318</v>
      </c>
      <c r="B2054" s="58" t="s">
        <v>172</v>
      </c>
      <c r="C2054" s="58">
        <v>10</v>
      </c>
      <c r="D2054" s="58">
        <v>113</v>
      </c>
      <c r="E2054" s="59">
        <v>109</v>
      </c>
    </row>
    <row r="2055" spans="1:5" ht="15" x14ac:dyDescent="0.35">
      <c r="A2055" s="58" t="s">
        <v>318</v>
      </c>
      <c r="B2055" s="58" t="s">
        <v>172</v>
      </c>
      <c r="C2055" s="58">
        <v>11</v>
      </c>
      <c r="D2055" s="58">
        <v>114</v>
      </c>
      <c r="E2055" s="59">
        <v>109</v>
      </c>
    </row>
    <row r="2056" spans="1:5" ht="15" x14ac:dyDescent="0.35">
      <c r="A2056" s="58" t="s">
        <v>318</v>
      </c>
      <c r="B2056" s="58" t="s">
        <v>172</v>
      </c>
      <c r="C2056" s="58">
        <v>12</v>
      </c>
      <c r="D2056" s="58">
        <v>115</v>
      </c>
      <c r="E2056" s="59">
        <v>109</v>
      </c>
    </row>
    <row r="2057" spans="1:5" ht="15" x14ac:dyDescent="0.35">
      <c r="A2057" s="58" t="s">
        <v>318</v>
      </c>
      <c r="B2057" s="58" t="s">
        <v>180</v>
      </c>
      <c r="C2057" s="58">
        <v>1</v>
      </c>
      <c r="D2057" s="58">
        <v>104</v>
      </c>
      <c r="E2057" s="59">
        <v>36.822400000000002</v>
      </c>
    </row>
    <row r="2058" spans="1:5" ht="15" x14ac:dyDescent="0.35">
      <c r="A2058" s="58" t="s">
        <v>318</v>
      </c>
      <c r="B2058" s="58" t="s">
        <v>180</v>
      </c>
      <c r="C2058" s="58">
        <v>2</v>
      </c>
      <c r="D2058" s="58">
        <v>105</v>
      </c>
      <c r="E2058" s="59">
        <v>36.822400000000002</v>
      </c>
    </row>
    <row r="2059" spans="1:5" ht="15" x14ac:dyDescent="0.35">
      <c r="A2059" s="58" t="s">
        <v>318</v>
      </c>
      <c r="B2059" s="58" t="s">
        <v>180</v>
      </c>
      <c r="C2059" s="58">
        <v>3</v>
      </c>
      <c r="D2059" s="58">
        <v>106</v>
      </c>
      <c r="E2059" s="59">
        <v>36.822400000000002</v>
      </c>
    </row>
    <row r="2060" spans="1:5" ht="15" x14ac:dyDescent="0.35">
      <c r="A2060" s="58" t="s">
        <v>318</v>
      </c>
      <c r="B2060" s="58" t="s">
        <v>180</v>
      </c>
      <c r="C2060" s="58">
        <v>4</v>
      </c>
      <c r="D2060" s="58">
        <v>107</v>
      </c>
      <c r="E2060" s="59">
        <v>36.822400000000002</v>
      </c>
    </row>
    <row r="2061" spans="1:5" ht="15" x14ac:dyDescent="0.35">
      <c r="A2061" s="58" t="s">
        <v>318</v>
      </c>
      <c r="B2061" s="58" t="s">
        <v>180</v>
      </c>
      <c r="C2061" s="58">
        <v>5</v>
      </c>
      <c r="D2061" s="58">
        <v>108</v>
      </c>
      <c r="E2061" s="59">
        <v>36.822400000000002</v>
      </c>
    </row>
    <row r="2062" spans="1:5" ht="15" x14ac:dyDescent="0.35">
      <c r="A2062" s="58" t="s">
        <v>318</v>
      </c>
      <c r="B2062" s="58" t="s">
        <v>180</v>
      </c>
      <c r="C2062" s="58">
        <v>6</v>
      </c>
      <c r="D2062" s="58">
        <v>109</v>
      </c>
      <c r="E2062" s="59">
        <v>36.822400000000002</v>
      </c>
    </row>
    <row r="2063" spans="1:5" ht="15" x14ac:dyDescent="0.35">
      <c r="A2063" s="58" t="s">
        <v>318</v>
      </c>
      <c r="B2063" s="58" t="s">
        <v>180</v>
      </c>
      <c r="C2063" s="58">
        <v>7</v>
      </c>
      <c r="D2063" s="58">
        <v>110</v>
      </c>
      <c r="E2063" s="59">
        <v>36.822400000000002</v>
      </c>
    </row>
    <row r="2064" spans="1:5" ht="15" x14ac:dyDescent="0.35">
      <c r="A2064" s="58" t="s">
        <v>318</v>
      </c>
      <c r="B2064" s="58" t="s">
        <v>180</v>
      </c>
      <c r="C2064" s="58">
        <v>8</v>
      </c>
      <c r="D2064" s="58">
        <v>111</v>
      </c>
      <c r="E2064" s="59">
        <v>36.822400000000002</v>
      </c>
    </row>
    <row r="2065" spans="1:5" ht="15" x14ac:dyDescent="0.35">
      <c r="A2065" s="58" t="s">
        <v>318</v>
      </c>
      <c r="B2065" s="58" t="s">
        <v>180</v>
      </c>
      <c r="C2065" s="58">
        <v>9</v>
      </c>
      <c r="D2065" s="58">
        <v>112</v>
      </c>
      <c r="E2065" s="59">
        <v>36.822400000000002</v>
      </c>
    </row>
    <row r="2066" spans="1:5" ht="15" x14ac:dyDescent="0.35">
      <c r="A2066" s="58" t="s">
        <v>318</v>
      </c>
      <c r="B2066" s="58" t="s">
        <v>180</v>
      </c>
      <c r="C2066" s="58">
        <v>10</v>
      </c>
      <c r="D2066" s="58">
        <v>113</v>
      </c>
      <c r="E2066" s="59">
        <v>36.822400000000002</v>
      </c>
    </row>
    <row r="2067" spans="1:5" ht="15" x14ac:dyDescent="0.35">
      <c r="A2067" s="58" t="s">
        <v>318</v>
      </c>
      <c r="B2067" s="58" t="s">
        <v>180</v>
      </c>
      <c r="C2067" s="58">
        <v>11</v>
      </c>
      <c r="D2067" s="58">
        <v>114</v>
      </c>
      <c r="E2067" s="59">
        <v>36.822400000000002</v>
      </c>
    </row>
    <row r="2068" spans="1:5" ht="15" x14ac:dyDescent="0.35">
      <c r="A2068" s="58" t="s">
        <v>318</v>
      </c>
      <c r="B2068" s="58" t="s">
        <v>180</v>
      </c>
      <c r="C2068" s="58">
        <v>12</v>
      </c>
      <c r="D2068" s="58">
        <v>115</v>
      </c>
      <c r="E2068" s="59">
        <v>36.822400000000002</v>
      </c>
    </row>
    <row r="2069" spans="1:5" ht="15" x14ac:dyDescent="0.35">
      <c r="A2069" s="58" t="s">
        <v>272</v>
      </c>
      <c r="B2069" s="58" t="s">
        <v>182</v>
      </c>
      <c r="C2069" s="58">
        <v>1</v>
      </c>
      <c r="D2069" s="58">
        <v>104</v>
      </c>
      <c r="E2069" s="59">
        <v>694.09619999999995</v>
      </c>
    </row>
    <row r="2070" spans="1:5" ht="15" x14ac:dyDescent="0.35">
      <c r="A2070" s="58" t="s">
        <v>272</v>
      </c>
      <c r="B2070" s="58" t="s">
        <v>182</v>
      </c>
      <c r="C2070" s="58">
        <v>2</v>
      </c>
      <c r="D2070" s="58">
        <v>105</v>
      </c>
      <c r="E2070" s="59">
        <v>114.65170000000001</v>
      </c>
    </row>
    <row r="2071" spans="1:5" ht="15" x14ac:dyDescent="0.35">
      <c r="A2071" s="58" t="s">
        <v>272</v>
      </c>
      <c r="B2071" s="58" t="s">
        <v>182</v>
      </c>
      <c r="C2071" s="58">
        <v>3</v>
      </c>
      <c r="D2071" s="58">
        <v>106</v>
      </c>
      <c r="E2071" s="59">
        <v>114.65170000000001</v>
      </c>
    </row>
    <row r="2072" spans="1:5" ht="15" x14ac:dyDescent="0.35">
      <c r="A2072" s="58" t="s">
        <v>272</v>
      </c>
      <c r="B2072" s="58" t="s">
        <v>182</v>
      </c>
      <c r="C2072" s="58">
        <v>4</v>
      </c>
      <c r="D2072" s="58">
        <v>107</v>
      </c>
      <c r="E2072" s="59">
        <v>114.65170000000001</v>
      </c>
    </row>
    <row r="2073" spans="1:5" ht="15" x14ac:dyDescent="0.35">
      <c r="A2073" s="58" t="s">
        <v>272</v>
      </c>
      <c r="B2073" s="58" t="s">
        <v>182</v>
      </c>
      <c r="C2073" s="58">
        <v>5</v>
      </c>
      <c r="D2073" s="58">
        <v>108</v>
      </c>
      <c r="E2073" s="59">
        <v>114.65170000000001</v>
      </c>
    </row>
    <row r="2074" spans="1:5" ht="15" x14ac:dyDescent="0.35">
      <c r="A2074" s="58" t="s">
        <v>272</v>
      </c>
      <c r="B2074" s="58" t="s">
        <v>182</v>
      </c>
      <c r="C2074" s="58">
        <v>6</v>
      </c>
      <c r="D2074" s="58">
        <v>109</v>
      </c>
      <c r="E2074" s="59">
        <v>114.65170000000001</v>
      </c>
    </row>
    <row r="2075" spans="1:5" ht="15" x14ac:dyDescent="0.35">
      <c r="A2075" s="58" t="s">
        <v>272</v>
      </c>
      <c r="B2075" s="58" t="s">
        <v>182</v>
      </c>
      <c r="C2075" s="58">
        <v>7</v>
      </c>
      <c r="D2075" s="58">
        <v>110</v>
      </c>
      <c r="E2075" s="59">
        <v>114.65170000000001</v>
      </c>
    </row>
    <row r="2076" spans="1:5" ht="15" x14ac:dyDescent="0.35">
      <c r="A2076" s="58" t="s">
        <v>272</v>
      </c>
      <c r="B2076" s="58" t="s">
        <v>182</v>
      </c>
      <c r="C2076" s="58">
        <v>8</v>
      </c>
      <c r="D2076" s="58">
        <v>111</v>
      </c>
      <c r="E2076" s="59">
        <v>114.65170000000001</v>
      </c>
    </row>
    <row r="2077" spans="1:5" ht="15" x14ac:dyDescent="0.35">
      <c r="A2077" s="58" t="s">
        <v>272</v>
      </c>
      <c r="B2077" s="58" t="s">
        <v>182</v>
      </c>
      <c r="C2077" s="58">
        <v>9</v>
      </c>
      <c r="D2077" s="58">
        <v>112</v>
      </c>
      <c r="E2077" s="59">
        <v>114.65170000000001</v>
      </c>
    </row>
    <row r="2078" spans="1:5" ht="15" x14ac:dyDescent="0.35">
      <c r="A2078" s="58" t="s">
        <v>272</v>
      </c>
      <c r="B2078" s="58" t="s">
        <v>182</v>
      </c>
      <c r="C2078" s="58">
        <v>10</v>
      </c>
      <c r="D2078" s="58">
        <v>113</v>
      </c>
      <c r="E2078" s="59">
        <v>114.65170000000001</v>
      </c>
    </row>
    <row r="2079" spans="1:5" ht="15" x14ac:dyDescent="0.35">
      <c r="A2079" s="58" t="s">
        <v>272</v>
      </c>
      <c r="B2079" s="58" t="s">
        <v>182</v>
      </c>
      <c r="C2079" s="58">
        <v>11</v>
      </c>
      <c r="D2079" s="58">
        <v>114</v>
      </c>
      <c r="E2079" s="59">
        <v>114.65170000000001</v>
      </c>
    </row>
    <row r="2080" spans="1:5" ht="15" x14ac:dyDescent="0.35">
      <c r="A2080" s="58" t="s">
        <v>272</v>
      </c>
      <c r="B2080" s="58" t="s">
        <v>182</v>
      </c>
      <c r="C2080" s="58">
        <v>12</v>
      </c>
      <c r="D2080" s="58">
        <v>115</v>
      </c>
      <c r="E2080" s="59">
        <v>119.985</v>
      </c>
    </row>
    <row r="2081" spans="1:5" ht="15" x14ac:dyDescent="0.35">
      <c r="A2081" s="58" t="s">
        <v>272</v>
      </c>
      <c r="B2081" s="58" t="s">
        <v>176</v>
      </c>
      <c r="C2081" s="58">
        <v>1</v>
      </c>
      <c r="D2081" s="58">
        <v>104</v>
      </c>
      <c r="E2081" s="59">
        <v>864</v>
      </c>
    </row>
    <row r="2082" spans="1:5" ht="15" x14ac:dyDescent="0.35">
      <c r="A2082" s="58" t="s">
        <v>272</v>
      </c>
      <c r="B2082" s="58" t="s">
        <v>176</v>
      </c>
      <c r="C2082" s="58">
        <v>2</v>
      </c>
      <c r="D2082" s="58">
        <v>105</v>
      </c>
      <c r="E2082" s="59">
        <v>864</v>
      </c>
    </row>
    <row r="2083" spans="1:5" ht="15" x14ac:dyDescent="0.35">
      <c r="A2083" s="58" t="s">
        <v>272</v>
      </c>
      <c r="B2083" s="58" t="s">
        <v>176</v>
      </c>
      <c r="C2083" s="58">
        <v>3</v>
      </c>
      <c r="D2083" s="58">
        <v>106</v>
      </c>
      <c r="E2083" s="59">
        <v>864</v>
      </c>
    </row>
    <row r="2084" spans="1:5" ht="15" x14ac:dyDescent="0.35">
      <c r="A2084" s="58" t="s">
        <v>272</v>
      </c>
      <c r="B2084" s="58" t="s">
        <v>176</v>
      </c>
      <c r="C2084" s="58">
        <v>4</v>
      </c>
      <c r="D2084" s="58">
        <v>107</v>
      </c>
      <c r="E2084" s="59">
        <v>864</v>
      </c>
    </row>
    <row r="2085" spans="1:5" ht="15" x14ac:dyDescent="0.35">
      <c r="A2085" s="58" t="s">
        <v>272</v>
      </c>
      <c r="B2085" s="58" t="s">
        <v>176</v>
      </c>
      <c r="C2085" s="58">
        <v>5</v>
      </c>
      <c r="D2085" s="58">
        <v>108</v>
      </c>
      <c r="E2085" s="59">
        <v>864</v>
      </c>
    </row>
    <row r="2086" spans="1:5" ht="15" x14ac:dyDescent="0.35">
      <c r="A2086" s="58" t="s">
        <v>272</v>
      </c>
      <c r="B2086" s="58" t="s">
        <v>176</v>
      </c>
      <c r="C2086" s="58">
        <v>6</v>
      </c>
      <c r="D2086" s="58">
        <v>109</v>
      </c>
      <c r="E2086" s="59">
        <v>864</v>
      </c>
    </row>
    <row r="2087" spans="1:5" ht="15" x14ac:dyDescent="0.35">
      <c r="A2087" s="58" t="s">
        <v>272</v>
      </c>
      <c r="B2087" s="58" t="s">
        <v>176</v>
      </c>
      <c r="C2087" s="58">
        <v>7</v>
      </c>
      <c r="D2087" s="58">
        <v>110</v>
      </c>
      <c r="E2087" s="59">
        <v>864</v>
      </c>
    </row>
    <row r="2088" spans="1:5" ht="15" x14ac:dyDescent="0.35">
      <c r="A2088" s="58" t="s">
        <v>272</v>
      </c>
      <c r="B2088" s="58" t="s">
        <v>176</v>
      </c>
      <c r="C2088" s="58">
        <v>8</v>
      </c>
      <c r="D2088" s="58">
        <v>111</v>
      </c>
      <c r="E2088" s="59">
        <v>864</v>
      </c>
    </row>
    <row r="2089" spans="1:5" ht="15" x14ac:dyDescent="0.35">
      <c r="A2089" s="58" t="s">
        <v>272</v>
      </c>
      <c r="B2089" s="58" t="s">
        <v>176</v>
      </c>
      <c r="C2089" s="58">
        <v>9</v>
      </c>
      <c r="D2089" s="58">
        <v>112</v>
      </c>
      <c r="E2089" s="59">
        <v>864</v>
      </c>
    </row>
    <row r="2090" spans="1:5" ht="15" x14ac:dyDescent="0.35">
      <c r="A2090" s="58" t="s">
        <v>272</v>
      </c>
      <c r="B2090" s="58" t="s">
        <v>176</v>
      </c>
      <c r="C2090" s="58">
        <v>10</v>
      </c>
      <c r="D2090" s="58">
        <v>113</v>
      </c>
      <c r="E2090" s="59">
        <v>864</v>
      </c>
    </row>
    <row r="2091" spans="1:5" ht="15" x14ac:dyDescent="0.35">
      <c r="A2091" s="58" t="s">
        <v>272</v>
      </c>
      <c r="B2091" s="58" t="s">
        <v>176</v>
      </c>
      <c r="C2091" s="58">
        <v>11</v>
      </c>
      <c r="D2091" s="58">
        <v>114</v>
      </c>
      <c r="E2091" s="59">
        <v>864</v>
      </c>
    </row>
    <row r="2092" spans="1:5" ht="15" x14ac:dyDescent="0.35">
      <c r="A2092" s="58" t="s">
        <v>272</v>
      </c>
      <c r="B2092" s="58" t="s">
        <v>176</v>
      </c>
      <c r="C2092" s="58">
        <v>12</v>
      </c>
      <c r="D2092" s="58">
        <v>115</v>
      </c>
      <c r="E2092" s="59">
        <v>864</v>
      </c>
    </row>
    <row r="2093" spans="1:5" ht="15" x14ac:dyDescent="0.35">
      <c r="A2093" s="58" t="s">
        <v>272</v>
      </c>
      <c r="B2093" s="58" t="s">
        <v>172</v>
      </c>
      <c r="C2093" s="58">
        <v>1</v>
      </c>
      <c r="D2093" s="58">
        <v>104</v>
      </c>
      <c r="E2093" s="59">
        <v>21</v>
      </c>
    </row>
    <row r="2094" spans="1:5" ht="15" x14ac:dyDescent="0.35">
      <c r="A2094" s="58" t="s">
        <v>272</v>
      </c>
      <c r="B2094" s="58" t="s">
        <v>172</v>
      </c>
      <c r="C2094" s="58">
        <v>2</v>
      </c>
      <c r="D2094" s="58">
        <v>105</v>
      </c>
      <c r="E2094" s="59">
        <v>21</v>
      </c>
    </row>
    <row r="2095" spans="1:5" ht="15" x14ac:dyDescent="0.35">
      <c r="A2095" s="58" t="s">
        <v>272</v>
      </c>
      <c r="B2095" s="58" t="s">
        <v>172</v>
      </c>
      <c r="C2095" s="58">
        <v>3</v>
      </c>
      <c r="D2095" s="58">
        <v>106</v>
      </c>
      <c r="E2095" s="59">
        <v>21</v>
      </c>
    </row>
    <row r="2096" spans="1:5" ht="15" x14ac:dyDescent="0.35">
      <c r="A2096" s="58" t="s">
        <v>272</v>
      </c>
      <c r="B2096" s="58" t="s">
        <v>172</v>
      </c>
      <c r="C2096" s="58">
        <v>4</v>
      </c>
      <c r="D2096" s="58">
        <v>107</v>
      </c>
      <c r="E2096" s="59">
        <v>21</v>
      </c>
    </row>
    <row r="2097" spans="1:5" ht="15" x14ac:dyDescent="0.35">
      <c r="A2097" s="58" t="s">
        <v>272</v>
      </c>
      <c r="B2097" s="58" t="s">
        <v>172</v>
      </c>
      <c r="C2097" s="58">
        <v>5</v>
      </c>
      <c r="D2097" s="58">
        <v>108</v>
      </c>
      <c r="E2097" s="59">
        <v>21</v>
      </c>
    </row>
    <row r="2098" spans="1:5" ht="15" x14ac:dyDescent="0.35">
      <c r="A2098" s="58" t="s">
        <v>272</v>
      </c>
      <c r="B2098" s="58" t="s">
        <v>172</v>
      </c>
      <c r="C2098" s="58">
        <v>6</v>
      </c>
      <c r="D2098" s="58">
        <v>109</v>
      </c>
      <c r="E2098" s="59">
        <v>21</v>
      </c>
    </row>
    <row r="2099" spans="1:5" ht="15" x14ac:dyDescent="0.35">
      <c r="A2099" s="58" t="s">
        <v>272</v>
      </c>
      <c r="B2099" s="58" t="s">
        <v>172</v>
      </c>
      <c r="C2099" s="58">
        <v>7</v>
      </c>
      <c r="D2099" s="58">
        <v>110</v>
      </c>
      <c r="E2099" s="59">
        <v>21</v>
      </c>
    </row>
    <row r="2100" spans="1:5" ht="15" x14ac:dyDescent="0.35">
      <c r="A2100" s="58" t="s">
        <v>272</v>
      </c>
      <c r="B2100" s="58" t="s">
        <v>172</v>
      </c>
      <c r="C2100" s="58">
        <v>8</v>
      </c>
      <c r="D2100" s="58">
        <v>111</v>
      </c>
      <c r="E2100" s="59">
        <v>21</v>
      </c>
    </row>
    <row r="2101" spans="1:5" ht="15" x14ac:dyDescent="0.35">
      <c r="A2101" s="58" t="s">
        <v>272</v>
      </c>
      <c r="B2101" s="58" t="s">
        <v>172</v>
      </c>
      <c r="C2101" s="58">
        <v>9</v>
      </c>
      <c r="D2101" s="58">
        <v>112</v>
      </c>
      <c r="E2101" s="59">
        <v>21</v>
      </c>
    </row>
    <row r="2102" spans="1:5" ht="15" x14ac:dyDescent="0.35">
      <c r="A2102" s="58" t="s">
        <v>272</v>
      </c>
      <c r="B2102" s="58" t="s">
        <v>172</v>
      </c>
      <c r="C2102" s="58">
        <v>10</v>
      </c>
      <c r="D2102" s="58">
        <v>113</v>
      </c>
      <c r="E2102" s="59">
        <v>21</v>
      </c>
    </row>
    <row r="2103" spans="1:5" ht="15" x14ac:dyDescent="0.35">
      <c r="A2103" s="58" t="s">
        <v>272</v>
      </c>
      <c r="B2103" s="58" t="s">
        <v>172</v>
      </c>
      <c r="C2103" s="58">
        <v>11</v>
      </c>
      <c r="D2103" s="58">
        <v>114</v>
      </c>
      <c r="E2103" s="59">
        <v>21</v>
      </c>
    </row>
    <row r="2104" spans="1:5" ht="15" x14ac:dyDescent="0.35">
      <c r="A2104" s="58" t="s">
        <v>272</v>
      </c>
      <c r="B2104" s="58" t="s">
        <v>172</v>
      </c>
      <c r="C2104" s="58">
        <v>12</v>
      </c>
      <c r="D2104" s="58">
        <v>115</v>
      </c>
      <c r="E2104" s="59">
        <v>21</v>
      </c>
    </row>
    <row r="2105" spans="1:5" ht="15" x14ac:dyDescent="0.35">
      <c r="A2105" s="58" t="s">
        <v>272</v>
      </c>
      <c r="B2105" s="58" t="s">
        <v>180</v>
      </c>
      <c r="C2105" s="58">
        <v>1</v>
      </c>
      <c r="D2105" s="58">
        <v>104</v>
      </c>
      <c r="E2105" s="59">
        <v>668.23239999999998</v>
      </c>
    </row>
    <row r="2106" spans="1:5" ht="15" x14ac:dyDescent="0.35">
      <c r="A2106" s="58" t="s">
        <v>272</v>
      </c>
      <c r="B2106" s="58" t="s">
        <v>180</v>
      </c>
      <c r="C2106" s="58">
        <v>2</v>
      </c>
      <c r="D2106" s="58">
        <v>105</v>
      </c>
      <c r="E2106" s="59">
        <v>668.23239999999998</v>
      </c>
    </row>
    <row r="2107" spans="1:5" ht="15" x14ac:dyDescent="0.35">
      <c r="A2107" s="58" t="s">
        <v>272</v>
      </c>
      <c r="B2107" s="58" t="s">
        <v>180</v>
      </c>
      <c r="C2107" s="58">
        <v>3</v>
      </c>
      <c r="D2107" s="58">
        <v>106</v>
      </c>
      <c r="E2107" s="59">
        <v>668.23239999999998</v>
      </c>
    </row>
    <row r="2108" spans="1:5" ht="15" x14ac:dyDescent="0.35">
      <c r="A2108" s="58" t="s">
        <v>272</v>
      </c>
      <c r="B2108" s="58" t="s">
        <v>180</v>
      </c>
      <c r="C2108" s="58">
        <v>4</v>
      </c>
      <c r="D2108" s="58">
        <v>107</v>
      </c>
      <c r="E2108" s="59">
        <v>668.23239999999998</v>
      </c>
    </row>
    <row r="2109" spans="1:5" ht="15" x14ac:dyDescent="0.35">
      <c r="A2109" s="58" t="s">
        <v>272</v>
      </c>
      <c r="B2109" s="58" t="s">
        <v>180</v>
      </c>
      <c r="C2109" s="58">
        <v>5</v>
      </c>
      <c r="D2109" s="58">
        <v>108</v>
      </c>
      <c r="E2109" s="59">
        <v>668.23239999999998</v>
      </c>
    </row>
    <row r="2110" spans="1:5" ht="15" x14ac:dyDescent="0.35">
      <c r="A2110" s="58" t="s">
        <v>272</v>
      </c>
      <c r="B2110" s="58" t="s">
        <v>180</v>
      </c>
      <c r="C2110" s="58">
        <v>6</v>
      </c>
      <c r="D2110" s="58">
        <v>109</v>
      </c>
      <c r="E2110" s="59">
        <v>668.23239999999998</v>
      </c>
    </row>
    <row r="2111" spans="1:5" ht="15" x14ac:dyDescent="0.35">
      <c r="A2111" s="58" t="s">
        <v>272</v>
      </c>
      <c r="B2111" s="58" t="s">
        <v>180</v>
      </c>
      <c r="C2111" s="58">
        <v>7</v>
      </c>
      <c r="D2111" s="58">
        <v>110</v>
      </c>
      <c r="E2111" s="59">
        <v>668.23239999999998</v>
      </c>
    </row>
    <row r="2112" spans="1:5" ht="15" x14ac:dyDescent="0.35">
      <c r="A2112" s="58" t="s">
        <v>272</v>
      </c>
      <c r="B2112" s="58" t="s">
        <v>180</v>
      </c>
      <c r="C2112" s="58">
        <v>8</v>
      </c>
      <c r="D2112" s="58">
        <v>111</v>
      </c>
      <c r="E2112" s="59">
        <v>668.23239999999998</v>
      </c>
    </row>
    <row r="2113" spans="1:5" ht="15" x14ac:dyDescent="0.35">
      <c r="A2113" s="58" t="s">
        <v>272</v>
      </c>
      <c r="B2113" s="58" t="s">
        <v>180</v>
      </c>
      <c r="C2113" s="58">
        <v>9</v>
      </c>
      <c r="D2113" s="58">
        <v>112</v>
      </c>
      <c r="E2113" s="59">
        <v>668.23239999999998</v>
      </c>
    </row>
    <row r="2114" spans="1:5" ht="15" x14ac:dyDescent="0.35">
      <c r="A2114" s="58" t="s">
        <v>272</v>
      </c>
      <c r="B2114" s="58" t="s">
        <v>180</v>
      </c>
      <c r="C2114" s="58">
        <v>10</v>
      </c>
      <c r="D2114" s="58">
        <v>113</v>
      </c>
      <c r="E2114" s="59">
        <v>668.23239999999998</v>
      </c>
    </row>
    <row r="2115" spans="1:5" ht="15" x14ac:dyDescent="0.35">
      <c r="A2115" s="58" t="s">
        <v>272</v>
      </c>
      <c r="B2115" s="58" t="s">
        <v>180</v>
      </c>
      <c r="C2115" s="58">
        <v>11</v>
      </c>
      <c r="D2115" s="58">
        <v>114</v>
      </c>
      <c r="E2115" s="59">
        <v>668.23239999999998</v>
      </c>
    </row>
    <row r="2116" spans="1:5" ht="15" x14ac:dyDescent="0.35">
      <c r="A2116" s="58" t="s">
        <v>272</v>
      </c>
      <c r="B2116" s="58" t="s">
        <v>180</v>
      </c>
      <c r="C2116" s="58">
        <v>12</v>
      </c>
      <c r="D2116" s="58">
        <v>115</v>
      </c>
      <c r="E2116" s="59">
        <v>668.23239999999998</v>
      </c>
    </row>
    <row r="2117" spans="1:5" ht="15" x14ac:dyDescent="0.35">
      <c r="A2117" s="58" t="s">
        <v>305</v>
      </c>
      <c r="B2117" s="58" t="s">
        <v>182</v>
      </c>
      <c r="C2117" s="58">
        <v>1</v>
      </c>
      <c r="D2117" s="58">
        <v>104</v>
      </c>
      <c r="E2117" s="59">
        <v>68.7697</v>
      </c>
    </row>
    <row r="2118" spans="1:5" ht="15" x14ac:dyDescent="0.35">
      <c r="A2118" s="58" t="s">
        <v>305</v>
      </c>
      <c r="B2118" s="58" t="s">
        <v>182</v>
      </c>
      <c r="C2118" s="58">
        <v>2</v>
      </c>
      <c r="D2118" s="58">
        <v>105</v>
      </c>
      <c r="E2118" s="59">
        <v>42.503</v>
      </c>
    </row>
    <row r="2119" spans="1:5" ht="15" x14ac:dyDescent="0.35">
      <c r="A2119" s="58" t="s">
        <v>305</v>
      </c>
      <c r="B2119" s="58" t="s">
        <v>182</v>
      </c>
      <c r="C2119" s="58">
        <v>3</v>
      </c>
      <c r="D2119" s="58">
        <v>106</v>
      </c>
      <c r="E2119" s="59">
        <v>94.7697</v>
      </c>
    </row>
    <row r="2120" spans="1:5" ht="15" x14ac:dyDescent="0.35">
      <c r="A2120" s="58" t="s">
        <v>305</v>
      </c>
      <c r="B2120" s="58" t="s">
        <v>182</v>
      </c>
      <c r="C2120" s="58">
        <v>4</v>
      </c>
      <c r="D2120" s="58">
        <v>107</v>
      </c>
      <c r="E2120" s="59">
        <v>79.674400000000006</v>
      </c>
    </row>
    <row r="2121" spans="1:5" ht="15" x14ac:dyDescent="0.35">
      <c r="A2121" s="58" t="s">
        <v>305</v>
      </c>
      <c r="B2121" s="58" t="s">
        <v>182</v>
      </c>
      <c r="C2121" s="58">
        <v>5</v>
      </c>
      <c r="D2121" s="58">
        <v>108</v>
      </c>
      <c r="E2121" s="59">
        <v>68.227999999999994</v>
      </c>
    </row>
    <row r="2122" spans="1:5" ht="15" x14ac:dyDescent="0.35">
      <c r="A2122" s="58" t="s">
        <v>305</v>
      </c>
      <c r="B2122" s="58" t="s">
        <v>182</v>
      </c>
      <c r="C2122" s="58">
        <v>6</v>
      </c>
      <c r="D2122" s="58">
        <v>109</v>
      </c>
      <c r="E2122" s="59">
        <v>53.6586</v>
      </c>
    </row>
    <row r="2123" spans="1:5" ht="15" x14ac:dyDescent="0.35">
      <c r="A2123" s="58" t="s">
        <v>305</v>
      </c>
      <c r="B2123" s="58" t="s">
        <v>182</v>
      </c>
      <c r="C2123" s="58">
        <v>7</v>
      </c>
      <c r="D2123" s="58">
        <v>110</v>
      </c>
      <c r="E2123" s="59">
        <v>26.6586</v>
      </c>
    </row>
    <row r="2124" spans="1:5" ht="15" x14ac:dyDescent="0.35">
      <c r="A2124" s="58" t="s">
        <v>305</v>
      </c>
      <c r="B2124" s="58" t="s">
        <v>182</v>
      </c>
      <c r="C2124" s="58">
        <v>8</v>
      </c>
      <c r="D2124" s="58">
        <v>111</v>
      </c>
      <c r="E2124" s="59">
        <v>55.103000000000002</v>
      </c>
    </row>
    <row r="2125" spans="1:5" ht="15" x14ac:dyDescent="0.35">
      <c r="A2125" s="58" t="s">
        <v>305</v>
      </c>
      <c r="B2125" s="58" t="s">
        <v>182</v>
      </c>
      <c r="C2125" s="58">
        <v>9</v>
      </c>
      <c r="D2125" s="58">
        <v>112</v>
      </c>
      <c r="E2125" s="59">
        <v>70.214100000000002</v>
      </c>
    </row>
    <row r="2126" spans="1:5" ht="15" x14ac:dyDescent="0.35">
      <c r="A2126" s="58" t="s">
        <v>305</v>
      </c>
      <c r="B2126" s="58" t="s">
        <v>182</v>
      </c>
      <c r="C2126" s="58">
        <v>10</v>
      </c>
      <c r="D2126" s="58">
        <v>113</v>
      </c>
      <c r="E2126" s="59">
        <v>87.880799999999994</v>
      </c>
    </row>
    <row r="2127" spans="1:5" ht="15" x14ac:dyDescent="0.35">
      <c r="A2127" s="58" t="s">
        <v>305</v>
      </c>
      <c r="B2127" s="58" t="s">
        <v>182</v>
      </c>
      <c r="C2127" s="58">
        <v>11</v>
      </c>
      <c r="D2127" s="58">
        <v>114</v>
      </c>
      <c r="E2127" s="59">
        <v>49.6586</v>
      </c>
    </row>
    <row r="2128" spans="1:5" ht="15" x14ac:dyDescent="0.35">
      <c r="A2128" s="58" t="s">
        <v>305</v>
      </c>
      <c r="B2128" s="58" t="s">
        <v>182</v>
      </c>
      <c r="C2128" s="58">
        <v>12</v>
      </c>
      <c r="D2128" s="58">
        <v>115</v>
      </c>
      <c r="E2128" s="59">
        <v>8.9918999999999993</v>
      </c>
    </row>
    <row r="2129" spans="1:5" ht="15" x14ac:dyDescent="0.35">
      <c r="A2129" s="58" t="s">
        <v>305</v>
      </c>
      <c r="B2129" s="58" t="s">
        <v>176</v>
      </c>
      <c r="C2129" s="58">
        <v>1</v>
      </c>
      <c r="D2129" s="58">
        <v>104</v>
      </c>
      <c r="E2129" s="59">
        <v>127.75</v>
      </c>
    </row>
    <row r="2130" spans="1:5" ht="15" x14ac:dyDescent="0.35">
      <c r="A2130" s="58" t="s">
        <v>305</v>
      </c>
      <c r="B2130" s="58" t="s">
        <v>176</v>
      </c>
      <c r="C2130" s="58">
        <v>2</v>
      </c>
      <c r="D2130" s="58">
        <v>105</v>
      </c>
      <c r="E2130" s="59">
        <v>127.75</v>
      </c>
    </row>
    <row r="2131" spans="1:5" ht="15" x14ac:dyDescent="0.35">
      <c r="A2131" s="58" t="s">
        <v>305</v>
      </c>
      <c r="B2131" s="58" t="s">
        <v>176</v>
      </c>
      <c r="C2131" s="58">
        <v>3</v>
      </c>
      <c r="D2131" s="58">
        <v>106</v>
      </c>
      <c r="E2131" s="59">
        <v>127.75</v>
      </c>
    </row>
    <row r="2132" spans="1:5" ht="15" x14ac:dyDescent="0.35">
      <c r="A2132" s="58" t="s">
        <v>305</v>
      </c>
      <c r="B2132" s="58" t="s">
        <v>176</v>
      </c>
      <c r="C2132" s="58">
        <v>4</v>
      </c>
      <c r="D2132" s="58">
        <v>107</v>
      </c>
      <c r="E2132" s="59">
        <v>127.75</v>
      </c>
    </row>
    <row r="2133" spans="1:5" ht="15" x14ac:dyDescent="0.35">
      <c r="A2133" s="58" t="s">
        <v>305</v>
      </c>
      <c r="B2133" s="58" t="s">
        <v>176</v>
      </c>
      <c r="C2133" s="58">
        <v>5</v>
      </c>
      <c r="D2133" s="58">
        <v>108</v>
      </c>
      <c r="E2133" s="59">
        <v>127.75</v>
      </c>
    </row>
    <row r="2134" spans="1:5" ht="15" x14ac:dyDescent="0.35">
      <c r="A2134" s="58" t="s">
        <v>305</v>
      </c>
      <c r="B2134" s="58" t="s">
        <v>176</v>
      </c>
      <c r="C2134" s="58">
        <v>6</v>
      </c>
      <c r="D2134" s="58">
        <v>109</v>
      </c>
      <c r="E2134" s="59">
        <v>127.75</v>
      </c>
    </row>
    <row r="2135" spans="1:5" ht="15" x14ac:dyDescent="0.35">
      <c r="A2135" s="58" t="s">
        <v>305</v>
      </c>
      <c r="B2135" s="58" t="s">
        <v>176</v>
      </c>
      <c r="C2135" s="58">
        <v>7</v>
      </c>
      <c r="D2135" s="58">
        <v>110</v>
      </c>
      <c r="E2135" s="59">
        <v>127.75</v>
      </c>
    </row>
    <row r="2136" spans="1:5" ht="15" x14ac:dyDescent="0.35">
      <c r="A2136" s="58" t="s">
        <v>305</v>
      </c>
      <c r="B2136" s="58" t="s">
        <v>176</v>
      </c>
      <c r="C2136" s="58">
        <v>8</v>
      </c>
      <c r="D2136" s="58">
        <v>111</v>
      </c>
      <c r="E2136" s="59">
        <v>127.75</v>
      </c>
    </row>
    <row r="2137" spans="1:5" ht="15" x14ac:dyDescent="0.35">
      <c r="A2137" s="58" t="s">
        <v>305</v>
      </c>
      <c r="B2137" s="58" t="s">
        <v>176</v>
      </c>
      <c r="C2137" s="58">
        <v>9</v>
      </c>
      <c r="D2137" s="58">
        <v>112</v>
      </c>
      <c r="E2137" s="59">
        <v>127.75</v>
      </c>
    </row>
    <row r="2138" spans="1:5" ht="15" x14ac:dyDescent="0.35">
      <c r="A2138" s="58" t="s">
        <v>305</v>
      </c>
      <c r="B2138" s="58" t="s">
        <v>176</v>
      </c>
      <c r="C2138" s="58">
        <v>10</v>
      </c>
      <c r="D2138" s="58">
        <v>113</v>
      </c>
      <c r="E2138" s="59">
        <v>127.75</v>
      </c>
    </row>
    <row r="2139" spans="1:5" ht="15" x14ac:dyDescent="0.35">
      <c r="A2139" s="58" t="s">
        <v>305</v>
      </c>
      <c r="B2139" s="58" t="s">
        <v>176</v>
      </c>
      <c r="C2139" s="58">
        <v>11</v>
      </c>
      <c r="D2139" s="58">
        <v>114</v>
      </c>
      <c r="E2139" s="59">
        <v>127.75</v>
      </c>
    </row>
    <row r="2140" spans="1:5" ht="15" x14ac:dyDescent="0.35">
      <c r="A2140" s="58" t="s">
        <v>305</v>
      </c>
      <c r="B2140" s="58" t="s">
        <v>176</v>
      </c>
      <c r="C2140" s="58">
        <v>12</v>
      </c>
      <c r="D2140" s="58">
        <v>115</v>
      </c>
      <c r="E2140" s="59">
        <v>127.75</v>
      </c>
    </row>
    <row r="2141" spans="1:5" ht="15" x14ac:dyDescent="0.35">
      <c r="A2141" s="58" t="s">
        <v>305</v>
      </c>
      <c r="B2141" s="58" t="s">
        <v>172</v>
      </c>
      <c r="C2141" s="58">
        <v>1</v>
      </c>
      <c r="D2141" s="58">
        <v>104</v>
      </c>
      <c r="E2141" s="59">
        <v>81</v>
      </c>
    </row>
    <row r="2142" spans="1:5" ht="15" x14ac:dyDescent="0.35">
      <c r="A2142" s="58" t="s">
        <v>305</v>
      </c>
      <c r="B2142" s="58" t="s">
        <v>172</v>
      </c>
      <c r="C2142" s="58">
        <v>2</v>
      </c>
      <c r="D2142" s="58">
        <v>105</v>
      </c>
      <c r="E2142" s="59">
        <v>81</v>
      </c>
    </row>
    <row r="2143" spans="1:5" ht="15" x14ac:dyDescent="0.35">
      <c r="A2143" s="58" t="s">
        <v>305</v>
      </c>
      <c r="B2143" s="58" t="s">
        <v>172</v>
      </c>
      <c r="C2143" s="58">
        <v>3</v>
      </c>
      <c r="D2143" s="58">
        <v>106</v>
      </c>
      <c r="E2143" s="59">
        <v>81</v>
      </c>
    </row>
    <row r="2144" spans="1:5" ht="15" x14ac:dyDescent="0.35">
      <c r="A2144" s="58" t="s">
        <v>305</v>
      </c>
      <c r="B2144" s="58" t="s">
        <v>172</v>
      </c>
      <c r="C2144" s="58">
        <v>4</v>
      </c>
      <c r="D2144" s="58">
        <v>107</v>
      </c>
      <c r="E2144" s="59">
        <v>81</v>
      </c>
    </row>
    <row r="2145" spans="1:5" ht="15" x14ac:dyDescent="0.35">
      <c r="A2145" s="58" t="s">
        <v>305</v>
      </c>
      <c r="B2145" s="58" t="s">
        <v>172</v>
      </c>
      <c r="C2145" s="58">
        <v>5</v>
      </c>
      <c r="D2145" s="58">
        <v>108</v>
      </c>
      <c r="E2145" s="59">
        <v>81</v>
      </c>
    </row>
    <row r="2146" spans="1:5" ht="15" x14ac:dyDescent="0.35">
      <c r="A2146" s="58" t="s">
        <v>305</v>
      </c>
      <c r="B2146" s="58" t="s">
        <v>172</v>
      </c>
      <c r="C2146" s="58">
        <v>6</v>
      </c>
      <c r="D2146" s="58">
        <v>109</v>
      </c>
      <c r="E2146" s="59">
        <v>81</v>
      </c>
    </row>
    <row r="2147" spans="1:5" ht="15" x14ac:dyDescent="0.35">
      <c r="A2147" s="58" t="s">
        <v>305</v>
      </c>
      <c r="B2147" s="58" t="s">
        <v>172</v>
      </c>
      <c r="C2147" s="58">
        <v>7</v>
      </c>
      <c r="D2147" s="58">
        <v>110</v>
      </c>
      <c r="E2147" s="59">
        <v>81</v>
      </c>
    </row>
    <row r="2148" spans="1:5" ht="15" x14ac:dyDescent="0.35">
      <c r="A2148" s="58" t="s">
        <v>305</v>
      </c>
      <c r="B2148" s="58" t="s">
        <v>172</v>
      </c>
      <c r="C2148" s="58">
        <v>8</v>
      </c>
      <c r="D2148" s="58">
        <v>111</v>
      </c>
      <c r="E2148" s="59">
        <v>81</v>
      </c>
    </row>
    <row r="2149" spans="1:5" ht="15" x14ac:dyDescent="0.35">
      <c r="A2149" s="58" t="s">
        <v>305</v>
      </c>
      <c r="B2149" s="58" t="s">
        <v>172</v>
      </c>
      <c r="C2149" s="58">
        <v>9</v>
      </c>
      <c r="D2149" s="58">
        <v>112</v>
      </c>
      <c r="E2149" s="59">
        <v>81</v>
      </c>
    </row>
    <row r="2150" spans="1:5" ht="15" x14ac:dyDescent="0.35">
      <c r="A2150" s="58" t="s">
        <v>305</v>
      </c>
      <c r="B2150" s="58" t="s">
        <v>172</v>
      </c>
      <c r="C2150" s="58">
        <v>10</v>
      </c>
      <c r="D2150" s="58">
        <v>113</v>
      </c>
      <c r="E2150" s="59">
        <v>81</v>
      </c>
    </row>
    <row r="2151" spans="1:5" ht="15" x14ac:dyDescent="0.35">
      <c r="A2151" s="58" t="s">
        <v>305</v>
      </c>
      <c r="B2151" s="58" t="s">
        <v>172</v>
      </c>
      <c r="C2151" s="58">
        <v>11</v>
      </c>
      <c r="D2151" s="58">
        <v>114</v>
      </c>
      <c r="E2151" s="59">
        <v>81</v>
      </c>
    </row>
    <row r="2152" spans="1:5" ht="15" x14ac:dyDescent="0.35">
      <c r="A2152" s="58" t="s">
        <v>305</v>
      </c>
      <c r="B2152" s="58" t="s">
        <v>172</v>
      </c>
      <c r="C2152" s="58">
        <v>12</v>
      </c>
      <c r="D2152" s="58">
        <v>115</v>
      </c>
      <c r="E2152" s="59">
        <v>81</v>
      </c>
    </row>
    <row r="2153" spans="1:5" ht="15" x14ac:dyDescent="0.35">
      <c r="A2153" s="58" t="s">
        <v>305</v>
      </c>
      <c r="B2153" s="58" t="s">
        <v>180</v>
      </c>
      <c r="C2153" s="58">
        <v>1</v>
      </c>
      <c r="D2153" s="58">
        <v>104</v>
      </c>
      <c r="E2153" s="59">
        <v>155.42240000000001</v>
      </c>
    </row>
    <row r="2154" spans="1:5" ht="15" x14ac:dyDescent="0.35">
      <c r="A2154" s="58" t="s">
        <v>305</v>
      </c>
      <c r="B2154" s="58" t="s">
        <v>180</v>
      </c>
      <c r="C2154" s="58">
        <v>2</v>
      </c>
      <c r="D2154" s="58">
        <v>105</v>
      </c>
      <c r="E2154" s="59">
        <v>155.42240000000001</v>
      </c>
    </row>
    <row r="2155" spans="1:5" ht="15" x14ac:dyDescent="0.35">
      <c r="A2155" s="58" t="s">
        <v>305</v>
      </c>
      <c r="B2155" s="58" t="s">
        <v>180</v>
      </c>
      <c r="C2155" s="58">
        <v>3</v>
      </c>
      <c r="D2155" s="58">
        <v>106</v>
      </c>
      <c r="E2155" s="59">
        <v>155.42240000000001</v>
      </c>
    </row>
    <row r="2156" spans="1:5" ht="15" x14ac:dyDescent="0.35">
      <c r="A2156" s="58" t="s">
        <v>305</v>
      </c>
      <c r="B2156" s="58" t="s">
        <v>180</v>
      </c>
      <c r="C2156" s="58">
        <v>4</v>
      </c>
      <c r="D2156" s="58">
        <v>107</v>
      </c>
      <c r="E2156" s="59">
        <v>155.42240000000001</v>
      </c>
    </row>
    <row r="2157" spans="1:5" ht="15" x14ac:dyDescent="0.35">
      <c r="A2157" s="58" t="s">
        <v>305</v>
      </c>
      <c r="B2157" s="58" t="s">
        <v>180</v>
      </c>
      <c r="C2157" s="58">
        <v>5</v>
      </c>
      <c r="D2157" s="58">
        <v>108</v>
      </c>
      <c r="E2157" s="59">
        <v>155.42240000000001</v>
      </c>
    </row>
    <row r="2158" spans="1:5" ht="15" x14ac:dyDescent="0.35">
      <c r="A2158" s="58" t="s">
        <v>305</v>
      </c>
      <c r="B2158" s="58" t="s">
        <v>180</v>
      </c>
      <c r="C2158" s="58">
        <v>6</v>
      </c>
      <c r="D2158" s="58">
        <v>109</v>
      </c>
      <c r="E2158" s="59">
        <v>155.42240000000001</v>
      </c>
    </row>
    <row r="2159" spans="1:5" ht="15" x14ac:dyDescent="0.35">
      <c r="A2159" s="58" t="s">
        <v>305</v>
      </c>
      <c r="B2159" s="58" t="s">
        <v>180</v>
      </c>
      <c r="C2159" s="58">
        <v>7</v>
      </c>
      <c r="D2159" s="58">
        <v>110</v>
      </c>
      <c r="E2159" s="59">
        <v>155.42240000000001</v>
      </c>
    </row>
    <row r="2160" spans="1:5" ht="15" x14ac:dyDescent="0.35">
      <c r="A2160" s="58" t="s">
        <v>305</v>
      </c>
      <c r="B2160" s="58" t="s">
        <v>180</v>
      </c>
      <c r="C2160" s="58">
        <v>8</v>
      </c>
      <c r="D2160" s="58">
        <v>111</v>
      </c>
      <c r="E2160" s="59">
        <v>155.42240000000001</v>
      </c>
    </row>
    <row r="2161" spans="1:5" ht="15" x14ac:dyDescent="0.35">
      <c r="A2161" s="58" t="s">
        <v>305</v>
      </c>
      <c r="B2161" s="58" t="s">
        <v>180</v>
      </c>
      <c r="C2161" s="58">
        <v>9</v>
      </c>
      <c r="D2161" s="58">
        <v>112</v>
      </c>
      <c r="E2161" s="59">
        <v>155.42240000000001</v>
      </c>
    </row>
    <row r="2162" spans="1:5" ht="15" x14ac:dyDescent="0.35">
      <c r="A2162" s="58" t="s">
        <v>305</v>
      </c>
      <c r="B2162" s="58" t="s">
        <v>180</v>
      </c>
      <c r="C2162" s="58">
        <v>10</v>
      </c>
      <c r="D2162" s="58">
        <v>113</v>
      </c>
      <c r="E2162" s="59">
        <v>155.42240000000001</v>
      </c>
    </row>
    <row r="2163" spans="1:5" ht="15" x14ac:dyDescent="0.35">
      <c r="A2163" s="58" t="s">
        <v>305</v>
      </c>
      <c r="B2163" s="58" t="s">
        <v>180</v>
      </c>
      <c r="C2163" s="58">
        <v>11</v>
      </c>
      <c r="D2163" s="58">
        <v>114</v>
      </c>
      <c r="E2163" s="59">
        <v>155.42240000000001</v>
      </c>
    </row>
    <row r="2164" spans="1:5" ht="15" x14ac:dyDescent="0.35">
      <c r="A2164" s="58" t="s">
        <v>305</v>
      </c>
      <c r="B2164" s="58" t="s">
        <v>180</v>
      </c>
      <c r="C2164" s="58">
        <v>12</v>
      </c>
      <c r="D2164" s="58">
        <v>115</v>
      </c>
      <c r="E2164" s="59">
        <v>155.42240000000001</v>
      </c>
    </row>
    <row r="2165" spans="1:5" ht="15" x14ac:dyDescent="0.35">
      <c r="A2165" s="58" t="s">
        <v>283</v>
      </c>
      <c r="B2165" s="58" t="s">
        <v>182</v>
      </c>
      <c r="C2165" s="58">
        <v>1</v>
      </c>
      <c r="D2165" s="58">
        <v>104</v>
      </c>
      <c r="E2165" s="59">
        <v>87.1708</v>
      </c>
    </row>
    <row r="2166" spans="1:5" ht="15" x14ac:dyDescent="0.35">
      <c r="A2166" s="58" t="s">
        <v>283</v>
      </c>
      <c r="B2166" s="58" t="s">
        <v>182</v>
      </c>
      <c r="C2166" s="58">
        <v>2</v>
      </c>
      <c r="D2166" s="58">
        <v>105</v>
      </c>
      <c r="E2166" s="59">
        <v>114.8374</v>
      </c>
    </row>
    <row r="2167" spans="1:5" ht="15" x14ac:dyDescent="0.35">
      <c r="A2167" s="58" t="s">
        <v>283</v>
      </c>
      <c r="B2167" s="58" t="s">
        <v>182</v>
      </c>
      <c r="C2167" s="58">
        <v>3</v>
      </c>
      <c r="D2167" s="58">
        <v>106</v>
      </c>
      <c r="E2167" s="59">
        <v>156.3374</v>
      </c>
    </row>
    <row r="2168" spans="1:5" ht="15" x14ac:dyDescent="0.35">
      <c r="A2168" s="58" t="s">
        <v>283</v>
      </c>
      <c r="B2168" s="58" t="s">
        <v>182</v>
      </c>
      <c r="C2168" s="58">
        <v>4</v>
      </c>
      <c r="D2168" s="58">
        <v>107</v>
      </c>
      <c r="E2168" s="59">
        <v>129.26599999999999</v>
      </c>
    </row>
    <row r="2169" spans="1:5" ht="15" x14ac:dyDescent="0.35">
      <c r="A2169" s="58" t="s">
        <v>283</v>
      </c>
      <c r="B2169" s="58" t="s">
        <v>182</v>
      </c>
      <c r="C2169" s="58">
        <v>5</v>
      </c>
      <c r="D2169" s="58">
        <v>108</v>
      </c>
      <c r="E2169" s="59">
        <v>142.9624</v>
      </c>
    </row>
    <row r="2170" spans="1:5" ht="15" x14ac:dyDescent="0.35">
      <c r="A2170" s="58" t="s">
        <v>283</v>
      </c>
      <c r="B2170" s="58" t="s">
        <v>182</v>
      </c>
      <c r="C2170" s="58">
        <v>6</v>
      </c>
      <c r="D2170" s="58">
        <v>109</v>
      </c>
      <c r="E2170" s="59">
        <v>127.9486</v>
      </c>
    </row>
    <row r="2171" spans="1:5" ht="15" x14ac:dyDescent="0.35">
      <c r="A2171" s="58" t="s">
        <v>283</v>
      </c>
      <c r="B2171" s="58" t="s">
        <v>182</v>
      </c>
      <c r="C2171" s="58">
        <v>7</v>
      </c>
      <c r="D2171" s="58">
        <v>110</v>
      </c>
      <c r="E2171" s="59">
        <v>113.50409999999999</v>
      </c>
    </row>
    <row r="2172" spans="1:5" ht="15" x14ac:dyDescent="0.35">
      <c r="A2172" s="58" t="s">
        <v>283</v>
      </c>
      <c r="B2172" s="58" t="s">
        <v>182</v>
      </c>
      <c r="C2172" s="58">
        <v>8</v>
      </c>
      <c r="D2172" s="58">
        <v>111</v>
      </c>
      <c r="E2172" s="59">
        <v>125.9486</v>
      </c>
    </row>
    <row r="2173" spans="1:5" ht="15" x14ac:dyDescent="0.35">
      <c r="A2173" s="58" t="s">
        <v>283</v>
      </c>
      <c r="B2173" s="58" t="s">
        <v>182</v>
      </c>
      <c r="C2173" s="58">
        <v>9</v>
      </c>
      <c r="D2173" s="58">
        <v>112</v>
      </c>
      <c r="E2173" s="59">
        <v>166.72630000000001</v>
      </c>
    </row>
    <row r="2174" spans="1:5" ht="15" x14ac:dyDescent="0.35">
      <c r="A2174" s="58" t="s">
        <v>283</v>
      </c>
      <c r="B2174" s="58" t="s">
        <v>182</v>
      </c>
      <c r="C2174" s="58">
        <v>10</v>
      </c>
      <c r="D2174" s="58">
        <v>113</v>
      </c>
      <c r="E2174" s="59">
        <v>211.393</v>
      </c>
    </row>
    <row r="2175" spans="1:5" ht="15" x14ac:dyDescent="0.35">
      <c r="A2175" s="58" t="s">
        <v>283</v>
      </c>
      <c r="B2175" s="58" t="s">
        <v>182</v>
      </c>
      <c r="C2175" s="58">
        <v>11</v>
      </c>
      <c r="D2175" s="58">
        <v>114</v>
      </c>
      <c r="E2175" s="59">
        <v>170.9486</v>
      </c>
    </row>
    <row r="2176" spans="1:5" ht="15" x14ac:dyDescent="0.35">
      <c r="A2176" s="58" t="s">
        <v>283</v>
      </c>
      <c r="B2176" s="58" t="s">
        <v>182</v>
      </c>
      <c r="C2176" s="58">
        <v>12</v>
      </c>
      <c r="D2176" s="58">
        <v>115</v>
      </c>
      <c r="E2176" s="59">
        <v>158.8374</v>
      </c>
    </row>
    <row r="2177" spans="1:5" ht="15" x14ac:dyDescent="0.35">
      <c r="A2177" s="58" t="s">
        <v>283</v>
      </c>
      <c r="B2177" s="58" t="s">
        <v>176</v>
      </c>
      <c r="C2177" s="58">
        <v>1</v>
      </c>
      <c r="D2177" s="58">
        <v>104</v>
      </c>
      <c r="E2177" s="59">
        <v>158.875</v>
      </c>
    </row>
    <row r="2178" spans="1:5" ht="15" x14ac:dyDescent="0.35">
      <c r="A2178" s="58" t="s">
        <v>283</v>
      </c>
      <c r="B2178" s="58" t="s">
        <v>176</v>
      </c>
      <c r="C2178" s="58">
        <v>2</v>
      </c>
      <c r="D2178" s="58">
        <v>105</v>
      </c>
      <c r="E2178" s="59">
        <v>158.875</v>
      </c>
    </row>
    <row r="2179" spans="1:5" ht="15" x14ac:dyDescent="0.35">
      <c r="A2179" s="58" t="s">
        <v>283</v>
      </c>
      <c r="B2179" s="58" t="s">
        <v>176</v>
      </c>
      <c r="C2179" s="58">
        <v>3</v>
      </c>
      <c r="D2179" s="58">
        <v>106</v>
      </c>
      <c r="E2179" s="59">
        <v>158.875</v>
      </c>
    </row>
    <row r="2180" spans="1:5" ht="15" x14ac:dyDescent="0.35">
      <c r="A2180" s="58" t="s">
        <v>283</v>
      </c>
      <c r="B2180" s="58" t="s">
        <v>176</v>
      </c>
      <c r="C2180" s="58">
        <v>4</v>
      </c>
      <c r="D2180" s="58">
        <v>107</v>
      </c>
      <c r="E2180" s="59">
        <v>158.875</v>
      </c>
    </row>
    <row r="2181" spans="1:5" ht="15" x14ac:dyDescent="0.35">
      <c r="A2181" s="58" t="s">
        <v>283</v>
      </c>
      <c r="B2181" s="58" t="s">
        <v>176</v>
      </c>
      <c r="C2181" s="58">
        <v>5</v>
      </c>
      <c r="D2181" s="58">
        <v>108</v>
      </c>
      <c r="E2181" s="59">
        <v>158.875</v>
      </c>
    </row>
    <row r="2182" spans="1:5" ht="15" x14ac:dyDescent="0.35">
      <c r="A2182" s="58" t="s">
        <v>283</v>
      </c>
      <c r="B2182" s="58" t="s">
        <v>176</v>
      </c>
      <c r="C2182" s="58">
        <v>6</v>
      </c>
      <c r="D2182" s="58">
        <v>109</v>
      </c>
      <c r="E2182" s="59">
        <v>158.875</v>
      </c>
    </row>
    <row r="2183" spans="1:5" ht="15" x14ac:dyDescent="0.35">
      <c r="A2183" s="58" t="s">
        <v>283</v>
      </c>
      <c r="B2183" s="58" t="s">
        <v>176</v>
      </c>
      <c r="C2183" s="58">
        <v>7</v>
      </c>
      <c r="D2183" s="58">
        <v>110</v>
      </c>
      <c r="E2183" s="59">
        <v>158.875</v>
      </c>
    </row>
    <row r="2184" spans="1:5" ht="15" x14ac:dyDescent="0.35">
      <c r="A2184" s="58" t="s">
        <v>283</v>
      </c>
      <c r="B2184" s="58" t="s">
        <v>176</v>
      </c>
      <c r="C2184" s="58">
        <v>8</v>
      </c>
      <c r="D2184" s="58">
        <v>111</v>
      </c>
      <c r="E2184" s="59">
        <v>158.875</v>
      </c>
    </row>
    <row r="2185" spans="1:5" ht="15" x14ac:dyDescent="0.35">
      <c r="A2185" s="58" t="s">
        <v>283</v>
      </c>
      <c r="B2185" s="58" t="s">
        <v>176</v>
      </c>
      <c r="C2185" s="58">
        <v>9</v>
      </c>
      <c r="D2185" s="58">
        <v>112</v>
      </c>
      <c r="E2185" s="59">
        <v>158.875</v>
      </c>
    </row>
    <row r="2186" spans="1:5" ht="15" x14ac:dyDescent="0.35">
      <c r="A2186" s="58" t="s">
        <v>283</v>
      </c>
      <c r="B2186" s="58" t="s">
        <v>176</v>
      </c>
      <c r="C2186" s="58">
        <v>10</v>
      </c>
      <c r="D2186" s="58">
        <v>113</v>
      </c>
      <c r="E2186" s="59">
        <v>158.875</v>
      </c>
    </row>
    <row r="2187" spans="1:5" ht="15" x14ac:dyDescent="0.35">
      <c r="A2187" s="58" t="s">
        <v>283</v>
      </c>
      <c r="B2187" s="58" t="s">
        <v>176</v>
      </c>
      <c r="C2187" s="58">
        <v>11</v>
      </c>
      <c r="D2187" s="58">
        <v>114</v>
      </c>
      <c r="E2187" s="59">
        <v>158.875</v>
      </c>
    </row>
    <row r="2188" spans="1:5" ht="15" x14ac:dyDescent="0.35">
      <c r="A2188" s="58" t="s">
        <v>283</v>
      </c>
      <c r="B2188" s="58" t="s">
        <v>176</v>
      </c>
      <c r="C2188" s="58">
        <v>12</v>
      </c>
      <c r="D2188" s="58">
        <v>115</v>
      </c>
      <c r="E2188" s="59">
        <v>158.875</v>
      </c>
    </row>
    <row r="2189" spans="1:5" ht="15" x14ac:dyDescent="0.35">
      <c r="A2189" s="58" t="s">
        <v>283</v>
      </c>
      <c r="B2189" s="58" t="s">
        <v>172</v>
      </c>
      <c r="C2189" s="58">
        <v>1</v>
      </c>
      <c r="D2189" s="58">
        <v>104</v>
      </c>
      <c r="E2189" s="59">
        <v>53</v>
      </c>
    </row>
    <row r="2190" spans="1:5" ht="15" x14ac:dyDescent="0.35">
      <c r="A2190" s="58" t="s">
        <v>283</v>
      </c>
      <c r="B2190" s="58" t="s">
        <v>172</v>
      </c>
      <c r="C2190" s="58">
        <v>2</v>
      </c>
      <c r="D2190" s="58">
        <v>105</v>
      </c>
      <c r="E2190" s="59">
        <v>53</v>
      </c>
    </row>
    <row r="2191" spans="1:5" ht="15" x14ac:dyDescent="0.35">
      <c r="A2191" s="58" t="s">
        <v>283</v>
      </c>
      <c r="B2191" s="58" t="s">
        <v>172</v>
      </c>
      <c r="C2191" s="58">
        <v>3</v>
      </c>
      <c r="D2191" s="58">
        <v>106</v>
      </c>
      <c r="E2191" s="59">
        <v>53</v>
      </c>
    </row>
    <row r="2192" spans="1:5" ht="15" x14ac:dyDescent="0.35">
      <c r="A2192" s="58" t="s">
        <v>283</v>
      </c>
      <c r="B2192" s="58" t="s">
        <v>172</v>
      </c>
      <c r="C2192" s="58">
        <v>4</v>
      </c>
      <c r="D2192" s="58">
        <v>107</v>
      </c>
      <c r="E2192" s="59">
        <v>53</v>
      </c>
    </row>
    <row r="2193" spans="1:5" ht="15" x14ac:dyDescent="0.35">
      <c r="A2193" s="58" t="s">
        <v>283</v>
      </c>
      <c r="B2193" s="58" t="s">
        <v>172</v>
      </c>
      <c r="C2193" s="58">
        <v>5</v>
      </c>
      <c r="D2193" s="58">
        <v>108</v>
      </c>
      <c r="E2193" s="59">
        <v>53</v>
      </c>
    </row>
    <row r="2194" spans="1:5" ht="15" x14ac:dyDescent="0.35">
      <c r="A2194" s="58" t="s">
        <v>283</v>
      </c>
      <c r="B2194" s="58" t="s">
        <v>172</v>
      </c>
      <c r="C2194" s="58">
        <v>6</v>
      </c>
      <c r="D2194" s="58">
        <v>109</v>
      </c>
      <c r="E2194" s="59">
        <v>53</v>
      </c>
    </row>
    <row r="2195" spans="1:5" ht="15" x14ac:dyDescent="0.35">
      <c r="A2195" s="58" t="s">
        <v>283</v>
      </c>
      <c r="B2195" s="58" t="s">
        <v>172</v>
      </c>
      <c r="C2195" s="58">
        <v>7</v>
      </c>
      <c r="D2195" s="58">
        <v>110</v>
      </c>
      <c r="E2195" s="59">
        <v>53</v>
      </c>
    </row>
    <row r="2196" spans="1:5" ht="15" x14ac:dyDescent="0.35">
      <c r="A2196" s="58" t="s">
        <v>283</v>
      </c>
      <c r="B2196" s="58" t="s">
        <v>172</v>
      </c>
      <c r="C2196" s="58">
        <v>8</v>
      </c>
      <c r="D2196" s="58">
        <v>111</v>
      </c>
      <c r="E2196" s="59">
        <v>53</v>
      </c>
    </row>
    <row r="2197" spans="1:5" ht="15" x14ac:dyDescent="0.35">
      <c r="A2197" s="58" t="s">
        <v>283</v>
      </c>
      <c r="B2197" s="58" t="s">
        <v>172</v>
      </c>
      <c r="C2197" s="58">
        <v>9</v>
      </c>
      <c r="D2197" s="58">
        <v>112</v>
      </c>
      <c r="E2197" s="59">
        <v>53</v>
      </c>
    </row>
    <row r="2198" spans="1:5" ht="15" x14ac:dyDescent="0.35">
      <c r="A2198" s="58" t="s">
        <v>283</v>
      </c>
      <c r="B2198" s="58" t="s">
        <v>172</v>
      </c>
      <c r="C2198" s="58">
        <v>10</v>
      </c>
      <c r="D2198" s="58">
        <v>113</v>
      </c>
      <c r="E2198" s="59">
        <v>53</v>
      </c>
    </row>
    <row r="2199" spans="1:5" ht="15" x14ac:dyDescent="0.35">
      <c r="A2199" s="58" t="s">
        <v>283</v>
      </c>
      <c r="B2199" s="58" t="s">
        <v>172</v>
      </c>
      <c r="C2199" s="58">
        <v>11</v>
      </c>
      <c r="D2199" s="58">
        <v>114</v>
      </c>
      <c r="E2199" s="59">
        <v>53</v>
      </c>
    </row>
    <row r="2200" spans="1:5" ht="15" x14ac:dyDescent="0.35">
      <c r="A2200" s="58" t="s">
        <v>283</v>
      </c>
      <c r="B2200" s="58" t="s">
        <v>172</v>
      </c>
      <c r="C2200" s="58">
        <v>12</v>
      </c>
      <c r="D2200" s="58">
        <v>115</v>
      </c>
      <c r="E2200" s="59">
        <v>53</v>
      </c>
    </row>
    <row r="2201" spans="1:5" ht="15" x14ac:dyDescent="0.35">
      <c r="A2201" s="58" t="s">
        <v>283</v>
      </c>
      <c r="B2201" s="58" t="s">
        <v>180</v>
      </c>
      <c r="C2201" s="58">
        <v>1</v>
      </c>
      <c r="D2201" s="58">
        <v>104</v>
      </c>
      <c r="E2201" s="59">
        <v>145.6198</v>
      </c>
    </row>
    <row r="2202" spans="1:5" ht="15" x14ac:dyDescent="0.35">
      <c r="A2202" s="58" t="s">
        <v>283</v>
      </c>
      <c r="B2202" s="58" t="s">
        <v>180</v>
      </c>
      <c r="C2202" s="58">
        <v>2</v>
      </c>
      <c r="D2202" s="58">
        <v>105</v>
      </c>
      <c r="E2202" s="59">
        <v>145.6198</v>
      </c>
    </row>
    <row r="2203" spans="1:5" ht="15" x14ac:dyDescent="0.35">
      <c r="A2203" s="58" t="s">
        <v>283</v>
      </c>
      <c r="B2203" s="58" t="s">
        <v>180</v>
      </c>
      <c r="C2203" s="58">
        <v>3</v>
      </c>
      <c r="D2203" s="58">
        <v>106</v>
      </c>
      <c r="E2203" s="59">
        <v>145.6198</v>
      </c>
    </row>
    <row r="2204" spans="1:5" ht="15" x14ac:dyDescent="0.35">
      <c r="A2204" s="58" t="s">
        <v>283</v>
      </c>
      <c r="B2204" s="58" t="s">
        <v>180</v>
      </c>
      <c r="C2204" s="58">
        <v>4</v>
      </c>
      <c r="D2204" s="58">
        <v>107</v>
      </c>
      <c r="E2204" s="59">
        <v>145.6198</v>
      </c>
    </row>
    <row r="2205" spans="1:5" ht="15" x14ac:dyDescent="0.35">
      <c r="A2205" s="58" t="s">
        <v>283</v>
      </c>
      <c r="B2205" s="58" t="s">
        <v>180</v>
      </c>
      <c r="C2205" s="58">
        <v>5</v>
      </c>
      <c r="D2205" s="58">
        <v>108</v>
      </c>
      <c r="E2205" s="59">
        <v>145.6198</v>
      </c>
    </row>
    <row r="2206" spans="1:5" ht="15" x14ac:dyDescent="0.35">
      <c r="A2206" s="58" t="s">
        <v>283</v>
      </c>
      <c r="B2206" s="58" t="s">
        <v>180</v>
      </c>
      <c r="C2206" s="58">
        <v>6</v>
      </c>
      <c r="D2206" s="58">
        <v>109</v>
      </c>
      <c r="E2206" s="59">
        <v>145.6198</v>
      </c>
    </row>
    <row r="2207" spans="1:5" ht="15" x14ac:dyDescent="0.35">
      <c r="A2207" s="58" t="s">
        <v>283</v>
      </c>
      <c r="B2207" s="58" t="s">
        <v>180</v>
      </c>
      <c r="C2207" s="58">
        <v>7</v>
      </c>
      <c r="D2207" s="58">
        <v>110</v>
      </c>
      <c r="E2207" s="59">
        <v>145.6198</v>
      </c>
    </row>
    <row r="2208" spans="1:5" ht="15" x14ac:dyDescent="0.35">
      <c r="A2208" s="58" t="s">
        <v>283</v>
      </c>
      <c r="B2208" s="58" t="s">
        <v>180</v>
      </c>
      <c r="C2208" s="58">
        <v>8</v>
      </c>
      <c r="D2208" s="58">
        <v>111</v>
      </c>
      <c r="E2208" s="59">
        <v>145.6198</v>
      </c>
    </row>
    <row r="2209" spans="1:5" ht="15" x14ac:dyDescent="0.35">
      <c r="A2209" s="58" t="s">
        <v>283</v>
      </c>
      <c r="B2209" s="58" t="s">
        <v>180</v>
      </c>
      <c r="C2209" s="58">
        <v>9</v>
      </c>
      <c r="D2209" s="58">
        <v>112</v>
      </c>
      <c r="E2209" s="59">
        <v>145.6198</v>
      </c>
    </row>
    <row r="2210" spans="1:5" ht="15" x14ac:dyDescent="0.35">
      <c r="A2210" s="58" t="s">
        <v>283</v>
      </c>
      <c r="B2210" s="58" t="s">
        <v>180</v>
      </c>
      <c r="C2210" s="58">
        <v>10</v>
      </c>
      <c r="D2210" s="58">
        <v>113</v>
      </c>
      <c r="E2210" s="59">
        <v>145.6198</v>
      </c>
    </row>
    <row r="2211" spans="1:5" ht="15" x14ac:dyDescent="0.35">
      <c r="A2211" s="58" t="s">
        <v>283</v>
      </c>
      <c r="B2211" s="58" t="s">
        <v>180</v>
      </c>
      <c r="C2211" s="58">
        <v>11</v>
      </c>
      <c r="D2211" s="58">
        <v>114</v>
      </c>
      <c r="E2211" s="59">
        <v>145.6198</v>
      </c>
    </row>
    <row r="2212" spans="1:5" ht="15" x14ac:dyDescent="0.35">
      <c r="A2212" s="58" t="s">
        <v>283</v>
      </c>
      <c r="B2212" s="58" t="s">
        <v>180</v>
      </c>
      <c r="C2212" s="58">
        <v>12</v>
      </c>
      <c r="D2212" s="58">
        <v>115</v>
      </c>
      <c r="E2212" s="59">
        <v>145.6198</v>
      </c>
    </row>
    <row r="2213" spans="1:5" ht="15" x14ac:dyDescent="0.35">
      <c r="A2213" s="58" t="s">
        <v>344</v>
      </c>
      <c r="B2213" s="58" t="s">
        <v>182</v>
      </c>
      <c r="C2213" s="58">
        <v>1</v>
      </c>
      <c r="D2213" s="58">
        <v>104</v>
      </c>
      <c r="E2213" s="59">
        <v>97.239400000000003</v>
      </c>
    </row>
    <row r="2214" spans="1:5" ht="15" x14ac:dyDescent="0.35">
      <c r="A2214" s="58" t="s">
        <v>344</v>
      </c>
      <c r="B2214" s="58" t="s">
        <v>182</v>
      </c>
      <c r="C2214" s="58">
        <v>2</v>
      </c>
      <c r="D2214" s="58">
        <v>105</v>
      </c>
      <c r="E2214" s="59">
        <v>60.532800000000002</v>
      </c>
    </row>
    <row r="2215" spans="1:5" ht="15" x14ac:dyDescent="0.35">
      <c r="A2215" s="58" t="s">
        <v>344</v>
      </c>
      <c r="B2215" s="58" t="s">
        <v>182</v>
      </c>
      <c r="C2215" s="58">
        <v>3</v>
      </c>
      <c r="D2215" s="58">
        <v>106</v>
      </c>
      <c r="E2215" s="59">
        <v>49.015099999999997</v>
      </c>
    </row>
    <row r="2216" spans="1:5" ht="15" x14ac:dyDescent="0.35">
      <c r="A2216" s="58" t="s">
        <v>344</v>
      </c>
      <c r="B2216" s="58" t="s">
        <v>182</v>
      </c>
      <c r="C2216" s="58">
        <v>4</v>
      </c>
      <c r="D2216" s="58">
        <v>107</v>
      </c>
      <c r="E2216" s="59">
        <v>63.764099999999999</v>
      </c>
    </row>
    <row r="2217" spans="1:5" ht="15" x14ac:dyDescent="0.35">
      <c r="A2217" s="58" t="s">
        <v>344</v>
      </c>
      <c r="B2217" s="58" t="s">
        <v>182</v>
      </c>
      <c r="C2217" s="58">
        <v>5</v>
      </c>
      <c r="D2217" s="58">
        <v>108</v>
      </c>
      <c r="E2217" s="59">
        <v>59.429699999999997</v>
      </c>
    </row>
    <row r="2218" spans="1:5" ht="15" x14ac:dyDescent="0.35">
      <c r="A2218" s="58" t="s">
        <v>344</v>
      </c>
      <c r="B2218" s="58" t="s">
        <v>182</v>
      </c>
      <c r="C2218" s="58">
        <v>6</v>
      </c>
      <c r="D2218" s="58">
        <v>109</v>
      </c>
      <c r="E2218" s="59">
        <v>56.1509</v>
      </c>
    </row>
    <row r="2219" spans="1:5" ht="15" x14ac:dyDescent="0.35">
      <c r="A2219" s="58" t="s">
        <v>344</v>
      </c>
      <c r="B2219" s="58" t="s">
        <v>182</v>
      </c>
      <c r="C2219" s="58">
        <v>7</v>
      </c>
      <c r="D2219" s="58">
        <v>110</v>
      </c>
      <c r="E2219" s="59">
        <v>54.177599999999998</v>
      </c>
    </row>
    <row r="2220" spans="1:5" ht="15" x14ac:dyDescent="0.35">
      <c r="A2220" s="58" t="s">
        <v>344</v>
      </c>
      <c r="B2220" s="58" t="s">
        <v>182</v>
      </c>
      <c r="C2220" s="58">
        <v>8</v>
      </c>
      <c r="D2220" s="58">
        <v>111</v>
      </c>
      <c r="E2220" s="59">
        <v>48.537700000000001</v>
      </c>
    </row>
    <row r="2221" spans="1:5" ht="15" x14ac:dyDescent="0.35">
      <c r="A2221" s="58" t="s">
        <v>344</v>
      </c>
      <c r="B2221" s="58" t="s">
        <v>182</v>
      </c>
      <c r="C2221" s="58">
        <v>9</v>
      </c>
      <c r="D2221" s="58">
        <v>112</v>
      </c>
      <c r="E2221" s="59">
        <v>68.008899999999997</v>
      </c>
    </row>
    <row r="2222" spans="1:5" ht="15" x14ac:dyDescent="0.35">
      <c r="A2222" s="58" t="s">
        <v>344</v>
      </c>
      <c r="B2222" s="58" t="s">
        <v>182</v>
      </c>
      <c r="C2222" s="58">
        <v>10</v>
      </c>
      <c r="D2222" s="58">
        <v>113</v>
      </c>
      <c r="E2222" s="59">
        <v>72.702299999999994</v>
      </c>
    </row>
    <row r="2223" spans="1:5" ht="15" x14ac:dyDescent="0.35">
      <c r="A2223" s="58" t="s">
        <v>344</v>
      </c>
      <c r="B2223" s="58" t="s">
        <v>182</v>
      </c>
      <c r="C2223" s="58">
        <v>11</v>
      </c>
      <c r="D2223" s="58">
        <v>114</v>
      </c>
      <c r="E2223" s="59">
        <v>62.951300000000003</v>
      </c>
    </row>
    <row r="2224" spans="1:5" ht="15" x14ac:dyDescent="0.35">
      <c r="A2224" s="58" t="s">
        <v>344</v>
      </c>
      <c r="B2224" s="58" t="s">
        <v>182</v>
      </c>
      <c r="C2224" s="58">
        <v>12</v>
      </c>
      <c r="D2224" s="58">
        <v>115</v>
      </c>
      <c r="E2224" s="59">
        <v>67.866900000000001</v>
      </c>
    </row>
    <row r="2225" spans="1:5" ht="15" x14ac:dyDescent="0.35">
      <c r="A2225" s="58" t="s">
        <v>344</v>
      </c>
      <c r="B2225" s="58" t="s">
        <v>176</v>
      </c>
      <c r="C2225" s="58">
        <v>1</v>
      </c>
      <c r="D2225" s="58">
        <v>104</v>
      </c>
      <c r="E2225" s="59">
        <v>103.5</v>
      </c>
    </row>
    <row r="2226" spans="1:5" ht="15" x14ac:dyDescent="0.35">
      <c r="A2226" s="58" t="s">
        <v>344</v>
      </c>
      <c r="B2226" s="58" t="s">
        <v>176</v>
      </c>
      <c r="C2226" s="58">
        <v>2</v>
      </c>
      <c r="D2226" s="58">
        <v>105</v>
      </c>
      <c r="E2226" s="59">
        <v>103.5</v>
      </c>
    </row>
    <row r="2227" spans="1:5" ht="15" x14ac:dyDescent="0.35">
      <c r="A2227" s="58" t="s">
        <v>344</v>
      </c>
      <c r="B2227" s="58" t="s">
        <v>176</v>
      </c>
      <c r="C2227" s="58">
        <v>3</v>
      </c>
      <c r="D2227" s="58">
        <v>106</v>
      </c>
      <c r="E2227" s="59">
        <v>103.5</v>
      </c>
    </row>
    <row r="2228" spans="1:5" ht="15" x14ac:dyDescent="0.35">
      <c r="A2228" s="58" t="s">
        <v>344</v>
      </c>
      <c r="B2228" s="58" t="s">
        <v>176</v>
      </c>
      <c r="C2228" s="58">
        <v>4</v>
      </c>
      <c r="D2228" s="58">
        <v>107</v>
      </c>
      <c r="E2228" s="59">
        <v>103.5</v>
      </c>
    </row>
    <row r="2229" spans="1:5" ht="15" x14ac:dyDescent="0.35">
      <c r="A2229" s="58" t="s">
        <v>344</v>
      </c>
      <c r="B2229" s="58" t="s">
        <v>176</v>
      </c>
      <c r="C2229" s="58">
        <v>5</v>
      </c>
      <c r="D2229" s="58">
        <v>108</v>
      </c>
      <c r="E2229" s="59">
        <v>103.5</v>
      </c>
    </row>
    <row r="2230" spans="1:5" ht="15" x14ac:dyDescent="0.35">
      <c r="A2230" s="58" t="s">
        <v>344</v>
      </c>
      <c r="B2230" s="58" t="s">
        <v>176</v>
      </c>
      <c r="C2230" s="58">
        <v>6</v>
      </c>
      <c r="D2230" s="58">
        <v>109</v>
      </c>
      <c r="E2230" s="59">
        <v>103.5</v>
      </c>
    </row>
    <row r="2231" spans="1:5" ht="15" x14ac:dyDescent="0.35">
      <c r="A2231" s="58" t="s">
        <v>344</v>
      </c>
      <c r="B2231" s="58" t="s">
        <v>176</v>
      </c>
      <c r="C2231" s="58">
        <v>7</v>
      </c>
      <c r="D2231" s="58">
        <v>110</v>
      </c>
      <c r="E2231" s="59">
        <v>103.5</v>
      </c>
    </row>
    <row r="2232" spans="1:5" ht="15" x14ac:dyDescent="0.35">
      <c r="A2232" s="58" t="s">
        <v>344</v>
      </c>
      <c r="B2232" s="58" t="s">
        <v>176</v>
      </c>
      <c r="C2232" s="58">
        <v>8</v>
      </c>
      <c r="D2232" s="58">
        <v>111</v>
      </c>
      <c r="E2232" s="59">
        <v>103.5</v>
      </c>
    </row>
    <row r="2233" spans="1:5" ht="15" x14ac:dyDescent="0.35">
      <c r="A2233" s="58" t="s">
        <v>344</v>
      </c>
      <c r="B2233" s="58" t="s">
        <v>176</v>
      </c>
      <c r="C2233" s="58">
        <v>9</v>
      </c>
      <c r="D2233" s="58">
        <v>112</v>
      </c>
      <c r="E2233" s="59">
        <v>103.5</v>
      </c>
    </row>
    <row r="2234" spans="1:5" ht="15" x14ac:dyDescent="0.35">
      <c r="A2234" s="58" t="s">
        <v>344</v>
      </c>
      <c r="B2234" s="58" t="s">
        <v>176</v>
      </c>
      <c r="C2234" s="58">
        <v>10</v>
      </c>
      <c r="D2234" s="58">
        <v>113</v>
      </c>
      <c r="E2234" s="59">
        <v>103.5</v>
      </c>
    </row>
    <row r="2235" spans="1:5" ht="15" x14ac:dyDescent="0.35">
      <c r="A2235" s="58" t="s">
        <v>344</v>
      </c>
      <c r="B2235" s="58" t="s">
        <v>176</v>
      </c>
      <c r="C2235" s="58">
        <v>11</v>
      </c>
      <c r="D2235" s="58">
        <v>114</v>
      </c>
      <c r="E2235" s="59">
        <v>103.5</v>
      </c>
    </row>
    <row r="2236" spans="1:5" ht="15" x14ac:dyDescent="0.35">
      <c r="A2236" s="58" t="s">
        <v>344</v>
      </c>
      <c r="B2236" s="58" t="s">
        <v>176</v>
      </c>
      <c r="C2236" s="58">
        <v>12</v>
      </c>
      <c r="D2236" s="58">
        <v>115</v>
      </c>
      <c r="E2236" s="59">
        <v>103.5</v>
      </c>
    </row>
    <row r="2237" spans="1:5" ht="15" x14ac:dyDescent="0.35">
      <c r="A2237" s="58" t="s">
        <v>344</v>
      </c>
      <c r="B2237" s="58" t="s">
        <v>172</v>
      </c>
      <c r="C2237" s="58">
        <v>1</v>
      </c>
      <c r="D2237" s="58">
        <v>104</v>
      </c>
      <c r="E2237" s="59">
        <v>81</v>
      </c>
    </row>
    <row r="2238" spans="1:5" ht="15" x14ac:dyDescent="0.35">
      <c r="A2238" s="58" t="s">
        <v>344</v>
      </c>
      <c r="B2238" s="58" t="s">
        <v>172</v>
      </c>
      <c r="C2238" s="58">
        <v>2</v>
      </c>
      <c r="D2238" s="58">
        <v>105</v>
      </c>
      <c r="E2238" s="59">
        <v>81</v>
      </c>
    </row>
    <row r="2239" spans="1:5" ht="15" x14ac:dyDescent="0.35">
      <c r="A2239" s="58" t="s">
        <v>344</v>
      </c>
      <c r="B2239" s="58" t="s">
        <v>172</v>
      </c>
      <c r="C2239" s="58">
        <v>3</v>
      </c>
      <c r="D2239" s="58">
        <v>106</v>
      </c>
      <c r="E2239" s="59">
        <v>81</v>
      </c>
    </row>
    <row r="2240" spans="1:5" ht="15" x14ac:dyDescent="0.35">
      <c r="A2240" s="58" t="s">
        <v>344</v>
      </c>
      <c r="B2240" s="58" t="s">
        <v>172</v>
      </c>
      <c r="C2240" s="58">
        <v>4</v>
      </c>
      <c r="D2240" s="58">
        <v>107</v>
      </c>
      <c r="E2240" s="59">
        <v>81</v>
      </c>
    </row>
    <row r="2241" spans="1:5" ht="15" x14ac:dyDescent="0.35">
      <c r="A2241" s="58" t="s">
        <v>344</v>
      </c>
      <c r="B2241" s="58" t="s">
        <v>172</v>
      </c>
      <c r="C2241" s="58">
        <v>5</v>
      </c>
      <c r="D2241" s="58">
        <v>108</v>
      </c>
      <c r="E2241" s="59">
        <v>81</v>
      </c>
    </row>
    <row r="2242" spans="1:5" ht="15" x14ac:dyDescent="0.35">
      <c r="A2242" s="58" t="s">
        <v>344</v>
      </c>
      <c r="B2242" s="58" t="s">
        <v>172</v>
      </c>
      <c r="C2242" s="58">
        <v>6</v>
      </c>
      <c r="D2242" s="58">
        <v>109</v>
      </c>
      <c r="E2242" s="59">
        <v>81</v>
      </c>
    </row>
    <row r="2243" spans="1:5" ht="15" x14ac:dyDescent="0.35">
      <c r="A2243" s="58" t="s">
        <v>344</v>
      </c>
      <c r="B2243" s="58" t="s">
        <v>172</v>
      </c>
      <c r="C2243" s="58">
        <v>7</v>
      </c>
      <c r="D2243" s="58">
        <v>110</v>
      </c>
      <c r="E2243" s="59">
        <v>81</v>
      </c>
    </row>
    <row r="2244" spans="1:5" ht="15" x14ac:dyDescent="0.35">
      <c r="A2244" s="58" t="s">
        <v>344</v>
      </c>
      <c r="B2244" s="58" t="s">
        <v>172</v>
      </c>
      <c r="C2244" s="58">
        <v>8</v>
      </c>
      <c r="D2244" s="58">
        <v>111</v>
      </c>
      <c r="E2244" s="59">
        <v>81</v>
      </c>
    </row>
    <row r="2245" spans="1:5" ht="15" x14ac:dyDescent="0.35">
      <c r="A2245" s="58" t="s">
        <v>344</v>
      </c>
      <c r="B2245" s="58" t="s">
        <v>172</v>
      </c>
      <c r="C2245" s="58">
        <v>9</v>
      </c>
      <c r="D2245" s="58">
        <v>112</v>
      </c>
      <c r="E2245" s="59">
        <v>81</v>
      </c>
    </row>
    <row r="2246" spans="1:5" ht="15" x14ac:dyDescent="0.35">
      <c r="A2246" s="58" t="s">
        <v>344</v>
      </c>
      <c r="B2246" s="58" t="s">
        <v>172</v>
      </c>
      <c r="C2246" s="58">
        <v>10</v>
      </c>
      <c r="D2246" s="58">
        <v>113</v>
      </c>
      <c r="E2246" s="59">
        <v>81</v>
      </c>
    </row>
    <row r="2247" spans="1:5" ht="15" x14ac:dyDescent="0.35">
      <c r="A2247" s="58" t="s">
        <v>344</v>
      </c>
      <c r="B2247" s="58" t="s">
        <v>172</v>
      </c>
      <c r="C2247" s="58">
        <v>11</v>
      </c>
      <c r="D2247" s="58">
        <v>114</v>
      </c>
      <c r="E2247" s="59">
        <v>81</v>
      </c>
    </row>
    <row r="2248" spans="1:5" ht="15" x14ac:dyDescent="0.35">
      <c r="A2248" s="58" t="s">
        <v>344</v>
      </c>
      <c r="B2248" s="58" t="s">
        <v>172</v>
      </c>
      <c r="C2248" s="58">
        <v>12</v>
      </c>
      <c r="D2248" s="58">
        <v>115</v>
      </c>
      <c r="E2248" s="59">
        <v>81</v>
      </c>
    </row>
    <row r="2249" spans="1:5" ht="15" x14ac:dyDescent="0.35">
      <c r="A2249" s="58" t="s">
        <v>344</v>
      </c>
      <c r="B2249" s="58" t="s">
        <v>180</v>
      </c>
      <c r="C2249" s="58">
        <v>1</v>
      </c>
      <c r="D2249" s="58">
        <v>104</v>
      </c>
      <c r="E2249" s="59">
        <v>135.15710000000001</v>
      </c>
    </row>
    <row r="2250" spans="1:5" ht="15" x14ac:dyDescent="0.35">
      <c r="A2250" s="58" t="s">
        <v>344</v>
      </c>
      <c r="B2250" s="58" t="s">
        <v>180</v>
      </c>
      <c r="C2250" s="58">
        <v>2</v>
      </c>
      <c r="D2250" s="58">
        <v>105</v>
      </c>
      <c r="E2250" s="59">
        <v>135.15710000000001</v>
      </c>
    </row>
    <row r="2251" spans="1:5" ht="15" x14ac:dyDescent="0.35">
      <c r="A2251" s="58" t="s">
        <v>344</v>
      </c>
      <c r="B2251" s="58" t="s">
        <v>180</v>
      </c>
      <c r="C2251" s="58">
        <v>3</v>
      </c>
      <c r="D2251" s="58">
        <v>106</v>
      </c>
      <c r="E2251" s="59">
        <v>135.15710000000001</v>
      </c>
    </row>
    <row r="2252" spans="1:5" ht="15" x14ac:dyDescent="0.35">
      <c r="A2252" s="58" t="s">
        <v>344</v>
      </c>
      <c r="B2252" s="58" t="s">
        <v>180</v>
      </c>
      <c r="C2252" s="58">
        <v>4</v>
      </c>
      <c r="D2252" s="58">
        <v>107</v>
      </c>
      <c r="E2252" s="59">
        <v>135.15710000000001</v>
      </c>
    </row>
    <row r="2253" spans="1:5" ht="15" x14ac:dyDescent="0.35">
      <c r="A2253" s="58" t="s">
        <v>344</v>
      </c>
      <c r="B2253" s="58" t="s">
        <v>180</v>
      </c>
      <c r="C2253" s="58">
        <v>5</v>
      </c>
      <c r="D2253" s="58">
        <v>108</v>
      </c>
      <c r="E2253" s="59">
        <v>135.15710000000001</v>
      </c>
    </row>
    <row r="2254" spans="1:5" ht="15" x14ac:dyDescent="0.35">
      <c r="A2254" s="58" t="s">
        <v>344</v>
      </c>
      <c r="B2254" s="58" t="s">
        <v>180</v>
      </c>
      <c r="C2254" s="58">
        <v>6</v>
      </c>
      <c r="D2254" s="58">
        <v>109</v>
      </c>
      <c r="E2254" s="59">
        <v>135.15710000000001</v>
      </c>
    </row>
    <row r="2255" spans="1:5" ht="15" x14ac:dyDescent="0.35">
      <c r="A2255" s="58" t="s">
        <v>344</v>
      </c>
      <c r="B2255" s="58" t="s">
        <v>180</v>
      </c>
      <c r="C2255" s="58">
        <v>7</v>
      </c>
      <c r="D2255" s="58">
        <v>110</v>
      </c>
      <c r="E2255" s="59">
        <v>135.15710000000001</v>
      </c>
    </row>
    <row r="2256" spans="1:5" ht="15" x14ac:dyDescent="0.35">
      <c r="A2256" s="58" t="s">
        <v>344</v>
      </c>
      <c r="B2256" s="58" t="s">
        <v>180</v>
      </c>
      <c r="C2256" s="58">
        <v>8</v>
      </c>
      <c r="D2256" s="58">
        <v>111</v>
      </c>
      <c r="E2256" s="59">
        <v>135.15710000000001</v>
      </c>
    </row>
    <row r="2257" spans="1:5" ht="15" x14ac:dyDescent="0.35">
      <c r="A2257" s="58" t="s">
        <v>344</v>
      </c>
      <c r="B2257" s="58" t="s">
        <v>180</v>
      </c>
      <c r="C2257" s="58">
        <v>9</v>
      </c>
      <c r="D2257" s="58">
        <v>112</v>
      </c>
      <c r="E2257" s="59">
        <v>135.15710000000001</v>
      </c>
    </row>
    <row r="2258" spans="1:5" ht="15" x14ac:dyDescent="0.35">
      <c r="A2258" s="58" t="s">
        <v>344</v>
      </c>
      <c r="B2258" s="58" t="s">
        <v>180</v>
      </c>
      <c r="C2258" s="58">
        <v>10</v>
      </c>
      <c r="D2258" s="58">
        <v>113</v>
      </c>
      <c r="E2258" s="59">
        <v>135.15710000000001</v>
      </c>
    </row>
    <row r="2259" spans="1:5" ht="15" x14ac:dyDescent="0.35">
      <c r="A2259" s="58" t="s">
        <v>344</v>
      </c>
      <c r="B2259" s="58" t="s">
        <v>180</v>
      </c>
      <c r="C2259" s="58">
        <v>11</v>
      </c>
      <c r="D2259" s="58">
        <v>114</v>
      </c>
      <c r="E2259" s="59">
        <v>135.15710000000001</v>
      </c>
    </row>
    <row r="2260" spans="1:5" ht="15" x14ac:dyDescent="0.35">
      <c r="A2260" s="58" t="s">
        <v>344</v>
      </c>
      <c r="B2260" s="58" t="s">
        <v>180</v>
      </c>
      <c r="C2260" s="58">
        <v>12</v>
      </c>
      <c r="D2260" s="58">
        <v>115</v>
      </c>
      <c r="E2260" s="59">
        <v>135.15710000000001</v>
      </c>
    </row>
    <row r="2261" spans="1:5" ht="15" x14ac:dyDescent="0.35">
      <c r="A2261" s="58" t="s">
        <v>262</v>
      </c>
      <c r="B2261" s="58" t="s">
        <v>182</v>
      </c>
      <c r="C2261" s="58">
        <v>1</v>
      </c>
      <c r="D2261" s="58">
        <v>104</v>
      </c>
      <c r="E2261" s="59">
        <v>202.57069999999999</v>
      </c>
    </row>
    <row r="2262" spans="1:5" ht="15" x14ac:dyDescent="0.35">
      <c r="A2262" s="58" t="s">
        <v>262</v>
      </c>
      <c r="B2262" s="58" t="s">
        <v>182</v>
      </c>
      <c r="C2262" s="58">
        <v>2</v>
      </c>
      <c r="D2262" s="58">
        <v>105</v>
      </c>
      <c r="E2262" s="59">
        <v>114.4004</v>
      </c>
    </row>
    <row r="2263" spans="1:5" ht="15" x14ac:dyDescent="0.35">
      <c r="A2263" s="58" t="s">
        <v>262</v>
      </c>
      <c r="B2263" s="58" t="s">
        <v>182</v>
      </c>
      <c r="C2263" s="58">
        <v>3</v>
      </c>
      <c r="D2263" s="58">
        <v>106</v>
      </c>
      <c r="E2263" s="59">
        <v>129.119</v>
      </c>
    </row>
    <row r="2264" spans="1:5" ht="15" x14ac:dyDescent="0.35">
      <c r="A2264" s="58" t="s">
        <v>262</v>
      </c>
      <c r="B2264" s="58" t="s">
        <v>182</v>
      </c>
      <c r="C2264" s="58">
        <v>4</v>
      </c>
      <c r="D2264" s="58">
        <v>107</v>
      </c>
      <c r="E2264" s="59">
        <v>127.79</v>
      </c>
    </row>
    <row r="2265" spans="1:5" ht="15" x14ac:dyDescent="0.35">
      <c r="A2265" s="58" t="s">
        <v>262</v>
      </c>
      <c r="B2265" s="58" t="s">
        <v>182</v>
      </c>
      <c r="C2265" s="58">
        <v>5</v>
      </c>
      <c r="D2265" s="58">
        <v>108</v>
      </c>
      <c r="E2265" s="59">
        <v>129.93119999999999</v>
      </c>
    </row>
    <row r="2266" spans="1:5" ht="15" x14ac:dyDescent="0.35">
      <c r="A2266" s="58" t="s">
        <v>262</v>
      </c>
      <c r="B2266" s="58" t="s">
        <v>182</v>
      </c>
      <c r="C2266" s="58">
        <v>6</v>
      </c>
      <c r="D2266" s="58">
        <v>109</v>
      </c>
      <c r="E2266" s="59">
        <v>133.38589999999999</v>
      </c>
    </row>
    <row r="2267" spans="1:5" ht="15" x14ac:dyDescent="0.35">
      <c r="A2267" s="58" t="s">
        <v>262</v>
      </c>
      <c r="B2267" s="58" t="s">
        <v>182</v>
      </c>
      <c r="C2267" s="58">
        <v>7</v>
      </c>
      <c r="D2267" s="58">
        <v>110</v>
      </c>
      <c r="E2267" s="59">
        <v>117.54900000000001</v>
      </c>
    </row>
    <row r="2268" spans="1:5" ht="15" x14ac:dyDescent="0.35">
      <c r="A2268" s="58" t="s">
        <v>262</v>
      </c>
      <c r="B2268" s="58" t="s">
        <v>182</v>
      </c>
      <c r="C2268" s="58">
        <v>8</v>
      </c>
      <c r="D2268" s="58">
        <v>111</v>
      </c>
      <c r="E2268" s="59">
        <v>104.4898</v>
      </c>
    </row>
    <row r="2269" spans="1:5" ht="15" x14ac:dyDescent="0.35">
      <c r="A2269" s="58" t="s">
        <v>262</v>
      </c>
      <c r="B2269" s="58" t="s">
        <v>182</v>
      </c>
      <c r="C2269" s="58">
        <v>9</v>
      </c>
      <c r="D2269" s="58">
        <v>112</v>
      </c>
      <c r="E2269" s="59">
        <v>127.31950000000001</v>
      </c>
    </row>
    <row r="2270" spans="1:5" ht="15" x14ac:dyDescent="0.35">
      <c r="A2270" s="58" t="s">
        <v>262</v>
      </c>
      <c r="B2270" s="58" t="s">
        <v>182</v>
      </c>
      <c r="C2270" s="58">
        <v>10</v>
      </c>
      <c r="D2270" s="58">
        <v>113</v>
      </c>
      <c r="E2270" s="59">
        <v>150.59370000000001</v>
      </c>
    </row>
    <row r="2271" spans="1:5" ht="15" x14ac:dyDescent="0.35">
      <c r="A2271" s="58" t="s">
        <v>262</v>
      </c>
      <c r="B2271" s="58" t="s">
        <v>182</v>
      </c>
      <c r="C2271" s="58">
        <v>11</v>
      </c>
      <c r="D2271" s="58">
        <v>114</v>
      </c>
      <c r="E2271" s="59">
        <v>161.42339999999999</v>
      </c>
    </row>
    <row r="2272" spans="1:5" ht="15" x14ac:dyDescent="0.35">
      <c r="A2272" s="58" t="s">
        <v>262</v>
      </c>
      <c r="B2272" s="58" t="s">
        <v>182</v>
      </c>
      <c r="C2272" s="58">
        <v>12</v>
      </c>
      <c r="D2272" s="58">
        <v>115</v>
      </c>
      <c r="E2272" s="59">
        <v>171.142</v>
      </c>
    </row>
    <row r="2273" spans="1:5" ht="15" x14ac:dyDescent="0.35">
      <c r="A2273" s="58" t="s">
        <v>262</v>
      </c>
      <c r="B2273" s="58" t="s">
        <v>176</v>
      </c>
      <c r="C2273" s="58">
        <v>1</v>
      </c>
      <c r="D2273" s="58">
        <v>104</v>
      </c>
      <c r="E2273" s="59">
        <v>260.125</v>
      </c>
    </row>
    <row r="2274" spans="1:5" ht="15" x14ac:dyDescent="0.35">
      <c r="A2274" s="58" t="s">
        <v>262</v>
      </c>
      <c r="B2274" s="58" t="s">
        <v>176</v>
      </c>
      <c r="C2274" s="58">
        <v>2</v>
      </c>
      <c r="D2274" s="58">
        <v>105</v>
      </c>
      <c r="E2274" s="59">
        <v>260.125</v>
      </c>
    </row>
    <row r="2275" spans="1:5" ht="15" x14ac:dyDescent="0.35">
      <c r="A2275" s="58" t="s">
        <v>262</v>
      </c>
      <c r="B2275" s="58" t="s">
        <v>176</v>
      </c>
      <c r="C2275" s="58">
        <v>3</v>
      </c>
      <c r="D2275" s="58">
        <v>106</v>
      </c>
      <c r="E2275" s="59">
        <v>260.125</v>
      </c>
    </row>
    <row r="2276" spans="1:5" ht="15" x14ac:dyDescent="0.35">
      <c r="A2276" s="58" t="s">
        <v>262</v>
      </c>
      <c r="B2276" s="58" t="s">
        <v>176</v>
      </c>
      <c r="C2276" s="58">
        <v>4</v>
      </c>
      <c r="D2276" s="58">
        <v>107</v>
      </c>
      <c r="E2276" s="59">
        <v>260.125</v>
      </c>
    </row>
    <row r="2277" spans="1:5" ht="15" x14ac:dyDescent="0.35">
      <c r="A2277" s="58" t="s">
        <v>262</v>
      </c>
      <c r="B2277" s="58" t="s">
        <v>176</v>
      </c>
      <c r="C2277" s="58">
        <v>5</v>
      </c>
      <c r="D2277" s="58">
        <v>108</v>
      </c>
      <c r="E2277" s="59">
        <v>260.125</v>
      </c>
    </row>
    <row r="2278" spans="1:5" ht="15" x14ac:dyDescent="0.35">
      <c r="A2278" s="58" t="s">
        <v>262</v>
      </c>
      <c r="B2278" s="58" t="s">
        <v>176</v>
      </c>
      <c r="C2278" s="58">
        <v>6</v>
      </c>
      <c r="D2278" s="58">
        <v>109</v>
      </c>
      <c r="E2278" s="59">
        <v>260.125</v>
      </c>
    </row>
    <row r="2279" spans="1:5" ht="15" x14ac:dyDescent="0.35">
      <c r="A2279" s="58" t="s">
        <v>262</v>
      </c>
      <c r="B2279" s="58" t="s">
        <v>176</v>
      </c>
      <c r="C2279" s="58">
        <v>7</v>
      </c>
      <c r="D2279" s="58">
        <v>110</v>
      </c>
      <c r="E2279" s="59">
        <v>260.125</v>
      </c>
    </row>
    <row r="2280" spans="1:5" ht="15" x14ac:dyDescent="0.35">
      <c r="A2280" s="58" t="s">
        <v>262</v>
      </c>
      <c r="B2280" s="58" t="s">
        <v>176</v>
      </c>
      <c r="C2280" s="58">
        <v>8</v>
      </c>
      <c r="D2280" s="58">
        <v>111</v>
      </c>
      <c r="E2280" s="59">
        <v>260.125</v>
      </c>
    </row>
    <row r="2281" spans="1:5" ht="15" x14ac:dyDescent="0.35">
      <c r="A2281" s="58" t="s">
        <v>262</v>
      </c>
      <c r="B2281" s="58" t="s">
        <v>176</v>
      </c>
      <c r="C2281" s="58">
        <v>9</v>
      </c>
      <c r="D2281" s="58">
        <v>112</v>
      </c>
      <c r="E2281" s="59">
        <v>260.125</v>
      </c>
    </row>
    <row r="2282" spans="1:5" ht="15" x14ac:dyDescent="0.35">
      <c r="A2282" s="58" t="s">
        <v>262</v>
      </c>
      <c r="B2282" s="58" t="s">
        <v>176</v>
      </c>
      <c r="C2282" s="58">
        <v>10</v>
      </c>
      <c r="D2282" s="58">
        <v>113</v>
      </c>
      <c r="E2282" s="59">
        <v>260.125</v>
      </c>
    </row>
    <row r="2283" spans="1:5" ht="15" x14ac:dyDescent="0.35">
      <c r="A2283" s="58" t="s">
        <v>262</v>
      </c>
      <c r="B2283" s="58" t="s">
        <v>176</v>
      </c>
      <c r="C2283" s="58">
        <v>11</v>
      </c>
      <c r="D2283" s="58">
        <v>114</v>
      </c>
      <c r="E2283" s="59">
        <v>260.125</v>
      </c>
    </row>
    <row r="2284" spans="1:5" ht="15" x14ac:dyDescent="0.35">
      <c r="A2284" s="58" t="s">
        <v>262</v>
      </c>
      <c r="B2284" s="58" t="s">
        <v>176</v>
      </c>
      <c r="C2284" s="58">
        <v>12</v>
      </c>
      <c r="D2284" s="58">
        <v>115</v>
      </c>
      <c r="E2284" s="59">
        <v>260.125</v>
      </c>
    </row>
    <row r="2285" spans="1:5" ht="15" x14ac:dyDescent="0.35">
      <c r="A2285" s="58" t="s">
        <v>262</v>
      </c>
      <c r="B2285" s="58" t="s">
        <v>172</v>
      </c>
      <c r="C2285" s="58">
        <v>1</v>
      </c>
      <c r="D2285" s="58">
        <v>104</v>
      </c>
      <c r="E2285" s="59">
        <v>212</v>
      </c>
    </row>
    <row r="2286" spans="1:5" ht="15" x14ac:dyDescent="0.35">
      <c r="A2286" s="58" t="s">
        <v>262</v>
      </c>
      <c r="B2286" s="58" t="s">
        <v>172</v>
      </c>
      <c r="C2286" s="58">
        <v>2</v>
      </c>
      <c r="D2286" s="58">
        <v>105</v>
      </c>
      <c r="E2286" s="59">
        <v>212</v>
      </c>
    </row>
    <row r="2287" spans="1:5" ht="15" x14ac:dyDescent="0.35">
      <c r="A2287" s="58" t="s">
        <v>262</v>
      </c>
      <c r="B2287" s="58" t="s">
        <v>172</v>
      </c>
      <c r="C2287" s="58">
        <v>3</v>
      </c>
      <c r="D2287" s="58">
        <v>106</v>
      </c>
      <c r="E2287" s="59">
        <v>212</v>
      </c>
    </row>
    <row r="2288" spans="1:5" ht="15" x14ac:dyDescent="0.35">
      <c r="A2288" s="58" t="s">
        <v>262</v>
      </c>
      <c r="B2288" s="58" t="s">
        <v>172</v>
      </c>
      <c r="C2288" s="58">
        <v>4</v>
      </c>
      <c r="D2288" s="58">
        <v>107</v>
      </c>
      <c r="E2288" s="59">
        <v>212</v>
      </c>
    </row>
    <row r="2289" spans="1:5" ht="15" x14ac:dyDescent="0.35">
      <c r="A2289" s="58" t="s">
        <v>262</v>
      </c>
      <c r="B2289" s="58" t="s">
        <v>172</v>
      </c>
      <c r="C2289" s="58">
        <v>5</v>
      </c>
      <c r="D2289" s="58">
        <v>108</v>
      </c>
      <c r="E2289" s="59">
        <v>212</v>
      </c>
    </row>
    <row r="2290" spans="1:5" ht="15" x14ac:dyDescent="0.35">
      <c r="A2290" s="58" t="s">
        <v>262</v>
      </c>
      <c r="B2290" s="58" t="s">
        <v>172</v>
      </c>
      <c r="C2290" s="58">
        <v>6</v>
      </c>
      <c r="D2290" s="58">
        <v>109</v>
      </c>
      <c r="E2290" s="59">
        <v>212</v>
      </c>
    </row>
    <row r="2291" spans="1:5" ht="15" x14ac:dyDescent="0.35">
      <c r="A2291" s="58" t="s">
        <v>262</v>
      </c>
      <c r="B2291" s="58" t="s">
        <v>172</v>
      </c>
      <c r="C2291" s="58">
        <v>7</v>
      </c>
      <c r="D2291" s="58">
        <v>110</v>
      </c>
      <c r="E2291" s="59">
        <v>212</v>
      </c>
    </row>
    <row r="2292" spans="1:5" ht="15" x14ac:dyDescent="0.35">
      <c r="A2292" s="58" t="s">
        <v>262</v>
      </c>
      <c r="B2292" s="58" t="s">
        <v>172</v>
      </c>
      <c r="C2292" s="58">
        <v>8</v>
      </c>
      <c r="D2292" s="58">
        <v>111</v>
      </c>
      <c r="E2292" s="59">
        <v>212</v>
      </c>
    </row>
    <row r="2293" spans="1:5" ht="15" x14ac:dyDescent="0.35">
      <c r="A2293" s="58" t="s">
        <v>262</v>
      </c>
      <c r="B2293" s="58" t="s">
        <v>172</v>
      </c>
      <c r="C2293" s="58">
        <v>9</v>
      </c>
      <c r="D2293" s="58">
        <v>112</v>
      </c>
      <c r="E2293" s="59">
        <v>212</v>
      </c>
    </row>
    <row r="2294" spans="1:5" ht="15" x14ac:dyDescent="0.35">
      <c r="A2294" s="58" t="s">
        <v>262</v>
      </c>
      <c r="B2294" s="58" t="s">
        <v>172</v>
      </c>
      <c r="C2294" s="58">
        <v>10</v>
      </c>
      <c r="D2294" s="58">
        <v>113</v>
      </c>
      <c r="E2294" s="59">
        <v>212</v>
      </c>
    </row>
    <row r="2295" spans="1:5" ht="15" x14ac:dyDescent="0.35">
      <c r="A2295" s="58" t="s">
        <v>262</v>
      </c>
      <c r="B2295" s="58" t="s">
        <v>172</v>
      </c>
      <c r="C2295" s="58">
        <v>11</v>
      </c>
      <c r="D2295" s="58">
        <v>114</v>
      </c>
      <c r="E2295" s="59">
        <v>212</v>
      </c>
    </row>
    <row r="2296" spans="1:5" ht="15" x14ac:dyDescent="0.35">
      <c r="A2296" s="58" t="s">
        <v>262</v>
      </c>
      <c r="B2296" s="58" t="s">
        <v>172</v>
      </c>
      <c r="C2296" s="58">
        <v>12</v>
      </c>
      <c r="D2296" s="58">
        <v>115</v>
      </c>
      <c r="E2296" s="59">
        <v>212</v>
      </c>
    </row>
    <row r="2297" spans="1:5" ht="15" x14ac:dyDescent="0.35">
      <c r="A2297" s="58" t="s">
        <v>262</v>
      </c>
      <c r="B2297" s="58" t="s">
        <v>180</v>
      </c>
      <c r="C2297" s="58">
        <v>1</v>
      </c>
      <c r="D2297" s="58">
        <v>104</v>
      </c>
      <c r="E2297" s="59">
        <v>270.03899999999999</v>
      </c>
    </row>
    <row r="2298" spans="1:5" ht="15" x14ac:dyDescent="0.35">
      <c r="A2298" s="58" t="s">
        <v>262</v>
      </c>
      <c r="B2298" s="58" t="s">
        <v>180</v>
      </c>
      <c r="C2298" s="58">
        <v>2</v>
      </c>
      <c r="D2298" s="58">
        <v>105</v>
      </c>
      <c r="E2298" s="59">
        <v>270.03899999999999</v>
      </c>
    </row>
    <row r="2299" spans="1:5" ht="15" x14ac:dyDescent="0.35">
      <c r="A2299" s="58" t="s">
        <v>262</v>
      </c>
      <c r="B2299" s="58" t="s">
        <v>180</v>
      </c>
      <c r="C2299" s="58">
        <v>3</v>
      </c>
      <c r="D2299" s="58">
        <v>106</v>
      </c>
      <c r="E2299" s="59">
        <v>270.03899999999999</v>
      </c>
    </row>
    <row r="2300" spans="1:5" ht="15" x14ac:dyDescent="0.35">
      <c r="A2300" s="58" t="s">
        <v>262</v>
      </c>
      <c r="B2300" s="58" t="s">
        <v>180</v>
      </c>
      <c r="C2300" s="58">
        <v>4</v>
      </c>
      <c r="D2300" s="58">
        <v>107</v>
      </c>
      <c r="E2300" s="59">
        <v>270.03899999999999</v>
      </c>
    </row>
    <row r="2301" spans="1:5" ht="15" x14ac:dyDescent="0.35">
      <c r="A2301" s="58" t="s">
        <v>262</v>
      </c>
      <c r="B2301" s="58" t="s">
        <v>180</v>
      </c>
      <c r="C2301" s="58">
        <v>5</v>
      </c>
      <c r="D2301" s="58">
        <v>108</v>
      </c>
      <c r="E2301" s="59">
        <v>270.03899999999999</v>
      </c>
    </row>
    <row r="2302" spans="1:5" ht="15" x14ac:dyDescent="0.35">
      <c r="A2302" s="58" t="s">
        <v>262</v>
      </c>
      <c r="B2302" s="58" t="s">
        <v>180</v>
      </c>
      <c r="C2302" s="58">
        <v>6</v>
      </c>
      <c r="D2302" s="58">
        <v>109</v>
      </c>
      <c r="E2302" s="59">
        <v>270.03899999999999</v>
      </c>
    </row>
    <row r="2303" spans="1:5" ht="15" x14ac:dyDescent="0.35">
      <c r="A2303" s="58" t="s">
        <v>262</v>
      </c>
      <c r="B2303" s="58" t="s">
        <v>180</v>
      </c>
      <c r="C2303" s="58">
        <v>7</v>
      </c>
      <c r="D2303" s="58">
        <v>110</v>
      </c>
      <c r="E2303" s="59">
        <v>270.03899999999999</v>
      </c>
    </row>
    <row r="2304" spans="1:5" ht="15" x14ac:dyDescent="0.35">
      <c r="A2304" s="58" t="s">
        <v>262</v>
      </c>
      <c r="B2304" s="58" t="s">
        <v>180</v>
      </c>
      <c r="C2304" s="58">
        <v>8</v>
      </c>
      <c r="D2304" s="58">
        <v>111</v>
      </c>
      <c r="E2304" s="59">
        <v>270.03899999999999</v>
      </c>
    </row>
    <row r="2305" spans="1:5" ht="15" x14ac:dyDescent="0.35">
      <c r="A2305" s="58" t="s">
        <v>262</v>
      </c>
      <c r="B2305" s="58" t="s">
        <v>180</v>
      </c>
      <c r="C2305" s="58">
        <v>9</v>
      </c>
      <c r="D2305" s="58">
        <v>112</v>
      </c>
      <c r="E2305" s="59">
        <v>270.03899999999999</v>
      </c>
    </row>
    <row r="2306" spans="1:5" ht="15" x14ac:dyDescent="0.35">
      <c r="A2306" s="58" t="s">
        <v>262</v>
      </c>
      <c r="B2306" s="58" t="s">
        <v>180</v>
      </c>
      <c r="C2306" s="58">
        <v>10</v>
      </c>
      <c r="D2306" s="58">
        <v>113</v>
      </c>
      <c r="E2306" s="59">
        <v>270.03899999999999</v>
      </c>
    </row>
    <row r="2307" spans="1:5" ht="15" x14ac:dyDescent="0.35">
      <c r="A2307" s="58" t="s">
        <v>262</v>
      </c>
      <c r="B2307" s="58" t="s">
        <v>180</v>
      </c>
      <c r="C2307" s="58">
        <v>11</v>
      </c>
      <c r="D2307" s="58">
        <v>114</v>
      </c>
      <c r="E2307" s="59">
        <v>270.03899999999999</v>
      </c>
    </row>
    <row r="2308" spans="1:5" ht="15" x14ac:dyDescent="0.35">
      <c r="A2308" s="58" t="s">
        <v>262</v>
      </c>
      <c r="B2308" s="58" t="s">
        <v>180</v>
      </c>
      <c r="C2308" s="58">
        <v>12</v>
      </c>
      <c r="D2308" s="58">
        <v>115</v>
      </c>
      <c r="E2308" s="59">
        <v>270.03899999999999</v>
      </c>
    </row>
    <row r="2309" spans="1:5" ht="15" x14ac:dyDescent="0.35">
      <c r="A2309" s="58" t="s">
        <v>373</v>
      </c>
      <c r="B2309" s="58" t="s">
        <v>182</v>
      </c>
      <c r="C2309" s="58">
        <v>1</v>
      </c>
      <c r="D2309" s="58">
        <v>104</v>
      </c>
      <c r="E2309" s="59">
        <v>9.9638000000000009</v>
      </c>
    </row>
    <row r="2310" spans="1:5" ht="15" x14ac:dyDescent="0.35">
      <c r="A2310" s="58" t="s">
        <v>373</v>
      </c>
      <c r="B2310" s="58" t="s">
        <v>182</v>
      </c>
      <c r="C2310" s="58">
        <v>2</v>
      </c>
      <c r="D2310" s="58">
        <v>105</v>
      </c>
      <c r="E2310" s="59">
        <v>60.163800000000002</v>
      </c>
    </row>
    <row r="2311" spans="1:5" ht="15" x14ac:dyDescent="0.35">
      <c r="A2311" s="58" t="s">
        <v>373</v>
      </c>
      <c r="B2311" s="58" t="s">
        <v>182</v>
      </c>
      <c r="C2311" s="58">
        <v>3</v>
      </c>
      <c r="D2311" s="58">
        <v>106</v>
      </c>
      <c r="E2311" s="59">
        <v>52.463799999999999</v>
      </c>
    </row>
    <row r="2312" spans="1:5" ht="15" x14ac:dyDescent="0.35">
      <c r="A2312" s="58" t="s">
        <v>373</v>
      </c>
      <c r="B2312" s="58" t="s">
        <v>182</v>
      </c>
      <c r="C2312" s="58">
        <v>4</v>
      </c>
      <c r="D2312" s="58">
        <v>107</v>
      </c>
      <c r="E2312" s="59">
        <v>46.249499999999998</v>
      </c>
    </row>
    <row r="2313" spans="1:5" ht="15" x14ac:dyDescent="0.35">
      <c r="A2313" s="58" t="s">
        <v>373</v>
      </c>
      <c r="B2313" s="58" t="s">
        <v>182</v>
      </c>
      <c r="C2313" s="58">
        <v>5</v>
      </c>
      <c r="D2313" s="58">
        <v>108</v>
      </c>
      <c r="E2313" s="59">
        <v>67.588800000000006</v>
      </c>
    </row>
    <row r="2314" spans="1:5" ht="15" x14ac:dyDescent="0.35">
      <c r="A2314" s="58" t="s">
        <v>373</v>
      </c>
      <c r="B2314" s="58" t="s">
        <v>182</v>
      </c>
      <c r="C2314" s="58">
        <v>6</v>
      </c>
      <c r="D2314" s="58">
        <v>109</v>
      </c>
      <c r="E2314" s="59">
        <v>60.963799999999999</v>
      </c>
    </row>
    <row r="2315" spans="1:5" ht="15" x14ac:dyDescent="0.35">
      <c r="A2315" s="58" t="s">
        <v>373</v>
      </c>
      <c r="B2315" s="58" t="s">
        <v>182</v>
      </c>
      <c r="C2315" s="58">
        <v>7</v>
      </c>
      <c r="D2315" s="58">
        <v>110</v>
      </c>
      <c r="E2315" s="59">
        <v>61.2971</v>
      </c>
    </row>
    <row r="2316" spans="1:5" ht="15" x14ac:dyDescent="0.35">
      <c r="A2316" s="58" t="s">
        <v>373</v>
      </c>
      <c r="B2316" s="58" t="s">
        <v>182</v>
      </c>
      <c r="C2316" s="58">
        <v>8</v>
      </c>
      <c r="D2316" s="58">
        <v>111</v>
      </c>
      <c r="E2316" s="59">
        <v>68.2971</v>
      </c>
    </row>
    <row r="2317" spans="1:5" ht="15" x14ac:dyDescent="0.35">
      <c r="A2317" s="58" t="s">
        <v>373</v>
      </c>
      <c r="B2317" s="58" t="s">
        <v>182</v>
      </c>
      <c r="C2317" s="58">
        <v>9</v>
      </c>
      <c r="D2317" s="58">
        <v>112</v>
      </c>
      <c r="E2317" s="59">
        <v>69.630399999999995</v>
      </c>
    </row>
    <row r="2318" spans="1:5" ht="15" x14ac:dyDescent="0.35">
      <c r="A2318" s="58" t="s">
        <v>373</v>
      </c>
      <c r="B2318" s="58" t="s">
        <v>182</v>
      </c>
      <c r="C2318" s="58">
        <v>10</v>
      </c>
      <c r="D2318" s="58">
        <v>113</v>
      </c>
      <c r="E2318" s="59">
        <v>72.186000000000007</v>
      </c>
    </row>
    <row r="2319" spans="1:5" ht="15" x14ac:dyDescent="0.35">
      <c r="A2319" s="58" t="s">
        <v>373</v>
      </c>
      <c r="B2319" s="58" t="s">
        <v>182</v>
      </c>
      <c r="C2319" s="58">
        <v>11</v>
      </c>
      <c r="D2319" s="58">
        <v>114</v>
      </c>
      <c r="E2319" s="59">
        <v>48.408200000000001</v>
      </c>
    </row>
    <row r="2320" spans="1:5" ht="15" x14ac:dyDescent="0.35">
      <c r="A2320" s="58" t="s">
        <v>373</v>
      </c>
      <c r="B2320" s="58" t="s">
        <v>182</v>
      </c>
      <c r="C2320" s="58">
        <v>12</v>
      </c>
      <c r="D2320" s="58">
        <v>115</v>
      </c>
      <c r="E2320" s="59">
        <v>49.630400000000002</v>
      </c>
    </row>
    <row r="2321" spans="1:5" ht="15" x14ac:dyDescent="0.35">
      <c r="A2321" s="58" t="s">
        <v>373</v>
      </c>
      <c r="B2321" s="58" t="s">
        <v>176</v>
      </c>
      <c r="C2321" s="58">
        <v>1</v>
      </c>
      <c r="D2321" s="58">
        <v>104</v>
      </c>
      <c r="E2321" s="59">
        <v>15.5</v>
      </c>
    </row>
    <row r="2322" spans="1:5" ht="15" x14ac:dyDescent="0.35">
      <c r="A2322" s="58" t="s">
        <v>373</v>
      </c>
      <c r="B2322" s="58" t="s">
        <v>176</v>
      </c>
      <c r="C2322" s="58">
        <v>2</v>
      </c>
      <c r="D2322" s="58">
        <v>105</v>
      </c>
      <c r="E2322" s="59">
        <v>15.5</v>
      </c>
    </row>
    <row r="2323" spans="1:5" ht="15" x14ac:dyDescent="0.35">
      <c r="A2323" s="58" t="s">
        <v>373</v>
      </c>
      <c r="B2323" s="58" t="s">
        <v>176</v>
      </c>
      <c r="C2323" s="58">
        <v>3</v>
      </c>
      <c r="D2323" s="58">
        <v>106</v>
      </c>
      <c r="E2323" s="59">
        <v>15.5</v>
      </c>
    </row>
    <row r="2324" spans="1:5" ht="15" x14ac:dyDescent="0.35">
      <c r="A2324" s="58" t="s">
        <v>373</v>
      </c>
      <c r="B2324" s="58" t="s">
        <v>176</v>
      </c>
      <c r="C2324" s="58">
        <v>4</v>
      </c>
      <c r="D2324" s="58">
        <v>107</v>
      </c>
      <c r="E2324" s="59">
        <v>15.5</v>
      </c>
    </row>
    <row r="2325" spans="1:5" ht="15" x14ac:dyDescent="0.35">
      <c r="A2325" s="58" t="s">
        <v>373</v>
      </c>
      <c r="B2325" s="58" t="s">
        <v>176</v>
      </c>
      <c r="C2325" s="58">
        <v>5</v>
      </c>
      <c r="D2325" s="58">
        <v>108</v>
      </c>
      <c r="E2325" s="59">
        <v>15.5</v>
      </c>
    </row>
    <row r="2326" spans="1:5" ht="15" x14ac:dyDescent="0.35">
      <c r="A2326" s="58" t="s">
        <v>373</v>
      </c>
      <c r="B2326" s="58" t="s">
        <v>176</v>
      </c>
      <c r="C2326" s="58">
        <v>6</v>
      </c>
      <c r="D2326" s="58">
        <v>109</v>
      </c>
      <c r="E2326" s="59">
        <v>15.5</v>
      </c>
    </row>
    <row r="2327" spans="1:5" ht="15" x14ac:dyDescent="0.35">
      <c r="A2327" s="58" t="s">
        <v>373</v>
      </c>
      <c r="B2327" s="58" t="s">
        <v>176</v>
      </c>
      <c r="C2327" s="58">
        <v>7</v>
      </c>
      <c r="D2327" s="58">
        <v>110</v>
      </c>
      <c r="E2327" s="59">
        <v>15.5</v>
      </c>
    </row>
    <row r="2328" spans="1:5" ht="15" x14ac:dyDescent="0.35">
      <c r="A2328" s="58" t="s">
        <v>373</v>
      </c>
      <c r="B2328" s="58" t="s">
        <v>176</v>
      </c>
      <c r="C2328" s="58">
        <v>8</v>
      </c>
      <c r="D2328" s="58">
        <v>111</v>
      </c>
      <c r="E2328" s="59">
        <v>15.5</v>
      </c>
    </row>
    <row r="2329" spans="1:5" ht="15" x14ac:dyDescent="0.35">
      <c r="A2329" s="58" t="s">
        <v>373</v>
      </c>
      <c r="B2329" s="58" t="s">
        <v>176</v>
      </c>
      <c r="C2329" s="58">
        <v>9</v>
      </c>
      <c r="D2329" s="58">
        <v>112</v>
      </c>
      <c r="E2329" s="59">
        <v>15.5</v>
      </c>
    </row>
    <row r="2330" spans="1:5" ht="15" x14ac:dyDescent="0.35">
      <c r="A2330" s="58" t="s">
        <v>373</v>
      </c>
      <c r="B2330" s="58" t="s">
        <v>176</v>
      </c>
      <c r="C2330" s="58">
        <v>10</v>
      </c>
      <c r="D2330" s="58">
        <v>113</v>
      </c>
      <c r="E2330" s="59">
        <v>15.5</v>
      </c>
    </row>
    <row r="2331" spans="1:5" ht="15" x14ac:dyDescent="0.35">
      <c r="A2331" s="58" t="s">
        <v>373</v>
      </c>
      <c r="B2331" s="58" t="s">
        <v>176</v>
      </c>
      <c r="C2331" s="58">
        <v>11</v>
      </c>
      <c r="D2331" s="58">
        <v>114</v>
      </c>
      <c r="E2331" s="59">
        <v>15.5</v>
      </c>
    </row>
    <row r="2332" spans="1:5" ht="15" x14ac:dyDescent="0.35">
      <c r="A2332" s="58" t="s">
        <v>373</v>
      </c>
      <c r="B2332" s="58" t="s">
        <v>176</v>
      </c>
      <c r="C2332" s="58">
        <v>12</v>
      </c>
      <c r="D2332" s="58">
        <v>115</v>
      </c>
      <c r="E2332" s="59">
        <v>15.5</v>
      </c>
    </row>
    <row r="2333" spans="1:5" ht="15" x14ac:dyDescent="0.35">
      <c r="A2333" s="58" t="s">
        <v>373</v>
      </c>
      <c r="B2333" s="58" t="s">
        <v>172</v>
      </c>
      <c r="C2333" s="58">
        <v>1</v>
      </c>
      <c r="D2333" s="58">
        <v>104</v>
      </c>
      <c r="E2333" s="59">
        <v>10</v>
      </c>
    </row>
    <row r="2334" spans="1:5" ht="15" x14ac:dyDescent="0.35">
      <c r="A2334" s="58" t="s">
        <v>373</v>
      </c>
      <c r="B2334" s="58" t="s">
        <v>172</v>
      </c>
      <c r="C2334" s="58">
        <v>2</v>
      </c>
      <c r="D2334" s="58">
        <v>105</v>
      </c>
      <c r="E2334" s="59">
        <v>10</v>
      </c>
    </row>
    <row r="2335" spans="1:5" ht="15" x14ac:dyDescent="0.35">
      <c r="A2335" s="58" t="s">
        <v>373</v>
      </c>
      <c r="B2335" s="58" t="s">
        <v>172</v>
      </c>
      <c r="C2335" s="58">
        <v>3</v>
      </c>
      <c r="D2335" s="58">
        <v>106</v>
      </c>
      <c r="E2335" s="59">
        <v>10</v>
      </c>
    </row>
    <row r="2336" spans="1:5" ht="15" x14ac:dyDescent="0.35">
      <c r="A2336" s="58" t="s">
        <v>373</v>
      </c>
      <c r="B2336" s="58" t="s">
        <v>172</v>
      </c>
      <c r="C2336" s="58">
        <v>4</v>
      </c>
      <c r="D2336" s="58">
        <v>107</v>
      </c>
      <c r="E2336" s="59">
        <v>10</v>
      </c>
    </row>
    <row r="2337" spans="1:5" ht="15" x14ac:dyDescent="0.35">
      <c r="A2337" s="58" t="s">
        <v>373</v>
      </c>
      <c r="B2337" s="58" t="s">
        <v>172</v>
      </c>
      <c r="C2337" s="58">
        <v>5</v>
      </c>
      <c r="D2337" s="58">
        <v>108</v>
      </c>
      <c r="E2337" s="59">
        <v>10</v>
      </c>
    </row>
    <row r="2338" spans="1:5" ht="15" x14ac:dyDescent="0.35">
      <c r="A2338" s="58" t="s">
        <v>373</v>
      </c>
      <c r="B2338" s="58" t="s">
        <v>172</v>
      </c>
      <c r="C2338" s="58">
        <v>6</v>
      </c>
      <c r="D2338" s="58">
        <v>109</v>
      </c>
      <c r="E2338" s="59">
        <v>10</v>
      </c>
    </row>
    <row r="2339" spans="1:5" ht="15" x14ac:dyDescent="0.35">
      <c r="A2339" s="58" t="s">
        <v>373</v>
      </c>
      <c r="B2339" s="58" t="s">
        <v>172</v>
      </c>
      <c r="C2339" s="58">
        <v>7</v>
      </c>
      <c r="D2339" s="58">
        <v>110</v>
      </c>
      <c r="E2339" s="59">
        <v>10</v>
      </c>
    </row>
    <row r="2340" spans="1:5" ht="15" x14ac:dyDescent="0.35">
      <c r="A2340" s="58" t="s">
        <v>373</v>
      </c>
      <c r="B2340" s="58" t="s">
        <v>172</v>
      </c>
      <c r="C2340" s="58">
        <v>8</v>
      </c>
      <c r="D2340" s="58">
        <v>111</v>
      </c>
      <c r="E2340" s="59">
        <v>10</v>
      </c>
    </row>
    <row r="2341" spans="1:5" ht="15" x14ac:dyDescent="0.35">
      <c r="A2341" s="58" t="s">
        <v>373</v>
      </c>
      <c r="B2341" s="58" t="s">
        <v>172</v>
      </c>
      <c r="C2341" s="58">
        <v>9</v>
      </c>
      <c r="D2341" s="58">
        <v>112</v>
      </c>
      <c r="E2341" s="59">
        <v>10</v>
      </c>
    </row>
    <row r="2342" spans="1:5" ht="15" x14ac:dyDescent="0.35">
      <c r="A2342" s="58" t="s">
        <v>373</v>
      </c>
      <c r="B2342" s="58" t="s">
        <v>172</v>
      </c>
      <c r="C2342" s="58">
        <v>10</v>
      </c>
      <c r="D2342" s="58">
        <v>113</v>
      </c>
      <c r="E2342" s="59">
        <v>10</v>
      </c>
    </row>
    <row r="2343" spans="1:5" ht="15" x14ac:dyDescent="0.35">
      <c r="A2343" s="58" t="s">
        <v>373</v>
      </c>
      <c r="B2343" s="58" t="s">
        <v>172</v>
      </c>
      <c r="C2343" s="58">
        <v>11</v>
      </c>
      <c r="D2343" s="58">
        <v>114</v>
      </c>
      <c r="E2343" s="59">
        <v>10</v>
      </c>
    </row>
    <row r="2344" spans="1:5" ht="15" x14ac:dyDescent="0.35">
      <c r="A2344" s="58" t="s">
        <v>373</v>
      </c>
      <c r="B2344" s="58" t="s">
        <v>172</v>
      </c>
      <c r="C2344" s="58">
        <v>12</v>
      </c>
      <c r="D2344" s="58">
        <v>115</v>
      </c>
      <c r="E2344" s="59">
        <v>10</v>
      </c>
    </row>
    <row r="2345" spans="1:5" ht="15" x14ac:dyDescent="0.35">
      <c r="A2345" s="58" t="s">
        <v>373</v>
      </c>
      <c r="B2345" s="58" t="s">
        <v>180</v>
      </c>
      <c r="C2345" s="58">
        <v>1</v>
      </c>
      <c r="D2345" s="58">
        <v>104</v>
      </c>
      <c r="E2345" s="59">
        <v>16.229399999999998</v>
      </c>
    </row>
    <row r="2346" spans="1:5" ht="15" x14ac:dyDescent="0.35">
      <c r="A2346" s="58" t="s">
        <v>373</v>
      </c>
      <c r="B2346" s="58" t="s">
        <v>180</v>
      </c>
      <c r="C2346" s="58">
        <v>2</v>
      </c>
      <c r="D2346" s="58">
        <v>105</v>
      </c>
      <c r="E2346" s="59">
        <v>16.229399999999998</v>
      </c>
    </row>
    <row r="2347" spans="1:5" ht="15" x14ac:dyDescent="0.35">
      <c r="A2347" s="58" t="s">
        <v>373</v>
      </c>
      <c r="B2347" s="58" t="s">
        <v>180</v>
      </c>
      <c r="C2347" s="58">
        <v>3</v>
      </c>
      <c r="D2347" s="58">
        <v>106</v>
      </c>
      <c r="E2347" s="59">
        <v>16.229399999999998</v>
      </c>
    </row>
    <row r="2348" spans="1:5" ht="15" x14ac:dyDescent="0.35">
      <c r="A2348" s="58" t="s">
        <v>373</v>
      </c>
      <c r="B2348" s="58" t="s">
        <v>180</v>
      </c>
      <c r="C2348" s="58">
        <v>4</v>
      </c>
      <c r="D2348" s="58">
        <v>107</v>
      </c>
      <c r="E2348" s="59">
        <v>16.229399999999998</v>
      </c>
    </row>
    <row r="2349" spans="1:5" ht="15" x14ac:dyDescent="0.35">
      <c r="A2349" s="58" t="s">
        <v>373</v>
      </c>
      <c r="B2349" s="58" t="s">
        <v>180</v>
      </c>
      <c r="C2349" s="58">
        <v>5</v>
      </c>
      <c r="D2349" s="58">
        <v>108</v>
      </c>
      <c r="E2349" s="59">
        <v>16.229399999999998</v>
      </c>
    </row>
    <row r="2350" spans="1:5" ht="15" x14ac:dyDescent="0.35">
      <c r="A2350" s="58" t="s">
        <v>373</v>
      </c>
      <c r="B2350" s="58" t="s">
        <v>180</v>
      </c>
      <c r="C2350" s="58">
        <v>6</v>
      </c>
      <c r="D2350" s="58">
        <v>109</v>
      </c>
      <c r="E2350" s="59">
        <v>16.229399999999998</v>
      </c>
    </row>
    <row r="2351" spans="1:5" ht="15" x14ac:dyDescent="0.35">
      <c r="A2351" s="58" t="s">
        <v>373</v>
      </c>
      <c r="B2351" s="58" t="s">
        <v>180</v>
      </c>
      <c r="C2351" s="58">
        <v>7</v>
      </c>
      <c r="D2351" s="58">
        <v>110</v>
      </c>
      <c r="E2351" s="59">
        <v>16.229399999999998</v>
      </c>
    </row>
    <row r="2352" spans="1:5" ht="15" x14ac:dyDescent="0.35">
      <c r="A2352" s="58" t="s">
        <v>373</v>
      </c>
      <c r="B2352" s="58" t="s">
        <v>180</v>
      </c>
      <c r="C2352" s="58">
        <v>8</v>
      </c>
      <c r="D2352" s="58">
        <v>111</v>
      </c>
      <c r="E2352" s="59">
        <v>16.229399999999998</v>
      </c>
    </row>
    <row r="2353" spans="1:5" ht="15" x14ac:dyDescent="0.35">
      <c r="A2353" s="58" t="s">
        <v>373</v>
      </c>
      <c r="B2353" s="58" t="s">
        <v>180</v>
      </c>
      <c r="C2353" s="58">
        <v>9</v>
      </c>
      <c r="D2353" s="58">
        <v>112</v>
      </c>
      <c r="E2353" s="59">
        <v>16.229399999999998</v>
      </c>
    </row>
    <row r="2354" spans="1:5" ht="15" x14ac:dyDescent="0.35">
      <c r="A2354" s="58" t="s">
        <v>373</v>
      </c>
      <c r="B2354" s="58" t="s">
        <v>180</v>
      </c>
      <c r="C2354" s="58">
        <v>10</v>
      </c>
      <c r="D2354" s="58">
        <v>113</v>
      </c>
      <c r="E2354" s="59">
        <v>16.229399999999998</v>
      </c>
    </row>
    <row r="2355" spans="1:5" ht="15" x14ac:dyDescent="0.35">
      <c r="A2355" s="58" t="s">
        <v>373</v>
      </c>
      <c r="B2355" s="58" t="s">
        <v>180</v>
      </c>
      <c r="C2355" s="58">
        <v>11</v>
      </c>
      <c r="D2355" s="58">
        <v>114</v>
      </c>
      <c r="E2355" s="59">
        <v>16.229399999999998</v>
      </c>
    </row>
    <row r="2356" spans="1:5" ht="15" x14ac:dyDescent="0.35">
      <c r="A2356" s="58" t="s">
        <v>373</v>
      </c>
      <c r="B2356" s="58" t="s">
        <v>180</v>
      </c>
      <c r="C2356" s="58">
        <v>12</v>
      </c>
      <c r="D2356" s="58">
        <v>115</v>
      </c>
      <c r="E2356" s="59">
        <v>16.229399999999998</v>
      </c>
    </row>
    <row r="2357" spans="1:5" ht="15" x14ac:dyDescent="0.35">
      <c r="A2357" s="58" t="s">
        <v>362</v>
      </c>
      <c r="B2357" s="58" t="s">
        <v>182</v>
      </c>
      <c r="C2357" s="58">
        <v>1</v>
      </c>
      <c r="D2357" s="58">
        <v>104</v>
      </c>
      <c r="E2357" s="59">
        <v>349.52609999999999</v>
      </c>
    </row>
    <row r="2358" spans="1:5" ht="15" x14ac:dyDescent="0.35">
      <c r="A2358" s="58" t="s">
        <v>362</v>
      </c>
      <c r="B2358" s="58" t="s">
        <v>182</v>
      </c>
      <c r="C2358" s="58">
        <v>2</v>
      </c>
      <c r="D2358" s="58">
        <v>105</v>
      </c>
      <c r="E2358" s="59">
        <v>90.7483</v>
      </c>
    </row>
    <row r="2359" spans="1:5" ht="15" x14ac:dyDescent="0.35">
      <c r="A2359" s="58" t="s">
        <v>362</v>
      </c>
      <c r="B2359" s="58" t="s">
        <v>182</v>
      </c>
      <c r="C2359" s="58">
        <v>3</v>
      </c>
      <c r="D2359" s="58">
        <v>106</v>
      </c>
      <c r="E2359" s="59">
        <v>77.7483</v>
      </c>
    </row>
    <row r="2360" spans="1:5" ht="15" x14ac:dyDescent="0.35">
      <c r="A2360" s="58" t="s">
        <v>362</v>
      </c>
      <c r="B2360" s="58" t="s">
        <v>182</v>
      </c>
      <c r="C2360" s="58">
        <v>4</v>
      </c>
      <c r="D2360" s="58">
        <v>107</v>
      </c>
      <c r="E2360" s="59">
        <v>134.7483</v>
      </c>
    </row>
    <row r="2361" spans="1:5" ht="15" x14ac:dyDescent="0.35">
      <c r="A2361" s="58" t="s">
        <v>362</v>
      </c>
      <c r="B2361" s="58" t="s">
        <v>182</v>
      </c>
      <c r="C2361" s="58">
        <v>5</v>
      </c>
      <c r="D2361" s="58">
        <v>108</v>
      </c>
      <c r="E2361" s="59">
        <v>177.4983</v>
      </c>
    </row>
    <row r="2362" spans="1:5" ht="15" x14ac:dyDescent="0.35">
      <c r="A2362" s="58" t="s">
        <v>362</v>
      </c>
      <c r="B2362" s="58" t="s">
        <v>182</v>
      </c>
      <c r="C2362" s="58">
        <v>6</v>
      </c>
      <c r="D2362" s="58">
        <v>109</v>
      </c>
      <c r="E2362" s="59">
        <v>160.19280000000001</v>
      </c>
    </row>
    <row r="2363" spans="1:5" ht="15" x14ac:dyDescent="0.35">
      <c r="A2363" s="58" t="s">
        <v>362</v>
      </c>
      <c r="B2363" s="58" t="s">
        <v>182</v>
      </c>
      <c r="C2363" s="58">
        <v>7</v>
      </c>
      <c r="D2363" s="58">
        <v>110</v>
      </c>
      <c r="E2363" s="59">
        <v>192.97049999999999</v>
      </c>
    </row>
    <row r="2364" spans="1:5" ht="15" x14ac:dyDescent="0.35">
      <c r="A2364" s="58" t="s">
        <v>362</v>
      </c>
      <c r="B2364" s="58" t="s">
        <v>182</v>
      </c>
      <c r="C2364" s="58">
        <v>8</v>
      </c>
      <c r="D2364" s="58">
        <v>111</v>
      </c>
      <c r="E2364" s="59">
        <v>235.3039</v>
      </c>
    </row>
    <row r="2365" spans="1:5" ht="15" x14ac:dyDescent="0.35">
      <c r="A2365" s="58" t="s">
        <v>362</v>
      </c>
      <c r="B2365" s="58" t="s">
        <v>182</v>
      </c>
      <c r="C2365" s="58">
        <v>9</v>
      </c>
      <c r="D2365" s="58">
        <v>112</v>
      </c>
      <c r="E2365" s="59">
        <v>335.41500000000002</v>
      </c>
    </row>
    <row r="2366" spans="1:5" ht="15" x14ac:dyDescent="0.35">
      <c r="A2366" s="58" t="s">
        <v>362</v>
      </c>
      <c r="B2366" s="58" t="s">
        <v>182</v>
      </c>
      <c r="C2366" s="58">
        <v>10</v>
      </c>
      <c r="D2366" s="58">
        <v>113</v>
      </c>
      <c r="E2366" s="59">
        <v>418.52609999999999</v>
      </c>
    </row>
    <row r="2367" spans="1:5" ht="15" x14ac:dyDescent="0.35">
      <c r="A2367" s="58" t="s">
        <v>362</v>
      </c>
      <c r="B2367" s="58" t="s">
        <v>182</v>
      </c>
      <c r="C2367" s="58">
        <v>11</v>
      </c>
      <c r="D2367" s="58">
        <v>114</v>
      </c>
      <c r="E2367" s="59">
        <v>368.19279999999998</v>
      </c>
    </row>
    <row r="2368" spans="1:5" ht="15" x14ac:dyDescent="0.35">
      <c r="A2368" s="58" t="s">
        <v>362</v>
      </c>
      <c r="B2368" s="58" t="s">
        <v>182</v>
      </c>
      <c r="C2368" s="58">
        <v>12</v>
      </c>
      <c r="D2368" s="58">
        <v>115</v>
      </c>
      <c r="E2368" s="59">
        <v>415.97050000000002</v>
      </c>
    </row>
    <row r="2369" spans="1:5" ht="15" x14ac:dyDescent="0.35">
      <c r="A2369" s="58" t="s">
        <v>362</v>
      </c>
      <c r="B2369" s="58" t="s">
        <v>176</v>
      </c>
      <c r="C2369" s="58">
        <v>1</v>
      </c>
      <c r="D2369" s="58">
        <v>104</v>
      </c>
      <c r="E2369" s="59">
        <v>325</v>
      </c>
    </row>
    <row r="2370" spans="1:5" ht="15" x14ac:dyDescent="0.35">
      <c r="A2370" s="58" t="s">
        <v>362</v>
      </c>
      <c r="B2370" s="58" t="s">
        <v>176</v>
      </c>
      <c r="C2370" s="58">
        <v>2</v>
      </c>
      <c r="D2370" s="58">
        <v>105</v>
      </c>
      <c r="E2370" s="59">
        <v>325</v>
      </c>
    </row>
    <row r="2371" spans="1:5" ht="15" x14ac:dyDescent="0.35">
      <c r="A2371" s="58" t="s">
        <v>362</v>
      </c>
      <c r="B2371" s="58" t="s">
        <v>176</v>
      </c>
      <c r="C2371" s="58">
        <v>3</v>
      </c>
      <c r="D2371" s="58">
        <v>106</v>
      </c>
      <c r="E2371" s="59">
        <v>325</v>
      </c>
    </row>
    <row r="2372" spans="1:5" ht="15" x14ac:dyDescent="0.35">
      <c r="A2372" s="58" t="s">
        <v>362</v>
      </c>
      <c r="B2372" s="58" t="s">
        <v>176</v>
      </c>
      <c r="C2372" s="58">
        <v>4</v>
      </c>
      <c r="D2372" s="58">
        <v>107</v>
      </c>
      <c r="E2372" s="59">
        <v>325</v>
      </c>
    </row>
    <row r="2373" spans="1:5" ht="15" x14ac:dyDescent="0.35">
      <c r="A2373" s="58" t="s">
        <v>362</v>
      </c>
      <c r="B2373" s="58" t="s">
        <v>176</v>
      </c>
      <c r="C2373" s="58">
        <v>5</v>
      </c>
      <c r="D2373" s="58">
        <v>108</v>
      </c>
      <c r="E2373" s="59">
        <v>325</v>
      </c>
    </row>
    <row r="2374" spans="1:5" ht="15" x14ac:dyDescent="0.35">
      <c r="A2374" s="58" t="s">
        <v>362</v>
      </c>
      <c r="B2374" s="58" t="s">
        <v>176</v>
      </c>
      <c r="C2374" s="58">
        <v>6</v>
      </c>
      <c r="D2374" s="58">
        <v>109</v>
      </c>
      <c r="E2374" s="59">
        <v>325</v>
      </c>
    </row>
    <row r="2375" spans="1:5" ht="15" x14ac:dyDescent="0.35">
      <c r="A2375" s="58" t="s">
        <v>362</v>
      </c>
      <c r="B2375" s="58" t="s">
        <v>176</v>
      </c>
      <c r="C2375" s="58">
        <v>7</v>
      </c>
      <c r="D2375" s="58">
        <v>110</v>
      </c>
      <c r="E2375" s="59">
        <v>325</v>
      </c>
    </row>
    <row r="2376" spans="1:5" ht="15" x14ac:dyDescent="0.35">
      <c r="A2376" s="58" t="s">
        <v>362</v>
      </c>
      <c r="B2376" s="58" t="s">
        <v>176</v>
      </c>
      <c r="C2376" s="58">
        <v>8</v>
      </c>
      <c r="D2376" s="58">
        <v>111</v>
      </c>
      <c r="E2376" s="59">
        <v>325</v>
      </c>
    </row>
    <row r="2377" spans="1:5" ht="15" x14ac:dyDescent="0.35">
      <c r="A2377" s="58" t="s">
        <v>362</v>
      </c>
      <c r="B2377" s="58" t="s">
        <v>176</v>
      </c>
      <c r="C2377" s="58">
        <v>9</v>
      </c>
      <c r="D2377" s="58">
        <v>112</v>
      </c>
      <c r="E2377" s="59">
        <v>325</v>
      </c>
    </row>
    <row r="2378" spans="1:5" ht="15" x14ac:dyDescent="0.35">
      <c r="A2378" s="58" t="s">
        <v>362</v>
      </c>
      <c r="B2378" s="58" t="s">
        <v>176</v>
      </c>
      <c r="C2378" s="58">
        <v>10</v>
      </c>
      <c r="D2378" s="58">
        <v>113</v>
      </c>
      <c r="E2378" s="59">
        <v>325</v>
      </c>
    </row>
    <row r="2379" spans="1:5" ht="15" x14ac:dyDescent="0.35">
      <c r="A2379" s="58" t="s">
        <v>362</v>
      </c>
      <c r="B2379" s="58" t="s">
        <v>176</v>
      </c>
      <c r="C2379" s="58">
        <v>11</v>
      </c>
      <c r="D2379" s="58">
        <v>114</v>
      </c>
      <c r="E2379" s="59">
        <v>325</v>
      </c>
    </row>
    <row r="2380" spans="1:5" ht="15" x14ac:dyDescent="0.35">
      <c r="A2380" s="58" t="s">
        <v>362</v>
      </c>
      <c r="B2380" s="58" t="s">
        <v>176</v>
      </c>
      <c r="C2380" s="58">
        <v>12</v>
      </c>
      <c r="D2380" s="58">
        <v>115</v>
      </c>
      <c r="E2380" s="59">
        <v>325</v>
      </c>
    </row>
    <row r="2381" spans="1:5" ht="15" x14ac:dyDescent="0.35">
      <c r="A2381" s="58" t="s">
        <v>362</v>
      </c>
      <c r="B2381" s="58" t="s">
        <v>172</v>
      </c>
      <c r="C2381" s="58">
        <v>1</v>
      </c>
      <c r="D2381" s="58">
        <v>104</v>
      </c>
      <c r="E2381" s="59">
        <v>392</v>
      </c>
    </row>
    <row r="2382" spans="1:5" ht="15" x14ac:dyDescent="0.35">
      <c r="A2382" s="58" t="s">
        <v>362</v>
      </c>
      <c r="B2382" s="58" t="s">
        <v>172</v>
      </c>
      <c r="C2382" s="58">
        <v>2</v>
      </c>
      <c r="D2382" s="58">
        <v>105</v>
      </c>
      <c r="E2382" s="59">
        <v>392</v>
      </c>
    </row>
    <row r="2383" spans="1:5" ht="15" x14ac:dyDescent="0.35">
      <c r="A2383" s="58" t="s">
        <v>362</v>
      </c>
      <c r="B2383" s="58" t="s">
        <v>172</v>
      </c>
      <c r="C2383" s="58">
        <v>3</v>
      </c>
      <c r="D2383" s="58">
        <v>106</v>
      </c>
      <c r="E2383" s="59">
        <v>392</v>
      </c>
    </row>
    <row r="2384" spans="1:5" ht="15" x14ac:dyDescent="0.35">
      <c r="A2384" s="58" t="s">
        <v>362</v>
      </c>
      <c r="B2384" s="58" t="s">
        <v>172</v>
      </c>
      <c r="C2384" s="58">
        <v>4</v>
      </c>
      <c r="D2384" s="58">
        <v>107</v>
      </c>
      <c r="E2384" s="59">
        <v>392</v>
      </c>
    </row>
    <row r="2385" spans="1:5" ht="15" x14ac:dyDescent="0.35">
      <c r="A2385" s="58" t="s">
        <v>362</v>
      </c>
      <c r="B2385" s="58" t="s">
        <v>172</v>
      </c>
      <c r="C2385" s="58">
        <v>5</v>
      </c>
      <c r="D2385" s="58">
        <v>108</v>
      </c>
      <c r="E2385" s="59">
        <v>392</v>
      </c>
    </row>
    <row r="2386" spans="1:5" ht="15" x14ac:dyDescent="0.35">
      <c r="A2386" s="58" t="s">
        <v>362</v>
      </c>
      <c r="B2386" s="58" t="s">
        <v>172</v>
      </c>
      <c r="C2386" s="58">
        <v>6</v>
      </c>
      <c r="D2386" s="58">
        <v>109</v>
      </c>
      <c r="E2386" s="59">
        <v>392</v>
      </c>
    </row>
    <row r="2387" spans="1:5" ht="15" x14ac:dyDescent="0.35">
      <c r="A2387" s="58" t="s">
        <v>362</v>
      </c>
      <c r="B2387" s="58" t="s">
        <v>172</v>
      </c>
      <c r="C2387" s="58">
        <v>7</v>
      </c>
      <c r="D2387" s="58">
        <v>110</v>
      </c>
      <c r="E2387" s="59">
        <v>392</v>
      </c>
    </row>
    <row r="2388" spans="1:5" ht="15" x14ac:dyDescent="0.35">
      <c r="A2388" s="58" t="s">
        <v>362</v>
      </c>
      <c r="B2388" s="58" t="s">
        <v>172</v>
      </c>
      <c r="C2388" s="58">
        <v>8</v>
      </c>
      <c r="D2388" s="58">
        <v>111</v>
      </c>
      <c r="E2388" s="59">
        <v>392</v>
      </c>
    </row>
    <row r="2389" spans="1:5" ht="15" x14ac:dyDescent="0.35">
      <c r="A2389" s="58" t="s">
        <v>362</v>
      </c>
      <c r="B2389" s="58" t="s">
        <v>172</v>
      </c>
      <c r="C2389" s="58">
        <v>9</v>
      </c>
      <c r="D2389" s="58">
        <v>112</v>
      </c>
      <c r="E2389" s="59">
        <v>392</v>
      </c>
    </row>
    <row r="2390" spans="1:5" ht="15" x14ac:dyDescent="0.35">
      <c r="A2390" s="58" t="s">
        <v>362</v>
      </c>
      <c r="B2390" s="58" t="s">
        <v>172</v>
      </c>
      <c r="C2390" s="58">
        <v>10</v>
      </c>
      <c r="D2390" s="58">
        <v>113</v>
      </c>
      <c r="E2390" s="59">
        <v>392</v>
      </c>
    </row>
    <row r="2391" spans="1:5" ht="15" x14ac:dyDescent="0.35">
      <c r="A2391" s="58" t="s">
        <v>362</v>
      </c>
      <c r="B2391" s="58" t="s">
        <v>172</v>
      </c>
      <c r="C2391" s="58">
        <v>11</v>
      </c>
      <c r="D2391" s="58">
        <v>114</v>
      </c>
      <c r="E2391" s="59">
        <v>392</v>
      </c>
    </row>
    <row r="2392" spans="1:5" ht="15" x14ac:dyDescent="0.35">
      <c r="A2392" s="58" t="s">
        <v>362</v>
      </c>
      <c r="B2392" s="58" t="s">
        <v>172</v>
      </c>
      <c r="C2392" s="58">
        <v>12</v>
      </c>
      <c r="D2392" s="58">
        <v>115</v>
      </c>
      <c r="E2392" s="59">
        <v>392</v>
      </c>
    </row>
    <row r="2393" spans="1:5" ht="15" x14ac:dyDescent="0.35">
      <c r="A2393" s="58" t="s">
        <v>362</v>
      </c>
      <c r="B2393" s="58" t="s">
        <v>180</v>
      </c>
      <c r="C2393" s="58">
        <v>1</v>
      </c>
      <c r="D2393" s="58">
        <v>104</v>
      </c>
      <c r="E2393" s="59">
        <v>465.32499999999999</v>
      </c>
    </row>
    <row r="2394" spans="1:5" ht="15" x14ac:dyDescent="0.35">
      <c r="A2394" s="58" t="s">
        <v>362</v>
      </c>
      <c r="B2394" s="58" t="s">
        <v>180</v>
      </c>
      <c r="C2394" s="58">
        <v>2</v>
      </c>
      <c r="D2394" s="58">
        <v>105</v>
      </c>
      <c r="E2394" s="59">
        <v>465.32499999999999</v>
      </c>
    </row>
    <row r="2395" spans="1:5" ht="15" x14ac:dyDescent="0.35">
      <c r="A2395" s="58" t="s">
        <v>362</v>
      </c>
      <c r="B2395" s="58" t="s">
        <v>180</v>
      </c>
      <c r="C2395" s="58">
        <v>3</v>
      </c>
      <c r="D2395" s="58">
        <v>106</v>
      </c>
      <c r="E2395" s="59">
        <v>465.32499999999999</v>
      </c>
    </row>
    <row r="2396" spans="1:5" ht="15" x14ac:dyDescent="0.35">
      <c r="A2396" s="58" t="s">
        <v>362</v>
      </c>
      <c r="B2396" s="58" t="s">
        <v>180</v>
      </c>
      <c r="C2396" s="58">
        <v>4</v>
      </c>
      <c r="D2396" s="58">
        <v>107</v>
      </c>
      <c r="E2396" s="59">
        <v>465.32499999999999</v>
      </c>
    </row>
    <row r="2397" spans="1:5" ht="15" x14ac:dyDescent="0.35">
      <c r="A2397" s="58" t="s">
        <v>362</v>
      </c>
      <c r="B2397" s="58" t="s">
        <v>180</v>
      </c>
      <c r="C2397" s="58">
        <v>5</v>
      </c>
      <c r="D2397" s="58">
        <v>108</v>
      </c>
      <c r="E2397" s="59">
        <v>465.32499999999999</v>
      </c>
    </row>
    <row r="2398" spans="1:5" ht="15" x14ac:dyDescent="0.35">
      <c r="A2398" s="58" t="s">
        <v>362</v>
      </c>
      <c r="B2398" s="58" t="s">
        <v>180</v>
      </c>
      <c r="C2398" s="58">
        <v>6</v>
      </c>
      <c r="D2398" s="58">
        <v>109</v>
      </c>
      <c r="E2398" s="59">
        <v>465.32499999999999</v>
      </c>
    </row>
    <row r="2399" spans="1:5" ht="15" x14ac:dyDescent="0.35">
      <c r="A2399" s="58" t="s">
        <v>362</v>
      </c>
      <c r="B2399" s="58" t="s">
        <v>180</v>
      </c>
      <c r="C2399" s="58">
        <v>7</v>
      </c>
      <c r="D2399" s="58">
        <v>110</v>
      </c>
      <c r="E2399" s="59">
        <v>465.32499999999999</v>
      </c>
    </row>
    <row r="2400" spans="1:5" ht="15" x14ac:dyDescent="0.35">
      <c r="A2400" s="58" t="s">
        <v>362</v>
      </c>
      <c r="B2400" s="58" t="s">
        <v>180</v>
      </c>
      <c r="C2400" s="58">
        <v>8</v>
      </c>
      <c r="D2400" s="58">
        <v>111</v>
      </c>
      <c r="E2400" s="59">
        <v>465.32499999999999</v>
      </c>
    </row>
    <row r="2401" spans="1:5" ht="15" x14ac:dyDescent="0.35">
      <c r="A2401" s="58" t="s">
        <v>362</v>
      </c>
      <c r="B2401" s="58" t="s">
        <v>180</v>
      </c>
      <c r="C2401" s="58">
        <v>9</v>
      </c>
      <c r="D2401" s="58">
        <v>112</v>
      </c>
      <c r="E2401" s="59">
        <v>465.32499999999999</v>
      </c>
    </row>
    <row r="2402" spans="1:5" ht="15" x14ac:dyDescent="0.35">
      <c r="A2402" s="58" t="s">
        <v>362</v>
      </c>
      <c r="B2402" s="58" t="s">
        <v>180</v>
      </c>
      <c r="C2402" s="58">
        <v>10</v>
      </c>
      <c r="D2402" s="58">
        <v>113</v>
      </c>
      <c r="E2402" s="59">
        <v>465.32499999999999</v>
      </c>
    </row>
    <row r="2403" spans="1:5" ht="15" x14ac:dyDescent="0.35">
      <c r="A2403" s="58" t="s">
        <v>362</v>
      </c>
      <c r="B2403" s="58" t="s">
        <v>180</v>
      </c>
      <c r="C2403" s="58">
        <v>11</v>
      </c>
      <c r="D2403" s="58">
        <v>114</v>
      </c>
      <c r="E2403" s="59">
        <v>465.32499999999999</v>
      </c>
    </row>
    <row r="2404" spans="1:5" ht="15" x14ac:dyDescent="0.35">
      <c r="A2404" s="58" t="s">
        <v>362</v>
      </c>
      <c r="B2404" s="58" t="s">
        <v>180</v>
      </c>
      <c r="C2404" s="58">
        <v>12</v>
      </c>
      <c r="D2404" s="58">
        <v>115</v>
      </c>
      <c r="E2404" s="59">
        <v>465.32499999999999</v>
      </c>
    </row>
    <row r="2405" spans="1:5" ht="15" x14ac:dyDescent="0.35">
      <c r="A2405" s="58" t="s">
        <v>382</v>
      </c>
      <c r="B2405" s="58" t="s">
        <v>182</v>
      </c>
      <c r="C2405" s="58">
        <v>1</v>
      </c>
      <c r="D2405" s="58">
        <v>104</v>
      </c>
      <c r="E2405" s="59">
        <v>128.8682</v>
      </c>
    </row>
    <row r="2406" spans="1:5" ht="15" x14ac:dyDescent="0.35">
      <c r="A2406" s="58" t="s">
        <v>382</v>
      </c>
      <c r="B2406" s="58" t="s">
        <v>182</v>
      </c>
      <c r="C2406" s="58">
        <v>2</v>
      </c>
      <c r="D2406" s="58">
        <v>105</v>
      </c>
      <c r="E2406" s="59">
        <v>31.557099999999998</v>
      </c>
    </row>
    <row r="2407" spans="1:5" ht="15" x14ac:dyDescent="0.35">
      <c r="A2407" s="58" t="s">
        <v>382</v>
      </c>
      <c r="B2407" s="58" t="s">
        <v>182</v>
      </c>
      <c r="C2407" s="58">
        <v>3</v>
      </c>
      <c r="D2407" s="58">
        <v>106</v>
      </c>
      <c r="E2407" s="59">
        <v>38.757100000000001</v>
      </c>
    </row>
    <row r="2408" spans="1:5" ht="15" x14ac:dyDescent="0.35">
      <c r="A2408" s="58" t="s">
        <v>382</v>
      </c>
      <c r="B2408" s="58" t="s">
        <v>182</v>
      </c>
      <c r="C2408" s="58">
        <v>4</v>
      </c>
      <c r="D2408" s="58">
        <v>107</v>
      </c>
      <c r="E2408" s="59">
        <v>35.471299999999999</v>
      </c>
    </row>
    <row r="2409" spans="1:5" ht="15" x14ac:dyDescent="0.35">
      <c r="A2409" s="58" t="s">
        <v>382</v>
      </c>
      <c r="B2409" s="58" t="s">
        <v>182</v>
      </c>
      <c r="C2409" s="58">
        <v>5</v>
      </c>
      <c r="D2409" s="58">
        <v>108</v>
      </c>
      <c r="E2409" s="59">
        <v>37.132100000000001</v>
      </c>
    </row>
    <row r="2410" spans="1:5" ht="15" x14ac:dyDescent="0.35">
      <c r="A2410" s="58" t="s">
        <v>382</v>
      </c>
      <c r="B2410" s="58" t="s">
        <v>182</v>
      </c>
      <c r="C2410" s="58">
        <v>6</v>
      </c>
      <c r="D2410" s="58">
        <v>109</v>
      </c>
      <c r="E2410" s="59">
        <v>37.312600000000003</v>
      </c>
    </row>
    <row r="2411" spans="1:5" ht="15" x14ac:dyDescent="0.35">
      <c r="A2411" s="58" t="s">
        <v>382</v>
      </c>
      <c r="B2411" s="58" t="s">
        <v>182</v>
      </c>
      <c r="C2411" s="58">
        <v>7</v>
      </c>
      <c r="D2411" s="58">
        <v>110</v>
      </c>
      <c r="E2411" s="59">
        <v>39.645899999999997</v>
      </c>
    </row>
    <row r="2412" spans="1:5" ht="15" x14ac:dyDescent="0.35">
      <c r="A2412" s="58" t="s">
        <v>382</v>
      </c>
      <c r="B2412" s="58" t="s">
        <v>182</v>
      </c>
      <c r="C2412" s="58">
        <v>8</v>
      </c>
      <c r="D2412" s="58">
        <v>111</v>
      </c>
      <c r="E2412" s="59">
        <v>31.979299999999999</v>
      </c>
    </row>
    <row r="2413" spans="1:5" ht="15" x14ac:dyDescent="0.35">
      <c r="A2413" s="58" t="s">
        <v>382</v>
      </c>
      <c r="B2413" s="58" t="s">
        <v>182</v>
      </c>
      <c r="C2413" s="58">
        <v>9</v>
      </c>
      <c r="D2413" s="58">
        <v>112</v>
      </c>
      <c r="E2413" s="59">
        <v>41.312600000000003</v>
      </c>
    </row>
    <row r="2414" spans="1:5" ht="15" x14ac:dyDescent="0.35">
      <c r="A2414" s="58" t="s">
        <v>382</v>
      </c>
      <c r="B2414" s="58" t="s">
        <v>182</v>
      </c>
      <c r="C2414" s="58">
        <v>10</v>
      </c>
      <c r="D2414" s="58">
        <v>113</v>
      </c>
      <c r="E2414" s="59">
        <v>52.645899999999997</v>
      </c>
    </row>
    <row r="2415" spans="1:5" ht="15" x14ac:dyDescent="0.35">
      <c r="A2415" s="58" t="s">
        <v>382</v>
      </c>
      <c r="B2415" s="58" t="s">
        <v>182</v>
      </c>
      <c r="C2415" s="58">
        <v>11</v>
      </c>
      <c r="D2415" s="58">
        <v>114</v>
      </c>
      <c r="E2415" s="59">
        <v>52.090400000000002</v>
      </c>
    </row>
    <row r="2416" spans="1:5" ht="15" x14ac:dyDescent="0.35">
      <c r="A2416" s="58" t="s">
        <v>382</v>
      </c>
      <c r="B2416" s="58" t="s">
        <v>182</v>
      </c>
      <c r="C2416" s="58">
        <v>12</v>
      </c>
      <c r="D2416" s="58">
        <v>115</v>
      </c>
      <c r="E2416" s="59">
        <v>48.090400000000002</v>
      </c>
    </row>
    <row r="2417" spans="1:5" ht="15" x14ac:dyDescent="0.35">
      <c r="A2417" s="58" t="s">
        <v>382</v>
      </c>
      <c r="B2417" s="58" t="s">
        <v>176</v>
      </c>
      <c r="C2417" s="58">
        <v>1</v>
      </c>
      <c r="D2417" s="58">
        <v>104</v>
      </c>
      <c r="E2417" s="59">
        <v>116.125</v>
      </c>
    </row>
    <row r="2418" spans="1:5" ht="15" x14ac:dyDescent="0.35">
      <c r="A2418" s="58" t="s">
        <v>382</v>
      </c>
      <c r="B2418" s="58" t="s">
        <v>176</v>
      </c>
      <c r="C2418" s="58">
        <v>2</v>
      </c>
      <c r="D2418" s="58">
        <v>105</v>
      </c>
      <c r="E2418" s="59">
        <v>116.125</v>
      </c>
    </row>
    <row r="2419" spans="1:5" ht="15" x14ac:dyDescent="0.35">
      <c r="A2419" s="58" t="s">
        <v>382</v>
      </c>
      <c r="B2419" s="58" t="s">
        <v>176</v>
      </c>
      <c r="C2419" s="58">
        <v>3</v>
      </c>
      <c r="D2419" s="58">
        <v>106</v>
      </c>
      <c r="E2419" s="59">
        <v>116.125</v>
      </c>
    </row>
    <row r="2420" spans="1:5" ht="15" x14ac:dyDescent="0.35">
      <c r="A2420" s="58" t="s">
        <v>382</v>
      </c>
      <c r="B2420" s="58" t="s">
        <v>176</v>
      </c>
      <c r="C2420" s="58">
        <v>4</v>
      </c>
      <c r="D2420" s="58">
        <v>107</v>
      </c>
      <c r="E2420" s="59">
        <v>116.125</v>
      </c>
    </row>
    <row r="2421" spans="1:5" ht="15" x14ac:dyDescent="0.35">
      <c r="A2421" s="58" t="s">
        <v>382</v>
      </c>
      <c r="B2421" s="58" t="s">
        <v>176</v>
      </c>
      <c r="C2421" s="58">
        <v>5</v>
      </c>
      <c r="D2421" s="58">
        <v>108</v>
      </c>
      <c r="E2421" s="59">
        <v>116.125</v>
      </c>
    </row>
    <row r="2422" spans="1:5" ht="15" x14ac:dyDescent="0.35">
      <c r="A2422" s="58" t="s">
        <v>382</v>
      </c>
      <c r="B2422" s="58" t="s">
        <v>176</v>
      </c>
      <c r="C2422" s="58">
        <v>6</v>
      </c>
      <c r="D2422" s="58">
        <v>109</v>
      </c>
      <c r="E2422" s="59">
        <v>116.125</v>
      </c>
    </row>
    <row r="2423" spans="1:5" ht="15" x14ac:dyDescent="0.35">
      <c r="A2423" s="58" t="s">
        <v>382</v>
      </c>
      <c r="B2423" s="58" t="s">
        <v>176</v>
      </c>
      <c r="C2423" s="58">
        <v>7</v>
      </c>
      <c r="D2423" s="58">
        <v>110</v>
      </c>
      <c r="E2423" s="59">
        <v>116.125</v>
      </c>
    </row>
    <row r="2424" spans="1:5" ht="15" x14ac:dyDescent="0.35">
      <c r="A2424" s="58" t="s">
        <v>382</v>
      </c>
      <c r="B2424" s="58" t="s">
        <v>176</v>
      </c>
      <c r="C2424" s="58">
        <v>8</v>
      </c>
      <c r="D2424" s="58">
        <v>111</v>
      </c>
      <c r="E2424" s="59">
        <v>116.125</v>
      </c>
    </row>
    <row r="2425" spans="1:5" ht="15" x14ac:dyDescent="0.35">
      <c r="A2425" s="58" t="s">
        <v>382</v>
      </c>
      <c r="B2425" s="58" t="s">
        <v>176</v>
      </c>
      <c r="C2425" s="58">
        <v>9</v>
      </c>
      <c r="D2425" s="58">
        <v>112</v>
      </c>
      <c r="E2425" s="59">
        <v>116.125</v>
      </c>
    </row>
    <row r="2426" spans="1:5" ht="15" x14ac:dyDescent="0.35">
      <c r="A2426" s="58" t="s">
        <v>382</v>
      </c>
      <c r="B2426" s="58" t="s">
        <v>176</v>
      </c>
      <c r="C2426" s="58">
        <v>10</v>
      </c>
      <c r="D2426" s="58">
        <v>113</v>
      </c>
      <c r="E2426" s="59">
        <v>116.125</v>
      </c>
    </row>
    <row r="2427" spans="1:5" ht="15" x14ac:dyDescent="0.35">
      <c r="A2427" s="58" t="s">
        <v>382</v>
      </c>
      <c r="B2427" s="58" t="s">
        <v>176</v>
      </c>
      <c r="C2427" s="58">
        <v>11</v>
      </c>
      <c r="D2427" s="58">
        <v>114</v>
      </c>
      <c r="E2427" s="59">
        <v>116.125</v>
      </c>
    </row>
    <row r="2428" spans="1:5" ht="15" x14ac:dyDescent="0.35">
      <c r="A2428" s="58" t="s">
        <v>382</v>
      </c>
      <c r="B2428" s="58" t="s">
        <v>176</v>
      </c>
      <c r="C2428" s="58">
        <v>12</v>
      </c>
      <c r="D2428" s="58">
        <v>115</v>
      </c>
      <c r="E2428" s="59">
        <v>116.125</v>
      </c>
    </row>
    <row r="2429" spans="1:5" ht="15" x14ac:dyDescent="0.35">
      <c r="A2429" s="58" t="s">
        <v>382</v>
      </c>
      <c r="B2429" s="58" t="s">
        <v>172</v>
      </c>
      <c r="C2429" s="58">
        <v>1</v>
      </c>
      <c r="D2429" s="58">
        <v>104</v>
      </c>
      <c r="E2429" s="59">
        <v>42</v>
      </c>
    </row>
    <row r="2430" spans="1:5" ht="15" x14ac:dyDescent="0.35">
      <c r="A2430" s="58" t="s">
        <v>382</v>
      </c>
      <c r="B2430" s="58" t="s">
        <v>172</v>
      </c>
      <c r="C2430" s="58">
        <v>2</v>
      </c>
      <c r="D2430" s="58">
        <v>105</v>
      </c>
      <c r="E2430" s="59">
        <v>42</v>
      </c>
    </row>
    <row r="2431" spans="1:5" ht="15" x14ac:dyDescent="0.35">
      <c r="A2431" s="58" t="s">
        <v>382</v>
      </c>
      <c r="B2431" s="58" t="s">
        <v>172</v>
      </c>
      <c r="C2431" s="58">
        <v>3</v>
      </c>
      <c r="D2431" s="58">
        <v>106</v>
      </c>
      <c r="E2431" s="59">
        <v>42</v>
      </c>
    </row>
    <row r="2432" spans="1:5" ht="15" x14ac:dyDescent="0.35">
      <c r="A2432" s="58" t="s">
        <v>382</v>
      </c>
      <c r="B2432" s="58" t="s">
        <v>172</v>
      </c>
      <c r="C2432" s="58">
        <v>4</v>
      </c>
      <c r="D2432" s="58">
        <v>107</v>
      </c>
      <c r="E2432" s="59">
        <v>42</v>
      </c>
    </row>
    <row r="2433" spans="1:5" ht="15" x14ac:dyDescent="0.35">
      <c r="A2433" s="58" t="s">
        <v>382</v>
      </c>
      <c r="B2433" s="58" t="s">
        <v>172</v>
      </c>
      <c r="C2433" s="58">
        <v>5</v>
      </c>
      <c r="D2433" s="58">
        <v>108</v>
      </c>
      <c r="E2433" s="59">
        <v>42</v>
      </c>
    </row>
    <row r="2434" spans="1:5" ht="15" x14ac:dyDescent="0.35">
      <c r="A2434" s="58" t="s">
        <v>382</v>
      </c>
      <c r="B2434" s="58" t="s">
        <v>172</v>
      </c>
      <c r="C2434" s="58">
        <v>6</v>
      </c>
      <c r="D2434" s="58">
        <v>109</v>
      </c>
      <c r="E2434" s="59">
        <v>42</v>
      </c>
    </row>
    <row r="2435" spans="1:5" ht="15" x14ac:dyDescent="0.35">
      <c r="A2435" s="58" t="s">
        <v>382</v>
      </c>
      <c r="B2435" s="58" t="s">
        <v>172</v>
      </c>
      <c r="C2435" s="58">
        <v>7</v>
      </c>
      <c r="D2435" s="58">
        <v>110</v>
      </c>
      <c r="E2435" s="59">
        <v>42</v>
      </c>
    </row>
    <row r="2436" spans="1:5" ht="15" x14ac:dyDescent="0.35">
      <c r="A2436" s="58" t="s">
        <v>382</v>
      </c>
      <c r="B2436" s="58" t="s">
        <v>172</v>
      </c>
      <c r="C2436" s="58">
        <v>8</v>
      </c>
      <c r="D2436" s="58">
        <v>111</v>
      </c>
      <c r="E2436" s="59">
        <v>42</v>
      </c>
    </row>
    <row r="2437" spans="1:5" ht="15" x14ac:dyDescent="0.35">
      <c r="A2437" s="58" t="s">
        <v>382</v>
      </c>
      <c r="B2437" s="58" t="s">
        <v>172</v>
      </c>
      <c r="C2437" s="58">
        <v>9</v>
      </c>
      <c r="D2437" s="58">
        <v>112</v>
      </c>
      <c r="E2437" s="59">
        <v>42</v>
      </c>
    </row>
    <row r="2438" spans="1:5" ht="15" x14ac:dyDescent="0.35">
      <c r="A2438" s="58" t="s">
        <v>382</v>
      </c>
      <c r="B2438" s="58" t="s">
        <v>172</v>
      </c>
      <c r="C2438" s="58">
        <v>10</v>
      </c>
      <c r="D2438" s="58">
        <v>113</v>
      </c>
      <c r="E2438" s="59">
        <v>42</v>
      </c>
    </row>
    <row r="2439" spans="1:5" ht="15" x14ac:dyDescent="0.35">
      <c r="A2439" s="58" t="s">
        <v>382</v>
      </c>
      <c r="B2439" s="58" t="s">
        <v>172</v>
      </c>
      <c r="C2439" s="58">
        <v>11</v>
      </c>
      <c r="D2439" s="58">
        <v>114</v>
      </c>
      <c r="E2439" s="59">
        <v>42</v>
      </c>
    </row>
    <row r="2440" spans="1:5" ht="15" x14ac:dyDescent="0.35">
      <c r="A2440" s="58" t="s">
        <v>382</v>
      </c>
      <c r="B2440" s="58" t="s">
        <v>172</v>
      </c>
      <c r="C2440" s="58">
        <v>12</v>
      </c>
      <c r="D2440" s="58">
        <v>115</v>
      </c>
      <c r="E2440" s="59">
        <v>42</v>
      </c>
    </row>
    <row r="2441" spans="1:5" ht="15" x14ac:dyDescent="0.35">
      <c r="A2441" s="58" t="s">
        <v>382</v>
      </c>
      <c r="B2441" s="58" t="s">
        <v>180</v>
      </c>
      <c r="C2441" s="58">
        <v>1</v>
      </c>
      <c r="D2441" s="58">
        <v>104</v>
      </c>
      <c r="E2441" s="59">
        <v>100.4014</v>
      </c>
    </row>
    <row r="2442" spans="1:5" ht="15" x14ac:dyDescent="0.35">
      <c r="A2442" s="58" t="s">
        <v>382</v>
      </c>
      <c r="B2442" s="58" t="s">
        <v>180</v>
      </c>
      <c r="C2442" s="58">
        <v>2</v>
      </c>
      <c r="D2442" s="58">
        <v>105</v>
      </c>
      <c r="E2442" s="59">
        <v>100.4014</v>
      </c>
    </row>
    <row r="2443" spans="1:5" ht="15" x14ac:dyDescent="0.35">
      <c r="A2443" s="58" t="s">
        <v>382</v>
      </c>
      <c r="B2443" s="58" t="s">
        <v>180</v>
      </c>
      <c r="C2443" s="58">
        <v>3</v>
      </c>
      <c r="D2443" s="58">
        <v>106</v>
      </c>
      <c r="E2443" s="59">
        <v>100.4014</v>
      </c>
    </row>
    <row r="2444" spans="1:5" ht="15" x14ac:dyDescent="0.35">
      <c r="A2444" s="58" t="s">
        <v>382</v>
      </c>
      <c r="B2444" s="58" t="s">
        <v>180</v>
      </c>
      <c r="C2444" s="58">
        <v>4</v>
      </c>
      <c r="D2444" s="58">
        <v>107</v>
      </c>
      <c r="E2444" s="59">
        <v>100.4014</v>
      </c>
    </row>
    <row r="2445" spans="1:5" ht="15" x14ac:dyDescent="0.35">
      <c r="A2445" s="58" t="s">
        <v>382</v>
      </c>
      <c r="B2445" s="58" t="s">
        <v>180</v>
      </c>
      <c r="C2445" s="58">
        <v>5</v>
      </c>
      <c r="D2445" s="58">
        <v>108</v>
      </c>
      <c r="E2445" s="59">
        <v>100.4014</v>
      </c>
    </row>
    <row r="2446" spans="1:5" ht="15" x14ac:dyDescent="0.35">
      <c r="A2446" s="58" t="s">
        <v>382</v>
      </c>
      <c r="B2446" s="58" t="s">
        <v>180</v>
      </c>
      <c r="C2446" s="58">
        <v>6</v>
      </c>
      <c r="D2446" s="58">
        <v>109</v>
      </c>
      <c r="E2446" s="59">
        <v>100.4014</v>
      </c>
    </row>
    <row r="2447" spans="1:5" ht="15" x14ac:dyDescent="0.35">
      <c r="A2447" s="58" t="s">
        <v>382</v>
      </c>
      <c r="B2447" s="58" t="s">
        <v>180</v>
      </c>
      <c r="C2447" s="58">
        <v>7</v>
      </c>
      <c r="D2447" s="58">
        <v>110</v>
      </c>
      <c r="E2447" s="59">
        <v>100.4014</v>
      </c>
    </row>
    <row r="2448" spans="1:5" ht="15" x14ac:dyDescent="0.35">
      <c r="A2448" s="58" t="s">
        <v>382</v>
      </c>
      <c r="B2448" s="58" t="s">
        <v>180</v>
      </c>
      <c r="C2448" s="58">
        <v>8</v>
      </c>
      <c r="D2448" s="58">
        <v>111</v>
      </c>
      <c r="E2448" s="59">
        <v>100.4014</v>
      </c>
    </row>
    <row r="2449" spans="1:5" ht="15" x14ac:dyDescent="0.35">
      <c r="A2449" s="58" t="s">
        <v>382</v>
      </c>
      <c r="B2449" s="58" t="s">
        <v>180</v>
      </c>
      <c r="C2449" s="58">
        <v>9</v>
      </c>
      <c r="D2449" s="58">
        <v>112</v>
      </c>
      <c r="E2449" s="59">
        <v>100.4014</v>
      </c>
    </row>
    <row r="2450" spans="1:5" ht="15" x14ac:dyDescent="0.35">
      <c r="A2450" s="58" t="s">
        <v>382</v>
      </c>
      <c r="B2450" s="58" t="s">
        <v>180</v>
      </c>
      <c r="C2450" s="58">
        <v>10</v>
      </c>
      <c r="D2450" s="58">
        <v>113</v>
      </c>
      <c r="E2450" s="59">
        <v>100.4014</v>
      </c>
    </row>
    <row r="2451" spans="1:5" ht="15" x14ac:dyDescent="0.35">
      <c r="A2451" s="58" t="s">
        <v>382</v>
      </c>
      <c r="B2451" s="58" t="s">
        <v>180</v>
      </c>
      <c r="C2451" s="58">
        <v>11</v>
      </c>
      <c r="D2451" s="58">
        <v>114</v>
      </c>
      <c r="E2451" s="59">
        <v>100.4014</v>
      </c>
    </row>
    <row r="2452" spans="1:5" ht="15" x14ac:dyDescent="0.35">
      <c r="A2452" s="58" t="s">
        <v>382</v>
      </c>
      <c r="B2452" s="58" t="s">
        <v>180</v>
      </c>
      <c r="C2452" s="58">
        <v>12</v>
      </c>
      <c r="D2452" s="58">
        <v>115</v>
      </c>
      <c r="E2452" s="59">
        <v>100.4014</v>
      </c>
    </row>
    <row r="2453" spans="1:5" ht="15" x14ac:dyDescent="0.35">
      <c r="A2453" s="58" t="s">
        <v>326</v>
      </c>
      <c r="B2453" s="58" t="s">
        <v>182</v>
      </c>
      <c r="C2453" s="58">
        <v>1</v>
      </c>
      <c r="D2453" s="58">
        <v>104</v>
      </c>
      <c r="E2453" s="59">
        <v>207.28720000000001</v>
      </c>
    </row>
    <row r="2454" spans="1:5" ht="15" x14ac:dyDescent="0.35">
      <c r="A2454" s="58" t="s">
        <v>326</v>
      </c>
      <c r="B2454" s="58" t="s">
        <v>182</v>
      </c>
      <c r="C2454" s="58">
        <v>2</v>
      </c>
      <c r="D2454" s="58">
        <v>105</v>
      </c>
      <c r="E2454" s="59">
        <v>0</v>
      </c>
    </row>
    <row r="2455" spans="1:5" ht="15" x14ac:dyDescent="0.35">
      <c r="A2455" s="58" t="s">
        <v>326</v>
      </c>
      <c r="B2455" s="58" t="s">
        <v>182</v>
      </c>
      <c r="C2455" s="58">
        <v>3</v>
      </c>
      <c r="D2455" s="58">
        <v>106</v>
      </c>
      <c r="E2455" s="59">
        <v>0</v>
      </c>
    </row>
    <row r="2456" spans="1:5" ht="15" x14ac:dyDescent="0.35">
      <c r="A2456" s="58" t="s">
        <v>326</v>
      </c>
      <c r="B2456" s="58" t="s">
        <v>182</v>
      </c>
      <c r="C2456" s="58">
        <v>4</v>
      </c>
      <c r="D2456" s="58">
        <v>107</v>
      </c>
      <c r="E2456" s="59">
        <v>0</v>
      </c>
    </row>
    <row r="2457" spans="1:5" ht="15" x14ac:dyDescent="0.35">
      <c r="A2457" s="58" t="s">
        <v>326</v>
      </c>
      <c r="B2457" s="58" t="s">
        <v>182</v>
      </c>
      <c r="C2457" s="58">
        <v>5</v>
      </c>
      <c r="D2457" s="58">
        <v>108</v>
      </c>
      <c r="E2457" s="59">
        <v>0</v>
      </c>
    </row>
    <row r="2458" spans="1:5" ht="15" x14ac:dyDescent="0.35">
      <c r="A2458" s="58" t="s">
        <v>326</v>
      </c>
      <c r="B2458" s="58" t="s">
        <v>182</v>
      </c>
      <c r="C2458" s="58">
        <v>6</v>
      </c>
      <c r="D2458" s="58">
        <v>109</v>
      </c>
      <c r="E2458" s="59">
        <v>0</v>
      </c>
    </row>
    <row r="2459" spans="1:5" ht="15" x14ac:dyDescent="0.35">
      <c r="A2459" s="58" t="s">
        <v>326</v>
      </c>
      <c r="B2459" s="58" t="s">
        <v>182</v>
      </c>
      <c r="C2459" s="58">
        <v>7</v>
      </c>
      <c r="D2459" s="58">
        <v>110</v>
      </c>
      <c r="E2459" s="59">
        <v>0</v>
      </c>
    </row>
    <row r="2460" spans="1:5" ht="15" x14ac:dyDescent="0.35">
      <c r="A2460" s="58" t="s">
        <v>326</v>
      </c>
      <c r="B2460" s="58" t="s">
        <v>182</v>
      </c>
      <c r="C2460" s="58">
        <v>8</v>
      </c>
      <c r="D2460" s="58">
        <v>111</v>
      </c>
      <c r="E2460" s="59">
        <v>0</v>
      </c>
    </row>
    <row r="2461" spans="1:5" ht="15" x14ac:dyDescent="0.35">
      <c r="A2461" s="58" t="s">
        <v>326</v>
      </c>
      <c r="B2461" s="58" t="s">
        <v>182</v>
      </c>
      <c r="C2461" s="58">
        <v>9</v>
      </c>
      <c r="D2461" s="58">
        <v>112</v>
      </c>
      <c r="E2461" s="59">
        <v>0</v>
      </c>
    </row>
    <row r="2462" spans="1:5" ht="15" x14ac:dyDescent="0.35">
      <c r="A2462" s="58" t="s">
        <v>326</v>
      </c>
      <c r="B2462" s="58" t="s">
        <v>182</v>
      </c>
      <c r="C2462" s="58">
        <v>10</v>
      </c>
      <c r="D2462" s="58">
        <v>113</v>
      </c>
      <c r="E2462" s="59">
        <v>0</v>
      </c>
    </row>
    <row r="2463" spans="1:5" ht="15" x14ac:dyDescent="0.35">
      <c r="A2463" s="58" t="s">
        <v>326</v>
      </c>
      <c r="B2463" s="58" t="s">
        <v>182</v>
      </c>
      <c r="C2463" s="58">
        <v>11</v>
      </c>
      <c r="D2463" s="58">
        <v>114</v>
      </c>
      <c r="E2463" s="59">
        <v>0</v>
      </c>
    </row>
    <row r="2464" spans="1:5" ht="15" x14ac:dyDescent="0.35">
      <c r="A2464" s="58" t="s">
        <v>326</v>
      </c>
      <c r="B2464" s="58" t="s">
        <v>182</v>
      </c>
      <c r="C2464" s="58">
        <v>12</v>
      </c>
      <c r="D2464" s="58">
        <v>115</v>
      </c>
      <c r="E2464" s="59">
        <v>0</v>
      </c>
    </row>
    <row r="2465" spans="1:5" ht="15" x14ac:dyDescent="0.35">
      <c r="A2465" s="58" t="s">
        <v>326</v>
      </c>
      <c r="B2465" s="58" t="s">
        <v>176</v>
      </c>
      <c r="C2465" s="58">
        <v>1</v>
      </c>
      <c r="D2465" s="58">
        <v>104</v>
      </c>
      <c r="E2465" s="59">
        <v>291.25</v>
      </c>
    </row>
    <row r="2466" spans="1:5" ht="15" x14ac:dyDescent="0.35">
      <c r="A2466" s="58" t="s">
        <v>326</v>
      </c>
      <c r="B2466" s="58" t="s">
        <v>176</v>
      </c>
      <c r="C2466" s="58">
        <v>2</v>
      </c>
      <c r="D2466" s="58">
        <v>105</v>
      </c>
      <c r="E2466" s="59">
        <v>291.25</v>
      </c>
    </row>
    <row r="2467" spans="1:5" ht="15" x14ac:dyDescent="0.35">
      <c r="A2467" s="58" t="s">
        <v>326</v>
      </c>
      <c r="B2467" s="58" t="s">
        <v>176</v>
      </c>
      <c r="C2467" s="58">
        <v>3</v>
      </c>
      <c r="D2467" s="58">
        <v>106</v>
      </c>
      <c r="E2467" s="59">
        <v>291.25</v>
      </c>
    </row>
    <row r="2468" spans="1:5" ht="15" x14ac:dyDescent="0.35">
      <c r="A2468" s="58" t="s">
        <v>326</v>
      </c>
      <c r="B2468" s="58" t="s">
        <v>176</v>
      </c>
      <c r="C2468" s="58">
        <v>4</v>
      </c>
      <c r="D2468" s="58">
        <v>107</v>
      </c>
      <c r="E2468" s="59">
        <v>291.25</v>
      </c>
    </row>
    <row r="2469" spans="1:5" ht="15" x14ac:dyDescent="0.35">
      <c r="A2469" s="58" t="s">
        <v>326</v>
      </c>
      <c r="B2469" s="58" t="s">
        <v>176</v>
      </c>
      <c r="C2469" s="58">
        <v>5</v>
      </c>
      <c r="D2469" s="58">
        <v>108</v>
      </c>
      <c r="E2469" s="59">
        <v>291.25</v>
      </c>
    </row>
    <row r="2470" spans="1:5" ht="15" x14ac:dyDescent="0.35">
      <c r="A2470" s="58" t="s">
        <v>326</v>
      </c>
      <c r="B2470" s="58" t="s">
        <v>176</v>
      </c>
      <c r="C2470" s="58">
        <v>6</v>
      </c>
      <c r="D2470" s="58">
        <v>109</v>
      </c>
      <c r="E2470" s="59">
        <v>291.25</v>
      </c>
    </row>
    <row r="2471" spans="1:5" ht="15" x14ac:dyDescent="0.35">
      <c r="A2471" s="58" t="s">
        <v>326</v>
      </c>
      <c r="B2471" s="58" t="s">
        <v>176</v>
      </c>
      <c r="C2471" s="58">
        <v>7</v>
      </c>
      <c r="D2471" s="58">
        <v>110</v>
      </c>
      <c r="E2471" s="59">
        <v>291.25</v>
      </c>
    </row>
    <row r="2472" spans="1:5" ht="15" x14ac:dyDescent="0.35">
      <c r="A2472" s="58" t="s">
        <v>326</v>
      </c>
      <c r="B2472" s="58" t="s">
        <v>176</v>
      </c>
      <c r="C2472" s="58">
        <v>8</v>
      </c>
      <c r="D2472" s="58">
        <v>111</v>
      </c>
      <c r="E2472" s="59">
        <v>291.25</v>
      </c>
    </row>
    <row r="2473" spans="1:5" ht="15" x14ac:dyDescent="0.35">
      <c r="A2473" s="58" t="s">
        <v>326</v>
      </c>
      <c r="B2473" s="58" t="s">
        <v>176</v>
      </c>
      <c r="C2473" s="58">
        <v>9</v>
      </c>
      <c r="D2473" s="58">
        <v>112</v>
      </c>
      <c r="E2473" s="59">
        <v>291.25</v>
      </c>
    </row>
    <row r="2474" spans="1:5" ht="15" x14ac:dyDescent="0.35">
      <c r="A2474" s="58" t="s">
        <v>326</v>
      </c>
      <c r="B2474" s="58" t="s">
        <v>176</v>
      </c>
      <c r="C2474" s="58">
        <v>10</v>
      </c>
      <c r="D2474" s="58">
        <v>113</v>
      </c>
      <c r="E2474" s="59">
        <v>291.25</v>
      </c>
    </row>
    <row r="2475" spans="1:5" ht="15" x14ac:dyDescent="0.35">
      <c r="A2475" s="58" t="s">
        <v>326</v>
      </c>
      <c r="B2475" s="58" t="s">
        <v>176</v>
      </c>
      <c r="C2475" s="58">
        <v>11</v>
      </c>
      <c r="D2475" s="58">
        <v>114</v>
      </c>
      <c r="E2475" s="59">
        <v>291.25</v>
      </c>
    </row>
    <row r="2476" spans="1:5" ht="15" x14ac:dyDescent="0.35">
      <c r="A2476" s="58" t="s">
        <v>326</v>
      </c>
      <c r="B2476" s="58" t="s">
        <v>176</v>
      </c>
      <c r="C2476" s="58">
        <v>12</v>
      </c>
      <c r="D2476" s="58">
        <v>115</v>
      </c>
      <c r="E2476" s="59">
        <v>291.25</v>
      </c>
    </row>
    <row r="2477" spans="1:5" ht="15" x14ac:dyDescent="0.35">
      <c r="A2477" s="58" t="s">
        <v>326</v>
      </c>
      <c r="B2477" s="58" t="s">
        <v>172</v>
      </c>
      <c r="C2477" s="58">
        <v>1</v>
      </c>
      <c r="D2477" s="58">
        <v>104</v>
      </c>
      <c r="E2477" s="59">
        <v>193</v>
      </c>
    </row>
    <row r="2478" spans="1:5" ht="15" x14ac:dyDescent="0.35">
      <c r="A2478" s="58" t="s">
        <v>326</v>
      </c>
      <c r="B2478" s="58" t="s">
        <v>172</v>
      </c>
      <c r="C2478" s="58">
        <v>2</v>
      </c>
      <c r="D2478" s="58">
        <v>105</v>
      </c>
      <c r="E2478" s="59">
        <v>193</v>
      </c>
    </row>
    <row r="2479" spans="1:5" ht="15" x14ac:dyDescent="0.35">
      <c r="A2479" s="58" t="s">
        <v>326</v>
      </c>
      <c r="B2479" s="58" t="s">
        <v>172</v>
      </c>
      <c r="C2479" s="58">
        <v>3</v>
      </c>
      <c r="D2479" s="58">
        <v>106</v>
      </c>
      <c r="E2479" s="59">
        <v>193</v>
      </c>
    </row>
    <row r="2480" spans="1:5" ht="15" x14ac:dyDescent="0.35">
      <c r="A2480" s="58" t="s">
        <v>326</v>
      </c>
      <c r="B2480" s="58" t="s">
        <v>172</v>
      </c>
      <c r="C2480" s="58">
        <v>4</v>
      </c>
      <c r="D2480" s="58">
        <v>107</v>
      </c>
      <c r="E2480" s="59">
        <v>193</v>
      </c>
    </row>
    <row r="2481" spans="1:5" ht="15" x14ac:dyDescent="0.35">
      <c r="A2481" s="58" t="s">
        <v>326</v>
      </c>
      <c r="B2481" s="58" t="s">
        <v>172</v>
      </c>
      <c r="C2481" s="58">
        <v>5</v>
      </c>
      <c r="D2481" s="58">
        <v>108</v>
      </c>
      <c r="E2481" s="59">
        <v>193</v>
      </c>
    </row>
    <row r="2482" spans="1:5" ht="15" x14ac:dyDescent="0.35">
      <c r="A2482" s="58" t="s">
        <v>326</v>
      </c>
      <c r="B2482" s="58" t="s">
        <v>172</v>
      </c>
      <c r="C2482" s="58">
        <v>6</v>
      </c>
      <c r="D2482" s="58">
        <v>109</v>
      </c>
      <c r="E2482" s="59">
        <v>193</v>
      </c>
    </row>
    <row r="2483" spans="1:5" ht="15" x14ac:dyDescent="0.35">
      <c r="A2483" s="58" t="s">
        <v>326</v>
      </c>
      <c r="B2483" s="58" t="s">
        <v>172</v>
      </c>
      <c r="C2483" s="58">
        <v>7</v>
      </c>
      <c r="D2483" s="58">
        <v>110</v>
      </c>
      <c r="E2483" s="59">
        <v>193</v>
      </c>
    </row>
    <row r="2484" spans="1:5" ht="15" x14ac:dyDescent="0.35">
      <c r="A2484" s="58" t="s">
        <v>326</v>
      </c>
      <c r="B2484" s="58" t="s">
        <v>172</v>
      </c>
      <c r="C2484" s="58">
        <v>8</v>
      </c>
      <c r="D2484" s="58">
        <v>111</v>
      </c>
      <c r="E2484" s="59">
        <v>193</v>
      </c>
    </row>
    <row r="2485" spans="1:5" ht="15" x14ac:dyDescent="0.35">
      <c r="A2485" s="58" t="s">
        <v>326</v>
      </c>
      <c r="B2485" s="58" t="s">
        <v>172</v>
      </c>
      <c r="C2485" s="58">
        <v>9</v>
      </c>
      <c r="D2485" s="58">
        <v>112</v>
      </c>
      <c r="E2485" s="59">
        <v>193</v>
      </c>
    </row>
    <row r="2486" spans="1:5" ht="15" x14ac:dyDescent="0.35">
      <c r="A2486" s="58" t="s">
        <v>326</v>
      </c>
      <c r="B2486" s="58" t="s">
        <v>172</v>
      </c>
      <c r="C2486" s="58">
        <v>10</v>
      </c>
      <c r="D2486" s="58">
        <v>113</v>
      </c>
      <c r="E2486" s="59">
        <v>193</v>
      </c>
    </row>
    <row r="2487" spans="1:5" ht="15" x14ac:dyDescent="0.35">
      <c r="A2487" s="58" t="s">
        <v>326</v>
      </c>
      <c r="B2487" s="58" t="s">
        <v>172</v>
      </c>
      <c r="C2487" s="58">
        <v>11</v>
      </c>
      <c r="D2487" s="58">
        <v>114</v>
      </c>
      <c r="E2487" s="59">
        <v>193</v>
      </c>
    </row>
    <row r="2488" spans="1:5" ht="15" x14ac:dyDescent="0.35">
      <c r="A2488" s="58" t="s">
        <v>326</v>
      </c>
      <c r="B2488" s="58" t="s">
        <v>172</v>
      </c>
      <c r="C2488" s="58">
        <v>12</v>
      </c>
      <c r="D2488" s="58">
        <v>115</v>
      </c>
      <c r="E2488" s="59">
        <v>193</v>
      </c>
    </row>
    <row r="2489" spans="1:5" ht="15" x14ac:dyDescent="0.35">
      <c r="A2489" s="58" t="s">
        <v>326</v>
      </c>
      <c r="B2489" s="58" t="s">
        <v>180</v>
      </c>
      <c r="C2489" s="58">
        <v>1</v>
      </c>
      <c r="D2489" s="58">
        <v>104</v>
      </c>
      <c r="E2489" s="59">
        <v>256.5018</v>
      </c>
    </row>
    <row r="2490" spans="1:5" ht="15" x14ac:dyDescent="0.35">
      <c r="A2490" s="58" t="s">
        <v>326</v>
      </c>
      <c r="B2490" s="58" t="s">
        <v>180</v>
      </c>
      <c r="C2490" s="58">
        <v>2</v>
      </c>
      <c r="D2490" s="58">
        <v>105</v>
      </c>
      <c r="E2490" s="59">
        <v>256.5018</v>
      </c>
    </row>
    <row r="2491" spans="1:5" ht="15" x14ac:dyDescent="0.35">
      <c r="A2491" s="58" t="s">
        <v>326</v>
      </c>
      <c r="B2491" s="58" t="s">
        <v>180</v>
      </c>
      <c r="C2491" s="58">
        <v>3</v>
      </c>
      <c r="D2491" s="58">
        <v>106</v>
      </c>
      <c r="E2491" s="59">
        <v>256.5018</v>
      </c>
    </row>
    <row r="2492" spans="1:5" ht="15" x14ac:dyDescent="0.35">
      <c r="A2492" s="58" t="s">
        <v>326</v>
      </c>
      <c r="B2492" s="58" t="s">
        <v>180</v>
      </c>
      <c r="C2492" s="58">
        <v>4</v>
      </c>
      <c r="D2492" s="58">
        <v>107</v>
      </c>
      <c r="E2492" s="59">
        <v>256.5018</v>
      </c>
    </row>
    <row r="2493" spans="1:5" ht="15" x14ac:dyDescent="0.35">
      <c r="A2493" s="58" t="s">
        <v>326</v>
      </c>
      <c r="B2493" s="58" t="s">
        <v>180</v>
      </c>
      <c r="C2493" s="58">
        <v>5</v>
      </c>
      <c r="D2493" s="58">
        <v>108</v>
      </c>
      <c r="E2493" s="59">
        <v>256.5018</v>
      </c>
    </row>
    <row r="2494" spans="1:5" ht="15" x14ac:dyDescent="0.35">
      <c r="A2494" s="58" t="s">
        <v>326</v>
      </c>
      <c r="B2494" s="58" t="s">
        <v>180</v>
      </c>
      <c r="C2494" s="58">
        <v>6</v>
      </c>
      <c r="D2494" s="58">
        <v>109</v>
      </c>
      <c r="E2494" s="59">
        <v>256.5018</v>
      </c>
    </row>
    <row r="2495" spans="1:5" ht="15" x14ac:dyDescent="0.35">
      <c r="A2495" s="58" t="s">
        <v>326</v>
      </c>
      <c r="B2495" s="58" t="s">
        <v>180</v>
      </c>
      <c r="C2495" s="58">
        <v>7</v>
      </c>
      <c r="D2495" s="58">
        <v>110</v>
      </c>
      <c r="E2495" s="59">
        <v>256.5018</v>
      </c>
    </row>
    <row r="2496" spans="1:5" ht="15" x14ac:dyDescent="0.35">
      <c r="A2496" s="58" t="s">
        <v>326</v>
      </c>
      <c r="B2496" s="58" t="s">
        <v>180</v>
      </c>
      <c r="C2496" s="58">
        <v>8</v>
      </c>
      <c r="D2496" s="58">
        <v>111</v>
      </c>
      <c r="E2496" s="59">
        <v>256.5018</v>
      </c>
    </row>
    <row r="2497" spans="1:5" ht="15" x14ac:dyDescent="0.35">
      <c r="A2497" s="58" t="s">
        <v>326</v>
      </c>
      <c r="B2497" s="58" t="s">
        <v>180</v>
      </c>
      <c r="C2497" s="58">
        <v>9</v>
      </c>
      <c r="D2497" s="58">
        <v>112</v>
      </c>
      <c r="E2497" s="59">
        <v>256.5018</v>
      </c>
    </row>
    <row r="2498" spans="1:5" ht="15" x14ac:dyDescent="0.35">
      <c r="A2498" s="58" t="s">
        <v>326</v>
      </c>
      <c r="B2498" s="58" t="s">
        <v>180</v>
      </c>
      <c r="C2498" s="58">
        <v>10</v>
      </c>
      <c r="D2498" s="58">
        <v>113</v>
      </c>
      <c r="E2498" s="59">
        <v>256.5018</v>
      </c>
    </row>
    <row r="2499" spans="1:5" ht="15" x14ac:dyDescent="0.35">
      <c r="A2499" s="58" t="s">
        <v>326</v>
      </c>
      <c r="B2499" s="58" t="s">
        <v>180</v>
      </c>
      <c r="C2499" s="58">
        <v>11</v>
      </c>
      <c r="D2499" s="58">
        <v>114</v>
      </c>
      <c r="E2499" s="59">
        <v>256.5018</v>
      </c>
    </row>
    <row r="2500" spans="1:5" ht="15" x14ac:dyDescent="0.35">
      <c r="A2500" s="58" t="s">
        <v>326</v>
      </c>
      <c r="B2500" s="58" t="s">
        <v>180</v>
      </c>
      <c r="C2500" s="58">
        <v>12</v>
      </c>
      <c r="D2500" s="58">
        <v>115</v>
      </c>
      <c r="E2500" s="59">
        <v>256.5018</v>
      </c>
    </row>
    <row r="2501" spans="1:5" ht="15" x14ac:dyDescent="0.35">
      <c r="A2501" s="58" t="s">
        <v>345</v>
      </c>
      <c r="B2501" s="58" t="s">
        <v>182</v>
      </c>
      <c r="C2501" s="58">
        <v>1</v>
      </c>
      <c r="D2501" s="58">
        <v>104</v>
      </c>
      <c r="E2501" s="59">
        <v>124.5971</v>
      </c>
    </row>
    <row r="2502" spans="1:5" ht="15" x14ac:dyDescent="0.35">
      <c r="A2502" s="58" t="s">
        <v>345</v>
      </c>
      <c r="B2502" s="58" t="s">
        <v>182</v>
      </c>
      <c r="C2502" s="58">
        <v>2</v>
      </c>
      <c r="D2502" s="58">
        <v>105</v>
      </c>
      <c r="E2502" s="59">
        <v>141.50819999999999</v>
      </c>
    </row>
    <row r="2503" spans="1:5" ht="15" x14ac:dyDescent="0.35">
      <c r="A2503" s="58" t="s">
        <v>345</v>
      </c>
      <c r="B2503" s="58" t="s">
        <v>182</v>
      </c>
      <c r="C2503" s="58">
        <v>3</v>
      </c>
      <c r="D2503" s="58">
        <v>106</v>
      </c>
      <c r="E2503" s="59">
        <v>141.87479999999999</v>
      </c>
    </row>
    <row r="2504" spans="1:5" ht="15" x14ac:dyDescent="0.35">
      <c r="A2504" s="58" t="s">
        <v>345</v>
      </c>
      <c r="B2504" s="58" t="s">
        <v>182</v>
      </c>
      <c r="C2504" s="58">
        <v>4</v>
      </c>
      <c r="D2504" s="58">
        <v>107</v>
      </c>
      <c r="E2504" s="59">
        <v>125.2796</v>
      </c>
    </row>
    <row r="2505" spans="1:5" ht="15" x14ac:dyDescent="0.35">
      <c r="A2505" s="58" t="s">
        <v>345</v>
      </c>
      <c r="B2505" s="58" t="s">
        <v>182</v>
      </c>
      <c r="C2505" s="58">
        <v>5</v>
      </c>
      <c r="D2505" s="58">
        <v>108</v>
      </c>
      <c r="E2505" s="59">
        <v>118.20820000000001</v>
      </c>
    </row>
    <row r="2506" spans="1:5" ht="15" x14ac:dyDescent="0.35">
      <c r="A2506" s="58" t="s">
        <v>345</v>
      </c>
      <c r="B2506" s="58" t="s">
        <v>182</v>
      </c>
      <c r="C2506" s="58">
        <v>6</v>
      </c>
      <c r="D2506" s="58">
        <v>109</v>
      </c>
      <c r="E2506" s="59">
        <v>111.70820000000001</v>
      </c>
    </row>
    <row r="2507" spans="1:5" ht="15" x14ac:dyDescent="0.35">
      <c r="A2507" s="58" t="s">
        <v>345</v>
      </c>
      <c r="B2507" s="58" t="s">
        <v>182</v>
      </c>
      <c r="C2507" s="58">
        <v>7</v>
      </c>
      <c r="D2507" s="58">
        <v>110</v>
      </c>
      <c r="E2507" s="59">
        <v>92.2637</v>
      </c>
    </row>
    <row r="2508" spans="1:5" ht="15" x14ac:dyDescent="0.35">
      <c r="A2508" s="58" t="s">
        <v>345</v>
      </c>
      <c r="B2508" s="58" t="s">
        <v>182</v>
      </c>
      <c r="C2508" s="58">
        <v>8</v>
      </c>
      <c r="D2508" s="58">
        <v>111</v>
      </c>
      <c r="E2508" s="59">
        <v>82.930400000000006</v>
      </c>
    </row>
    <row r="2509" spans="1:5" ht="15" x14ac:dyDescent="0.35">
      <c r="A2509" s="58" t="s">
        <v>345</v>
      </c>
      <c r="B2509" s="58" t="s">
        <v>182</v>
      </c>
      <c r="C2509" s="58">
        <v>9</v>
      </c>
      <c r="D2509" s="58">
        <v>112</v>
      </c>
      <c r="E2509" s="59">
        <v>98.2637</v>
      </c>
    </row>
    <row r="2510" spans="1:5" ht="15" x14ac:dyDescent="0.35">
      <c r="A2510" s="58" t="s">
        <v>345</v>
      </c>
      <c r="B2510" s="58" t="s">
        <v>182</v>
      </c>
      <c r="C2510" s="58">
        <v>10</v>
      </c>
      <c r="D2510" s="58">
        <v>113</v>
      </c>
      <c r="E2510" s="59">
        <v>113.93040000000001</v>
      </c>
    </row>
    <row r="2511" spans="1:5" ht="15" x14ac:dyDescent="0.35">
      <c r="A2511" s="58" t="s">
        <v>345</v>
      </c>
      <c r="B2511" s="58" t="s">
        <v>182</v>
      </c>
      <c r="C2511" s="58">
        <v>11</v>
      </c>
      <c r="D2511" s="58">
        <v>114</v>
      </c>
      <c r="E2511" s="59">
        <v>80.374799999999993</v>
      </c>
    </row>
    <row r="2512" spans="1:5" ht="15" x14ac:dyDescent="0.35">
      <c r="A2512" s="58" t="s">
        <v>345</v>
      </c>
      <c r="B2512" s="58" t="s">
        <v>182</v>
      </c>
      <c r="C2512" s="58">
        <v>12</v>
      </c>
      <c r="D2512" s="58">
        <v>115</v>
      </c>
      <c r="E2512" s="59">
        <v>77.041499999999999</v>
      </c>
    </row>
    <row r="2513" spans="1:5" ht="15" x14ac:dyDescent="0.35">
      <c r="A2513" s="58" t="s">
        <v>345</v>
      </c>
      <c r="B2513" s="58" t="s">
        <v>176</v>
      </c>
      <c r="C2513" s="58">
        <v>1</v>
      </c>
      <c r="D2513" s="58">
        <v>104</v>
      </c>
      <c r="E2513" s="59">
        <v>113.5</v>
      </c>
    </row>
    <row r="2514" spans="1:5" ht="15" x14ac:dyDescent="0.35">
      <c r="A2514" s="58" t="s">
        <v>345</v>
      </c>
      <c r="B2514" s="58" t="s">
        <v>176</v>
      </c>
      <c r="C2514" s="58">
        <v>2</v>
      </c>
      <c r="D2514" s="58">
        <v>105</v>
      </c>
      <c r="E2514" s="59">
        <v>113.5</v>
      </c>
    </row>
    <row r="2515" spans="1:5" ht="15" x14ac:dyDescent="0.35">
      <c r="A2515" s="58" t="s">
        <v>345</v>
      </c>
      <c r="B2515" s="58" t="s">
        <v>176</v>
      </c>
      <c r="C2515" s="58">
        <v>3</v>
      </c>
      <c r="D2515" s="58">
        <v>106</v>
      </c>
      <c r="E2515" s="59">
        <v>113.5</v>
      </c>
    </row>
    <row r="2516" spans="1:5" ht="15" x14ac:dyDescent="0.35">
      <c r="A2516" s="58" t="s">
        <v>345</v>
      </c>
      <c r="B2516" s="58" t="s">
        <v>176</v>
      </c>
      <c r="C2516" s="58">
        <v>4</v>
      </c>
      <c r="D2516" s="58">
        <v>107</v>
      </c>
      <c r="E2516" s="59">
        <v>113.5</v>
      </c>
    </row>
    <row r="2517" spans="1:5" ht="15" x14ac:dyDescent="0.35">
      <c r="A2517" s="58" t="s">
        <v>345</v>
      </c>
      <c r="B2517" s="58" t="s">
        <v>176</v>
      </c>
      <c r="C2517" s="58">
        <v>5</v>
      </c>
      <c r="D2517" s="58">
        <v>108</v>
      </c>
      <c r="E2517" s="59">
        <v>113.5</v>
      </c>
    </row>
    <row r="2518" spans="1:5" ht="15" x14ac:dyDescent="0.35">
      <c r="A2518" s="58" t="s">
        <v>345</v>
      </c>
      <c r="B2518" s="58" t="s">
        <v>176</v>
      </c>
      <c r="C2518" s="58">
        <v>6</v>
      </c>
      <c r="D2518" s="58">
        <v>109</v>
      </c>
      <c r="E2518" s="59">
        <v>113.5</v>
      </c>
    </row>
    <row r="2519" spans="1:5" ht="15" x14ac:dyDescent="0.35">
      <c r="A2519" s="58" t="s">
        <v>345</v>
      </c>
      <c r="B2519" s="58" t="s">
        <v>176</v>
      </c>
      <c r="C2519" s="58">
        <v>7</v>
      </c>
      <c r="D2519" s="58">
        <v>110</v>
      </c>
      <c r="E2519" s="59">
        <v>113.5</v>
      </c>
    </row>
    <row r="2520" spans="1:5" ht="15" x14ac:dyDescent="0.35">
      <c r="A2520" s="58" t="s">
        <v>345</v>
      </c>
      <c r="B2520" s="58" t="s">
        <v>176</v>
      </c>
      <c r="C2520" s="58">
        <v>8</v>
      </c>
      <c r="D2520" s="58">
        <v>111</v>
      </c>
      <c r="E2520" s="59">
        <v>113.5</v>
      </c>
    </row>
    <row r="2521" spans="1:5" ht="15" x14ac:dyDescent="0.35">
      <c r="A2521" s="58" t="s">
        <v>345</v>
      </c>
      <c r="B2521" s="58" t="s">
        <v>176</v>
      </c>
      <c r="C2521" s="58">
        <v>9</v>
      </c>
      <c r="D2521" s="58">
        <v>112</v>
      </c>
      <c r="E2521" s="59">
        <v>113.5</v>
      </c>
    </row>
    <row r="2522" spans="1:5" ht="15" x14ac:dyDescent="0.35">
      <c r="A2522" s="58" t="s">
        <v>345</v>
      </c>
      <c r="B2522" s="58" t="s">
        <v>176</v>
      </c>
      <c r="C2522" s="58">
        <v>10</v>
      </c>
      <c r="D2522" s="58">
        <v>113</v>
      </c>
      <c r="E2522" s="59">
        <v>113.5</v>
      </c>
    </row>
    <row r="2523" spans="1:5" ht="15" x14ac:dyDescent="0.35">
      <c r="A2523" s="58" t="s">
        <v>345</v>
      </c>
      <c r="B2523" s="58" t="s">
        <v>176</v>
      </c>
      <c r="C2523" s="58">
        <v>11</v>
      </c>
      <c r="D2523" s="58">
        <v>114</v>
      </c>
      <c r="E2523" s="59">
        <v>113.5</v>
      </c>
    </row>
    <row r="2524" spans="1:5" ht="15" x14ac:dyDescent="0.35">
      <c r="A2524" s="58" t="s">
        <v>345</v>
      </c>
      <c r="B2524" s="58" t="s">
        <v>176</v>
      </c>
      <c r="C2524" s="58">
        <v>12</v>
      </c>
      <c r="D2524" s="58">
        <v>115</v>
      </c>
      <c r="E2524" s="59">
        <v>113.5</v>
      </c>
    </row>
    <row r="2525" spans="1:5" ht="15" x14ac:dyDescent="0.35">
      <c r="A2525" s="58" t="s">
        <v>345</v>
      </c>
      <c r="B2525" s="58" t="s">
        <v>172</v>
      </c>
      <c r="C2525" s="58">
        <v>1</v>
      </c>
      <c r="D2525" s="58">
        <v>104</v>
      </c>
      <c r="E2525" s="59">
        <v>153</v>
      </c>
    </row>
    <row r="2526" spans="1:5" ht="15" x14ac:dyDescent="0.35">
      <c r="A2526" s="58" t="s">
        <v>345</v>
      </c>
      <c r="B2526" s="58" t="s">
        <v>172</v>
      </c>
      <c r="C2526" s="58">
        <v>2</v>
      </c>
      <c r="D2526" s="58">
        <v>105</v>
      </c>
      <c r="E2526" s="59">
        <v>153</v>
      </c>
    </row>
    <row r="2527" spans="1:5" ht="15" x14ac:dyDescent="0.35">
      <c r="A2527" s="58" t="s">
        <v>345</v>
      </c>
      <c r="B2527" s="58" t="s">
        <v>172</v>
      </c>
      <c r="C2527" s="58">
        <v>3</v>
      </c>
      <c r="D2527" s="58">
        <v>106</v>
      </c>
      <c r="E2527" s="59">
        <v>153</v>
      </c>
    </row>
    <row r="2528" spans="1:5" ht="15" x14ac:dyDescent="0.35">
      <c r="A2528" s="58" t="s">
        <v>345</v>
      </c>
      <c r="B2528" s="58" t="s">
        <v>172</v>
      </c>
      <c r="C2528" s="58">
        <v>4</v>
      </c>
      <c r="D2528" s="58">
        <v>107</v>
      </c>
      <c r="E2528" s="59">
        <v>153</v>
      </c>
    </row>
    <row r="2529" spans="1:5" ht="15" x14ac:dyDescent="0.35">
      <c r="A2529" s="58" t="s">
        <v>345</v>
      </c>
      <c r="B2529" s="58" t="s">
        <v>172</v>
      </c>
      <c r="C2529" s="58">
        <v>5</v>
      </c>
      <c r="D2529" s="58">
        <v>108</v>
      </c>
      <c r="E2529" s="59">
        <v>153</v>
      </c>
    </row>
    <row r="2530" spans="1:5" ht="15" x14ac:dyDescent="0.35">
      <c r="A2530" s="58" t="s">
        <v>345</v>
      </c>
      <c r="B2530" s="58" t="s">
        <v>172</v>
      </c>
      <c r="C2530" s="58">
        <v>6</v>
      </c>
      <c r="D2530" s="58">
        <v>109</v>
      </c>
      <c r="E2530" s="59">
        <v>153</v>
      </c>
    </row>
    <row r="2531" spans="1:5" ht="15" x14ac:dyDescent="0.35">
      <c r="A2531" s="58" t="s">
        <v>345</v>
      </c>
      <c r="B2531" s="58" t="s">
        <v>172</v>
      </c>
      <c r="C2531" s="58">
        <v>7</v>
      </c>
      <c r="D2531" s="58">
        <v>110</v>
      </c>
      <c r="E2531" s="59">
        <v>153</v>
      </c>
    </row>
    <row r="2532" spans="1:5" ht="15" x14ac:dyDescent="0.35">
      <c r="A2532" s="58" t="s">
        <v>345</v>
      </c>
      <c r="B2532" s="58" t="s">
        <v>172</v>
      </c>
      <c r="C2532" s="58">
        <v>8</v>
      </c>
      <c r="D2532" s="58">
        <v>111</v>
      </c>
      <c r="E2532" s="59">
        <v>153</v>
      </c>
    </row>
    <row r="2533" spans="1:5" ht="15" x14ac:dyDescent="0.35">
      <c r="A2533" s="58" t="s">
        <v>345</v>
      </c>
      <c r="B2533" s="58" t="s">
        <v>172</v>
      </c>
      <c r="C2533" s="58">
        <v>9</v>
      </c>
      <c r="D2533" s="58">
        <v>112</v>
      </c>
      <c r="E2533" s="59">
        <v>153</v>
      </c>
    </row>
    <row r="2534" spans="1:5" ht="15" x14ac:dyDescent="0.35">
      <c r="A2534" s="58" t="s">
        <v>345</v>
      </c>
      <c r="B2534" s="58" t="s">
        <v>172</v>
      </c>
      <c r="C2534" s="58">
        <v>10</v>
      </c>
      <c r="D2534" s="58">
        <v>113</v>
      </c>
      <c r="E2534" s="59">
        <v>153</v>
      </c>
    </row>
    <row r="2535" spans="1:5" ht="15" x14ac:dyDescent="0.35">
      <c r="A2535" s="58" t="s">
        <v>345</v>
      </c>
      <c r="B2535" s="58" t="s">
        <v>172</v>
      </c>
      <c r="C2535" s="58">
        <v>11</v>
      </c>
      <c r="D2535" s="58">
        <v>114</v>
      </c>
      <c r="E2535" s="59">
        <v>153</v>
      </c>
    </row>
    <row r="2536" spans="1:5" ht="15" x14ac:dyDescent="0.35">
      <c r="A2536" s="58" t="s">
        <v>345</v>
      </c>
      <c r="B2536" s="58" t="s">
        <v>172</v>
      </c>
      <c r="C2536" s="58">
        <v>12</v>
      </c>
      <c r="D2536" s="58">
        <v>115</v>
      </c>
      <c r="E2536" s="59">
        <v>153</v>
      </c>
    </row>
    <row r="2537" spans="1:5" ht="15" x14ac:dyDescent="0.35">
      <c r="A2537" s="58" t="s">
        <v>345</v>
      </c>
      <c r="B2537" s="58" t="s">
        <v>180</v>
      </c>
      <c r="C2537" s="58">
        <v>1</v>
      </c>
      <c r="D2537" s="58">
        <v>104</v>
      </c>
      <c r="E2537" s="59">
        <v>104.9727</v>
      </c>
    </row>
    <row r="2538" spans="1:5" ht="15" x14ac:dyDescent="0.35">
      <c r="A2538" s="58" t="s">
        <v>345</v>
      </c>
      <c r="B2538" s="58" t="s">
        <v>180</v>
      </c>
      <c r="C2538" s="58">
        <v>2</v>
      </c>
      <c r="D2538" s="58">
        <v>105</v>
      </c>
      <c r="E2538" s="59">
        <v>104.9727</v>
      </c>
    </row>
    <row r="2539" spans="1:5" ht="15" x14ac:dyDescent="0.35">
      <c r="A2539" s="58" t="s">
        <v>345</v>
      </c>
      <c r="B2539" s="58" t="s">
        <v>180</v>
      </c>
      <c r="C2539" s="58">
        <v>3</v>
      </c>
      <c r="D2539" s="58">
        <v>106</v>
      </c>
      <c r="E2539" s="59">
        <v>104.9727</v>
      </c>
    </row>
    <row r="2540" spans="1:5" ht="15" x14ac:dyDescent="0.35">
      <c r="A2540" s="58" t="s">
        <v>345</v>
      </c>
      <c r="B2540" s="58" t="s">
        <v>180</v>
      </c>
      <c r="C2540" s="58">
        <v>4</v>
      </c>
      <c r="D2540" s="58">
        <v>107</v>
      </c>
      <c r="E2540" s="59">
        <v>104.9727</v>
      </c>
    </row>
    <row r="2541" spans="1:5" ht="15" x14ac:dyDescent="0.35">
      <c r="A2541" s="58" t="s">
        <v>345</v>
      </c>
      <c r="B2541" s="58" t="s">
        <v>180</v>
      </c>
      <c r="C2541" s="58">
        <v>5</v>
      </c>
      <c r="D2541" s="58">
        <v>108</v>
      </c>
      <c r="E2541" s="59">
        <v>104.9727</v>
      </c>
    </row>
    <row r="2542" spans="1:5" ht="15" x14ac:dyDescent="0.35">
      <c r="A2542" s="58" t="s">
        <v>345</v>
      </c>
      <c r="B2542" s="58" t="s">
        <v>180</v>
      </c>
      <c r="C2542" s="58">
        <v>6</v>
      </c>
      <c r="D2542" s="58">
        <v>109</v>
      </c>
      <c r="E2542" s="59">
        <v>104.9727</v>
      </c>
    </row>
    <row r="2543" spans="1:5" ht="15" x14ac:dyDescent="0.35">
      <c r="A2543" s="58" t="s">
        <v>345</v>
      </c>
      <c r="B2543" s="58" t="s">
        <v>180</v>
      </c>
      <c r="C2543" s="58">
        <v>7</v>
      </c>
      <c r="D2543" s="58">
        <v>110</v>
      </c>
      <c r="E2543" s="59">
        <v>104.9727</v>
      </c>
    </row>
    <row r="2544" spans="1:5" ht="15" x14ac:dyDescent="0.35">
      <c r="A2544" s="58" t="s">
        <v>345</v>
      </c>
      <c r="B2544" s="58" t="s">
        <v>180</v>
      </c>
      <c r="C2544" s="58">
        <v>8</v>
      </c>
      <c r="D2544" s="58">
        <v>111</v>
      </c>
      <c r="E2544" s="59">
        <v>104.9727</v>
      </c>
    </row>
    <row r="2545" spans="1:5" ht="15" x14ac:dyDescent="0.35">
      <c r="A2545" s="58" t="s">
        <v>345</v>
      </c>
      <c r="B2545" s="58" t="s">
        <v>180</v>
      </c>
      <c r="C2545" s="58">
        <v>9</v>
      </c>
      <c r="D2545" s="58">
        <v>112</v>
      </c>
      <c r="E2545" s="59">
        <v>104.9727</v>
      </c>
    </row>
    <row r="2546" spans="1:5" ht="15" x14ac:dyDescent="0.35">
      <c r="A2546" s="58" t="s">
        <v>345</v>
      </c>
      <c r="B2546" s="58" t="s">
        <v>180</v>
      </c>
      <c r="C2546" s="58">
        <v>10</v>
      </c>
      <c r="D2546" s="58">
        <v>113</v>
      </c>
      <c r="E2546" s="59">
        <v>104.9727</v>
      </c>
    </row>
    <row r="2547" spans="1:5" ht="15" x14ac:dyDescent="0.35">
      <c r="A2547" s="58" t="s">
        <v>345</v>
      </c>
      <c r="B2547" s="58" t="s">
        <v>180</v>
      </c>
      <c r="C2547" s="58">
        <v>11</v>
      </c>
      <c r="D2547" s="58">
        <v>114</v>
      </c>
      <c r="E2547" s="59">
        <v>104.9727</v>
      </c>
    </row>
    <row r="2548" spans="1:5" ht="15" x14ac:dyDescent="0.35">
      <c r="A2548" s="58" t="s">
        <v>345</v>
      </c>
      <c r="B2548" s="58" t="s">
        <v>180</v>
      </c>
      <c r="C2548" s="58">
        <v>12</v>
      </c>
      <c r="D2548" s="58">
        <v>115</v>
      </c>
      <c r="E2548" s="59">
        <v>104.9727</v>
      </c>
    </row>
    <row r="2549" spans="1:5" ht="15" x14ac:dyDescent="0.35">
      <c r="A2549" s="58" t="s">
        <v>337</v>
      </c>
      <c r="B2549" s="58" t="s">
        <v>182</v>
      </c>
      <c r="C2549" s="58">
        <v>1</v>
      </c>
      <c r="D2549" s="58">
        <v>104</v>
      </c>
      <c r="E2549" s="59">
        <v>0</v>
      </c>
    </row>
    <row r="2550" spans="1:5" ht="15" x14ac:dyDescent="0.35">
      <c r="A2550" s="58" t="s">
        <v>337</v>
      </c>
      <c r="B2550" s="58" t="s">
        <v>182</v>
      </c>
      <c r="C2550" s="58">
        <v>2</v>
      </c>
      <c r="D2550" s="58">
        <v>105</v>
      </c>
      <c r="E2550" s="59">
        <v>0</v>
      </c>
    </row>
    <row r="2551" spans="1:5" ht="15" x14ac:dyDescent="0.35">
      <c r="A2551" s="58" t="s">
        <v>337</v>
      </c>
      <c r="B2551" s="58" t="s">
        <v>182</v>
      </c>
      <c r="C2551" s="58">
        <v>3</v>
      </c>
      <c r="D2551" s="58">
        <v>106</v>
      </c>
      <c r="E2551" s="59">
        <v>11.7903</v>
      </c>
    </row>
    <row r="2552" spans="1:5" ht="15" x14ac:dyDescent="0.35">
      <c r="A2552" s="58" t="s">
        <v>337</v>
      </c>
      <c r="B2552" s="58" t="s">
        <v>182</v>
      </c>
      <c r="C2552" s="58">
        <v>4</v>
      </c>
      <c r="D2552" s="58">
        <v>107</v>
      </c>
      <c r="E2552" s="59">
        <v>17.052199999999999</v>
      </c>
    </row>
    <row r="2553" spans="1:5" ht="15" x14ac:dyDescent="0.35">
      <c r="A2553" s="58" t="s">
        <v>337</v>
      </c>
      <c r="B2553" s="58" t="s">
        <v>182</v>
      </c>
      <c r="C2553" s="58">
        <v>5</v>
      </c>
      <c r="D2553" s="58">
        <v>108</v>
      </c>
      <c r="E2553" s="59">
        <v>10.8736</v>
      </c>
    </row>
    <row r="2554" spans="1:5" ht="15" x14ac:dyDescent="0.35">
      <c r="A2554" s="58" t="s">
        <v>337</v>
      </c>
      <c r="B2554" s="58" t="s">
        <v>182</v>
      </c>
      <c r="C2554" s="58">
        <v>6</v>
      </c>
      <c r="D2554" s="58">
        <v>109</v>
      </c>
      <c r="E2554" s="59">
        <v>5.7347000000000001</v>
      </c>
    </row>
    <row r="2555" spans="1:5" ht="15" x14ac:dyDescent="0.35">
      <c r="A2555" s="58" t="s">
        <v>337</v>
      </c>
      <c r="B2555" s="58" t="s">
        <v>182</v>
      </c>
      <c r="C2555" s="58">
        <v>7</v>
      </c>
      <c r="D2555" s="58">
        <v>110</v>
      </c>
      <c r="E2555" s="59">
        <v>0</v>
      </c>
    </row>
    <row r="2556" spans="1:5" ht="15" x14ac:dyDescent="0.35">
      <c r="A2556" s="58" t="s">
        <v>337</v>
      </c>
      <c r="B2556" s="58" t="s">
        <v>182</v>
      </c>
      <c r="C2556" s="58">
        <v>8</v>
      </c>
      <c r="D2556" s="58">
        <v>111</v>
      </c>
      <c r="E2556" s="59">
        <v>11.8459</v>
      </c>
    </row>
    <row r="2557" spans="1:5" ht="15" x14ac:dyDescent="0.35">
      <c r="A2557" s="58" t="s">
        <v>337</v>
      </c>
      <c r="B2557" s="58" t="s">
        <v>182</v>
      </c>
      <c r="C2557" s="58">
        <v>9</v>
      </c>
      <c r="D2557" s="58">
        <v>112</v>
      </c>
      <c r="E2557" s="59">
        <v>40.512500000000003</v>
      </c>
    </row>
    <row r="2558" spans="1:5" ht="15" x14ac:dyDescent="0.35">
      <c r="A2558" s="58" t="s">
        <v>337</v>
      </c>
      <c r="B2558" s="58" t="s">
        <v>182</v>
      </c>
      <c r="C2558" s="58">
        <v>10</v>
      </c>
      <c r="D2558" s="58">
        <v>113</v>
      </c>
      <c r="E2558" s="59">
        <v>69.068100000000001</v>
      </c>
    </row>
    <row r="2559" spans="1:5" ht="15" x14ac:dyDescent="0.35">
      <c r="A2559" s="58" t="s">
        <v>337</v>
      </c>
      <c r="B2559" s="58" t="s">
        <v>182</v>
      </c>
      <c r="C2559" s="58">
        <v>11</v>
      </c>
      <c r="D2559" s="58">
        <v>114</v>
      </c>
      <c r="E2559" s="59">
        <v>79.179199999999994</v>
      </c>
    </row>
    <row r="2560" spans="1:5" ht="15" x14ac:dyDescent="0.35">
      <c r="A2560" s="58" t="s">
        <v>337</v>
      </c>
      <c r="B2560" s="58" t="s">
        <v>182</v>
      </c>
      <c r="C2560" s="58">
        <v>12</v>
      </c>
      <c r="D2560" s="58">
        <v>115</v>
      </c>
      <c r="E2560" s="59">
        <v>76.956999999999994</v>
      </c>
    </row>
    <row r="2561" spans="1:5" ht="15" x14ac:dyDescent="0.35">
      <c r="A2561" s="58" t="s">
        <v>337</v>
      </c>
      <c r="B2561" s="58" t="s">
        <v>176</v>
      </c>
      <c r="C2561" s="58">
        <v>1</v>
      </c>
      <c r="D2561" s="58">
        <v>104</v>
      </c>
      <c r="E2561" s="59">
        <v>0</v>
      </c>
    </row>
    <row r="2562" spans="1:5" ht="15" x14ac:dyDescent="0.35">
      <c r="A2562" s="58" t="s">
        <v>337</v>
      </c>
      <c r="B2562" s="58" t="s">
        <v>176</v>
      </c>
      <c r="C2562" s="58">
        <v>2</v>
      </c>
      <c r="D2562" s="58">
        <v>105</v>
      </c>
      <c r="E2562" s="59">
        <v>0</v>
      </c>
    </row>
    <row r="2563" spans="1:5" ht="15" x14ac:dyDescent="0.35">
      <c r="A2563" s="58" t="s">
        <v>337</v>
      </c>
      <c r="B2563" s="58" t="s">
        <v>176</v>
      </c>
      <c r="C2563" s="58">
        <v>3</v>
      </c>
      <c r="D2563" s="58">
        <v>106</v>
      </c>
      <c r="E2563" s="59">
        <v>0</v>
      </c>
    </row>
    <row r="2564" spans="1:5" ht="15" x14ac:dyDescent="0.35">
      <c r="A2564" s="58" t="s">
        <v>337</v>
      </c>
      <c r="B2564" s="58" t="s">
        <v>176</v>
      </c>
      <c r="C2564" s="58">
        <v>4</v>
      </c>
      <c r="D2564" s="58">
        <v>107</v>
      </c>
      <c r="E2564" s="59">
        <v>0</v>
      </c>
    </row>
    <row r="2565" spans="1:5" ht="15" x14ac:dyDescent="0.35">
      <c r="A2565" s="58" t="s">
        <v>337</v>
      </c>
      <c r="B2565" s="58" t="s">
        <v>176</v>
      </c>
      <c r="C2565" s="58">
        <v>5</v>
      </c>
      <c r="D2565" s="58">
        <v>108</v>
      </c>
      <c r="E2565" s="59">
        <v>0</v>
      </c>
    </row>
    <row r="2566" spans="1:5" ht="15" x14ac:dyDescent="0.35">
      <c r="A2566" s="58" t="s">
        <v>337</v>
      </c>
      <c r="B2566" s="58" t="s">
        <v>176</v>
      </c>
      <c r="C2566" s="58">
        <v>6</v>
      </c>
      <c r="D2566" s="58">
        <v>109</v>
      </c>
      <c r="E2566" s="59">
        <v>0</v>
      </c>
    </row>
    <row r="2567" spans="1:5" ht="15" x14ac:dyDescent="0.35">
      <c r="A2567" s="58" t="s">
        <v>337</v>
      </c>
      <c r="B2567" s="58" t="s">
        <v>176</v>
      </c>
      <c r="C2567" s="58">
        <v>7</v>
      </c>
      <c r="D2567" s="58">
        <v>110</v>
      </c>
      <c r="E2567" s="59">
        <v>0</v>
      </c>
    </row>
    <row r="2568" spans="1:5" ht="15" x14ac:dyDescent="0.35">
      <c r="A2568" s="58" t="s">
        <v>337</v>
      </c>
      <c r="B2568" s="58" t="s">
        <v>176</v>
      </c>
      <c r="C2568" s="58">
        <v>8</v>
      </c>
      <c r="D2568" s="58">
        <v>111</v>
      </c>
      <c r="E2568" s="59">
        <v>0</v>
      </c>
    </row>
    <row r="2569" spans="1:5" ht="15" x14ac:dyDescent="0.35">
      <c r="A2569" s="58" t="s">
        <v>337</v>
      </c>
      <c r="B2569" s="58" t="s">
        <v>176</v>
      </c>
      <c r="C2569" s="58">
        <v>9</v>
      </c>
      <c r="D2569" s="58">
        <v>112</v>
      </c>
      <c r="E2569" s="59">
        <v>0</v>
      </c>
    </row>
    <row r="2570" spans="1:5" ht="15" x14ac:dyDescent="0.35">
      <c r="A2570" s="58" t="s">
        <v>337</v>
      </c>
      <c r="B2570" s="58" t="s">
        <v>176</v>
      </c>
      <c r="C2570" s="58">
        <v>10</v>
      </c>
      <c r="D2570" s="58">
        <v>113</v>
      </c>
      <c r="E2570" s="59">
        <v>0</v>
      </c>
    </row>
    <row r="2571" spans="1:5" ht="15" x14ac:dyDescent="0.35">
      <c r="A2571" s="58" t="s">
        <v>337</v>
      </c>
      <c r="B2571" s="58" t="s">
        <v>176</v>
      </c>
      <c r="C2571" s="58">
        <v>11</v>
      </c>
      <c r="D2571" s="58">
        <v>114</v>
      </c>
      <c r="E2571" s="59">
        <v>0</v>
      </c>
    </row>
    <row r="2572" spans="1:5" ht="15" x14ac:dyDescent="0.35">
      <c r="A2572" s="58" t="s">
        <v>337</v>
      </c>
      <c r="B2572" s="58" t="s">
        <v>176</v>
      </c>
      <c r="C2572" s="58">
        <v>12</v>
      </c>
      <c r="D2572" s="58">
        <v>115</v>
      </c>
      <c r="E2572" s="59">
        <v>0</v>
      </c>
    </row>
    <row r="2573" spans="1:5" ht="15" x14ac:dyDescent="0.35">
      <c r="A2573" s="58" t="s">
        <v>337</v>
      </c>
      <c r="B2573" s="58" t="s">
        <v>172</v>
      </c>
      <c r="C2573" s="58">
        <v>1</v>
      </c>
      <c r="D2573" s="58">
        <v>104</v>
      </c>
      <c r="E2573" s="59">
        <v>0</v>
      </c>
    </row>
    <row r="2574" spans="1:5" ht="15" x14ac:dyDescent="0.35">
      <c r="A2574" s="58" t="s">
        <v>337</v>
      </c>
      <c r="B2574" s="58" t="s">
        <v>172</v>
      </c>
      <c r="C2574" s="58">
        <v>2</v>
      </c>
      <c r="D2574" s="58">
        <v>105</v>
      </c>
      <c r="E2574" s="59">
        <v>0</v>
      </c>
    </row>
    <row r="2575" spans="1:5" ht="15" x14ac:dyDescent="0.35">
      <c r="A2575" s="58" t="s">
        <v>337</v>
      </c>
      <c r="B2575" s="58" t="s">
        <v>172</v>
      </c>
      <c r="C2575" s="58">
        <v>3</v>
      </c>
      <c r="D2575" s="58">
        <v>106</v>
      </c>
      <c r="E2575" s="59">
        <v>0</v>
      </c>
    </row>
    <row r="2576" spans="1:5" ht="15" x14ac:dyDescent="0.35">
      <c r="A2576" s="58" t="s">
        <v>337</v>
      </c>
      <c r="B2576" s="58" t="s">
        <v>172</v>
      </c>
      <c r="C2576" s="58">
        <v>4</v>
      </c>
      <c r="D2576" s="58">
        <v>107</v>
      </c>
      <c r="E2576" s="59">
        <v>0</v>
      </c>
    </row>
    <row r="2577" spans="1:5" ht="15" x14ac:dyDescent="0.35">
      <c r="A2577" s="58" t="s">
        <v>337</v>
      </c>
      <c r="B2577" s="58" t="s">
        <v>172</v>
      </c>
      <c r="C2577" s="58">
        <v>5</v>
      </c>
      <c r="D2577" s="58">
        <v>108</v>
      </c>
      <c r="E2577" s="59">
        <v>0</v>
      </c>
    </row>
    <row r="2578" spans="1:5" ht="15" x14ac:dyDescent="0.35">
      <c r="A2578" s="58" t="s">
        <v>337</v>
      </c>
      <c r="B2578" s="58" t="s">
        <v>172</v>
      </c>
      <c r="C2578" s="58">
        <v>6</v>
      </c>
      <c r="D2578" s="58">
        <v>109</v>
      </c>
      <c r="E2578" s="59">
        <v>0</v>
      </c>
    </row>
    <row r="2579" spans="1:5" ht="15" x14ac:dyDescent="0.35">
      <c r="A2579" s="58" t="s">
        <v>337</v>
      </c>
      <c r="B2579" s="58" t="s">
        <v>172</v>
      </c>
      <c r="C2579" s="58">
        <v>7</v>
      </c>
      <c r="D2579" s="58">
        <v>110</v>
      </c>
      <c r="E2579" s="59">
        <v>0</v>
      </c>
    </row>
    <row r="2580" spans="1:5" ht="15" x14ac:dyDescent="0.35">
      <c r="A2580" s="58" t="s">
        <v>337</v>
      </c>
      <c r="B2580" s="58" t="s">
        <v>172</v>
      </c>
      <c r="C2580" s="58">
        <v>8</v>
      </c>
      <c r="D2580" s="58">
        <v>111</v>
      </c>
      <c r="E2580" s="59">
        <v>0</v>
      </c>
    </row>
    <row r="2581" spans="1:5" ht="15" x14ac:dyDescent="0.35">
      <c r="A2581" s="58" t="s">
        <v>337</v>
      </c>
      <c r="B2581" s="58" t="s">
        <v>172</v>
      </c>
      <c r="C2581" s="58">
        <v>9</v>
      </c>
      <c r="D2581" s="58">
        <v>112</v>
      </c>
      <c r="E2581" s="59">
        <v>0</v>
      </c>
    </row>
    <row r="2582" spans="1:5" ht="15" x14ac:dyDescent="0.35">
      <c r="A2582" s="58" t="s">
        <v>337</v>
      </c>
      <c r="B2582" s="58" t="s">
        <v>172</v>
      </c>
      <c r="C2582" s="58">
        <v>10</v>
      </c>
      <c r="D2582" s="58">
        <v>113</v>
      </c>
      <c r="E2582" s="59">
        <v>0</v>
      </c>
    </row>
    <row r="2583" spans="1:5" ht="15" x14ac:dyDescent="0.35">
      <c r="A2583" s="58" t="s">
        <v>337</v>
      </c>
      <c r="B2583" s="58" t="s">
        <v>172</v>
      </c>
      <c r="C2583" s="58">
        <v>11</v>
      </c>
      <c r="D2583" s="58">
        <v>114</v>
      </c>
      <c r="E2583" s="59">
        <v>0</v>
      </c>
    </row>
    <row r="2584" spans="1:5" ht="15" x14ac:dyDescent="0.35">
      <c r="A2584" s="58" t="s">
        <v>337</v>
      </c>
      <c r="B2584" s="58" t="s">
        <v>172</v>
      </c>
      <c r="C2584" s="58">
        <v>12</v>
      </c>
      <c r="D2584" s="58">
        <v>115</v>
      </c>
      <c r="E2584" s="59">
        <v>0</v>
      </c>
    </row>
    <row r="2585" spans="1:5" ht="15" x14ac:dyDescent="0.35">
      <c r="A2585" s="58" t="s">
        <v>337</v>
      </c>
      <c r="B2585" s="58" t="s">
        <v>180</v>
      </c>
      <c r="C2585" s="58">
        <v>1</v>
      </c>
      <c r="D2585" s="58">
        <v>104</v>
      </c>
      <c r="E2585" s="59">
        <v>4.0000000000000002E-4</v>
      </c>
    </row>
    <row r="2586" spans="1:5" ht="15" x14ac:dyDescent="0.35">
      <c r="A2586" s="58" t="s">
        <v>337</v>
      </c>
      <c r="B2586" s="58" t="s">
        <v>180</v>
      </c>
      <c r="C2586" s="58">
        <v>2</v>
      </c>
      <c r="D2586" s="58">
        <v>105</v>
      </c>
      <c r="E2586" s="59">
        <v>4.0000000000000002E-4</v>
      </c>
    </row>
    <row r="2587" spans="1:5" ht="15" x14ac:dyDescent="0.35">
      <c r="A2587" s="58" t="s">
        <v>337</v>
      </c>
      <c r="B2587" s="58" t="s">
        <v>180</v>
      </c>
      <c r="C2587" s="58">
        <v>3</v>
      </c>
      <c r="D2587" s="58">
        <v>106</v>
      </c>
      <c r="E2587" s="59">
        <v>4.0000000000000002E-4</v>
      </c>
    </row>
    <row r="2588" spans="1:5" ht="15" x14ac:dyDescent="0.35">
      <c r="A2588" s="58" t="s">
        <v>337</v>
      </c>
      <c r="B2588" s="58" t="s">
        <v>180</v>
      </c>
      <c r="C2588" s="58">
        <v>4</v>
      </c>
      <c r="D2588" s="58">
        <v>107</v>
      </c>
      <c r="E2588" s="59">
        <v>4.0000000000000002E-4</v>
      </c>
    </row>
    <row r="2589" spans="1:5" ht="15" x14ac:dyDescent="0.35">
      <c r="A2589" s="58" t="s">
        <v>337</v>
      </c>
      <c r="B2589" s="58" t="s">
        <v>180</v>
      </c>
      <c r="C2589" s="58">
        <v>5</v>
      </c>
      <c r="D2589" s="58">
        <v>108</v>
      </c>
      <c r="E2589" s="59">
        <v>4.0000000000000002E-4</v>
      </c>
    </row>
    <row r="2590" spans="1:5" ht="15" x14ac:dyDescent="0.35">
      <c r="A2590" s="58" t="s">
        <v>337</v>
      </c>
      <c r="B2590" s="58" t="s">
        <v>180</v>
      </c>
      <c r="C2590" s="58">
        <v>6</v>
      </c>
      <c r="D2590" s="58">
        <v>109</v>
      </c>
      <c r="E2590" s="59">
        <v>4.0000000000000002E-4</v>
      </c>
    </row>
    <row r="2591" spans="1:5" ht="15" x14ac:dyDescent="0.35">
      <c r="A2591" s="58" t="s">
        <v>337</v>
      </c>
      <c r="B2591" s="58" t="s">
        <v>180</v>
      </c>
      <c r="C2591" s="58">
        <v>7</v>
      </c>
      <c r="D2591" s="58">
        <v>110</v>
      </c>
      <c r="E2591" s="59">
        <v>4.0000000000000002E-4</v>
      </c>
    </row>
    <row r="2592" spans="1:5" ht="15" x14ac:dyDescent="0.35">
      <c r="A2592" s="58" t="s">
        <v>337</v>
      </c>
      <c r="B2592" s="58" t="s">
        <v>180</v>
      </c>
      <c r="C2592" s="58">
        <v>8</v>
      </c>
      <c r="D2592" s="58">
        <v>111</v>
      </c>
      <c r="E2592" s="59">
        <v>4.0000000000000002E-4</v>
      </c>
    </row>
    <row r="2593" spans="1:5" ht="15" x14ac:dyDescent="0.35">
      <c r="A2593" s="58" t="s">
        <v>337</v>
      </c>
      <c r="B2593" s="58" t="s">
        <v>180</v>
      </c>
      <c r="C2593" s="58">
        <v>9</v>
      </c>
      <c r="D2593" s="58">
        <v>112</v>
      </c>
      <c r="E2593" s="59">
        <v>4.0000000000000002E-4</v>
      </c>
    </row>
    <row r="2594" spans="1:5" ht="15" x14ac:dyDescent="0.35">
      <c r="A2594" s="58" t="s">
        <v>337</v>
      </c>
      <c r="B2594" s="58" t="s">
        <v>180</v>
      </c>
      <c r="C2594" s="58">
        <v>10</v>
      </c>
      <c r="D2594" s="58">
        <v>113</v>
      </c>
      <c r="E2594" s="59">
        <v>4.0000000000000002E-4</v>
      </c>
    </row>
    <row r="2595" spans="1:5" ht="15" x14ac:dyDescent="0.35">
      <c r="A2595" s="58" t="s">
        <v>337</v>
      </c>
      <c r="B2595" s="58" t="s">
        <v>180</v>
      </c>
      <c r="C2595" s="58">
        <v>11</v>
      </c>
      <c r="D2595" s="58">
        <v>114</v>
      </c>
      <c r="E2595" s="59">
        <v>4.0000000000000002E-4</v>
      </c>
    </row>
    <row r="2596" spans="1:5" ht="15" x14ac:dyDescent="0.35">
      <c r="A2596" s="58" t="s">
        <v>337</v>
      </c>
      <c r="B2596" s="58" t="s">
        <v>180</v>
      </c>
      <c r="C2596" s="58">
        <v>12</v>
      </c>
      <c r="D2596" s="58">
        <v>115</v>
      </c>
      <c r="E2596" s="59">
        <v>4.0000000000000002E-4</v>
      </c>
    </row>
    <row r="2597" spans="1:5" ht="15" x14ac:dyDescent="0.35">
      <c r="A2597" s="58" t="s">
        <v>251</v>
      </c>
      <c r="B2597" s="58" t="s">
        <v>182</v>
      </c>
      <c r="C2597" s="58">
        <v>1</v>
      </c>
      <c r="D2597" s="58">
        <v>104</v>
      </c>
      <c r="E2597" s="59">
        <v>1184.9588000000001</v>
      </c>
    </row>
    <row r="2598" spans="1:5" ht="15" x14ac:dyDescent="0.35">
      <c r="A2598" s="58" t="s">
        <v>251</v>
      </c>
      <c r="B2598" s="58" t="s">
        <v>182</v>
      </c>
      <c r="C2598" s="58">
        <v>2</v>
      </c>
      <c r="D2598" s="58">
        <v>105</v>
      </c>
      <c r="E2598" s="59">
        <v>370.15879999999999</v>
      </c>
    </row>
    <row r="2599" spans="1:5" ht="15" x14ac:dyDescent="0.35">
      <c r="A2599" s="58" t="s">
        <v>251</v>
      </c>
      <c r="B2599" s="58" t="s">
        <v>182</v>
      </c>
      <c r="C2599" s="58">
        <v>3</v>
      </c>
      <c r="D2599" s="58">
        <v>106</v>
      </c>
      <c r="E2599" s="59">
        <v>330.12549999999999</v>
      </c>
    </row>
    <row r="2600" spans="1:5" ht="15" x14ac:dyDescent="0.35">
      <c r="A2600" s="58" t="s">
        <v>251</v>
      </c>
      <c r="B2600" s="58" t="s">
        <v>182</v>
      </c>
      <c r="C2600" s="58">
        <v>4</v>
      </c>
      <c r="D2600" s="58">
        <v>107</v>
      </c>
      <c r="E2600" s="59">
        <v>299.10169999999999</v>
      </c>
    </row>
    <row r="2601" spans="1:5" ht="15" x14ac:dyDescent="0.35">
      <c r="A2601" s="58" t="s">
        <v>251</v>
      </c>
      <c r="B2601" s="58" t="s">
        <v>182</v>
      </c>
      <c r="C2601" s="58">
        <v>5</v>
      </c>
      <c r="D2601" s="58">
        <v>108</v>
      </c>
      <c r="E2601" s="59">
        <v>275.4588</v>
      </c>
    </row>
    <row r="2602" spans="1:5" ht="15" x14ac:dyDescent="0.35">
      <c r="A2602" s="58" t="s">
        <v>251</v>
      </c>
      <c r="B2602" s="58" t="s">
        <v>182</v>
      </c>
      <c r="C2602" s="58">
        <v>6</v>
      </c>
      <c r="D2602" s="58">
        <v>109</v>
      </c>
      <c r="E2602" s="59">
        <v>257.06990000000002</v>
      </c>
    </row>
    <row r="2603" spans="1:5" ht="15" x14ac:dyDescent="0.35">
      <c r="A2603" s="58" t="s">
        <v>251</v>
      </c>
      <c r="B2603" s="58" t="s">
        <v>182</v>
      </c>
      <c r="C2603" s="58">
        <v>7</v>
      </c>
      <c r="D2603" s="58">
        <v>110</v>
      </c>
      <c r="E2603" s="59">
        <v>183.62549999999999</v>
      </c>
    </row>
    <row r="2604" spans="1:5" ht="15" x14ac:dyDescent="0.35">
      <c r="A2604" s="58" t="s">
        <v>251</v>
      </c>
      <c r="B2604" s="58" t="s">
        <v>182</v>
      </c>
      <c r="C2604" s="58">
        <v>8</v>
      </c>
      <c r="D2604" s="58">
        <v>111</v>
      </c>
      <c r="E2604" s="59">
        <v>120.1811</v>
      </c>
    </row>
    <row r="2605" spans="1:5" ht="15" x14ac:dyDescent="0.35">
      <c r="A2605" s="58" t="s">
        <v>251</v>
      </c>
      <c r="B2605" s="58" t="s">
        <v>182</v>
      </c>
      <c r="C2605" s="58">
        <v>9</v>
      </c>
      <c r="D2605" s="58">
        <v>112</v>
      </c>
      <c r="E2605" s="59">
        <v>112.51439999999999</v>
      </c>
    </row>
    <row r="2606" spans="1:5" ht="15" x14ac:dyDescent="0.35">
      <c r="A2606" s="58" t="s">
        <v>251</v>
      </c>
      <c r="B2606" s="58" t="s">
        <v>182</v>
      </c>
      <c r="C2606" s="58">
        <v>10</v>
      </c>
      <c r="D2606" s="58">
        <v>113</v>
      </c>
      <c r="E2606" s="59">
        <v>112.8477</v>
      </c>
    </row>
    <row r="2607" spans="1:5" ht="15" x14ac:dyDescent="0.35">
      <c r="A2607" s="58" t="s">
        <v>251</v>
      </c>
      <c r="B2607" s="58" t="s">
        <v>182</v>
      </c>
      <c r="C2607" s="58">
        <v>11</v>
      </c>
      <c r="D2607" s="58">
        <v>114</v>
      </c>
      <c r="E2607" s="59">
        <v>112.8477</v>
      </c>
    </row>
    <row r="2608" spans="1:5" ht="15" x14ac:dyDescent="0.35">
      <c r="A2608" s="58" t="s">
        <v>251</v>
      </c>
      <c r="B2608" s="58" t="s">
        <v>182</v>
      </c>
      <c r="C2608" s="58">
        <v>12</v>
      </c>
      <c r="D2608" s="58">
        <v>115</v>
      </c>
      <c r="E2608" s="59">
        <v>111.9588</v>
      </c>
    </row>
    <row r="2609" spans="1:5" ht="15" x14ac:dyDescent="0.35">
      <c r="A2609" s="58" t="s">
        <v>251</v>
      </c>
      <c r="B2609" s="58" t="s">
        <v>176</v>
      </c>
      <c r="C2609" s="58">
        <v>1</v>
      </c>
      <c r="D2609" s="58">
        <v>104</v>
      </c>
      <c r="E2609" s="59">
        <v>1257.25</v>
      </c>
    </row>
    <row r="2610" spans="1:5" ht="15" x14ac:dyDescent="0.35">
      <c r="A2610" s="58" t="s">
        <v>251</v>
      </c>
      <c r="B2610" s="58" t="s">
        <v>176</v>
      </c>
      <c r="C2610" s="58">
        <v>2</v>
      </c>
      <c r="D2610" s="58">
        <v>105</v>
      </c>
      <c r="E2610" s="59">
        <v>1257.25</v>
      </c>
    </row>
    <row r="2611" spans="1:5" ht="15" x14ac:dyDescent="0.35">
      <c r="A2611" s="58" t="s">
        <v>251</v>
      </c>
      <c r="B2611" s="58" t="s">
        <v>176</v>
      </c>
      <c r="C2611" s="58">
        <v>3</v>
      </c>
      <c r="D2611" s="58">
        <v>106</v>
      </c>
      <c r="E2611" s="59">
        <v>1257.25</v>
      </c>
    </row>
    <row r="2612" spans="1:5" ht="15" x14ac:dyDescent="0.35">
      <c r="A2612" s="58" t="s">
        <v>251</v>
      </c>
      <c r="B2612" s="58" t="s">
        <v>176</v>
      </c>
      <c r="C2612" s="58">
        <v>4</v>
      </c>
      <c r="D2612" s="58">
        <v>107</v>
      </c>
      <c r="E2612" s="59">
        <v>1257.25</v>
      </c>
    </row>
    <row r="2613" spans="1:5" ht="15" x14ac:dyDescent="0.35">
      <c r="A2613" s="58" t="s">
        <v>251</v>
      </c>
      <c r="B2613" s="58" t="s">
        <v>176</v>
      </c>
      <c r="C2613" s="58">
        <v>5</v>
      </c>
      <c r="D2613" s="58">
        <v>108</v>
      </c>
      <c r="E2613" s="59">
        <v>1257.25</v>
      </c>
    </row>
    <row r="2614" spans="1:5" ht="15" x14ac:dyDescent="0.35">
      <c r="A2614" s="58" t="s">
        <v>251</v>
      </c>
      <c r="B2614" s="58" t="s">
        <v>176</v>
      </c>
      <c r="C2614" s="58">
        <v>6</v>
      </c>
      <c r="D2614" s="58">
        <v>109</v>
      </c>
      <c r="E2614" s="59">
        <v>1257.25</v>
      </c>
    </row>
    <row r="2615" spans="1:5" ht="15" x14ac:dyDescent="0.35">
      <c r="A2615" s="58" t="s">
        <v>251</v>
      </c>
      <c r="B2615" s="58" t="s">
        <v>176</v>
      </c>
      <c r="C2615" s="58">
        <v>7</v>
      </c>
      <c r="D2615" s="58">
        <v>110</v>
      </c>
      <c r="E2615" s="59">
        <v>1257.25</v>
      </c>
    </row>
    <row r="2616" spans="1:5" ht="15" x14ac:dyDescent="0.35">
      <c r="A2616" s="58" t="s">
        <v>251</v>
      </c>
      <c r="B2616" s="58" t="s">
        <v>176</v>
      </c>
      <c r="C2616" s="58">
        <v>8</v>
      </c>
      <c r="D2616" s="58">
        <v>111</v>
      </c>
      <c r="E2616" s="59">
        <v>1257.25</v>
      </c>
    </row>
    <row r="2617" spans="1:5" ht="15" x14ac:dyDescent="0.35">
      <c r="A2617" s="58" t="s">
        <v>251</v>
      </c>
      <c r="B2617" s="58" t="s">
        <v>176</v>
      </c>
      <c r="C2617" s="58">
        <v>9</v>
      </c>
      <c r="D2617" s="58">
        <v>112</v>
      </c>
      <c r="E2617" s="59">
        <v>1257.25</v>
      </c>
    </row>
    <row r="2618" spans="1:5" ht="15" x14ac:dyDescent="0.35">
      <c r="A2618" s="58" t="s">
        <v>251</v>
      </c>
      <c r="B2618" s="58" t="s">
        <v>176</v>
      </c>
      <c r="C2618" s="58">
        <v>10</v>
      </c>
      <c r="D2618" s="58">
        <v>113</v>
      </c>
      <c r="E2618" s="59">
        <v>1257.25</v>
      </c>
    </row>
    <row r="2619" spans="1:5" ht="15" x14ac:dyDescent="0.35">
      <c r="A2619" s="58" t="s">
        <v>251</v>
      </c>
      <c r="B2619" s="58" t="s">
        <v>176</v>
      </c>
      <c r="C2619" s="58">
        <v>11</v>
      </c>
      <c r="D2619" s="58">
        <v>114</v>
      </c>
      <c r="E2619" s="59">
        <v>1257.25</v>
      </c>
    </row>
    <row r="2620" spans="1:5" ht="15" x14ac:dyDescent="0.35">
      <c r="A2620" s="58" t="s">
        <v>251</v>
      </c>
      <c r="B2620" s="58" t="s">
        <v>176</v>
      </c>
      <c r="C2620" s="58">
        <v>12</v>
      </c>
      <c r="D2620" s="58">
        <v>115</v>
      </c>
      <c r="E2620" s="59">
        <v>1257.25</v>
      </c>
    </row>
    <row r="2621" spans="1:5" ht="15" x14ac:dyDescent="0.35">
      <c r="A2621" s="58" t="s">
        <v>251</v>
      </c>
      <c r="B2621" s="58" t="s">
        <v>172</v>
      </c>
      <c r="C2621" s="58">
        <v>1</v>
      </c>
      <c r="D2621" s="58">
        <v>104</v>
      </c>
      <c r="E2621" s="59">
        <v>1691</v>
      </c>
    </row>
    <row r="2622" spans="1:5" ht="15" x14ac:dyDescent="0.35">
      <c r="A2622" s="58" t="s">
        <v>251</v>
      </c>
      <c r="B2622" s="58" t="s">
        <v>172</v>
      </c>
      <c r="C2622" s="58">
        <v>2</v>
      </c>
      <c r="D2622" s="58">
        <v>105</v>
      </c>
      <c r="E2622" s="59">
        <v>1691</v>
      </c>
    </row>
    <row r="2623" spans="1:5" ht="15" x14ac:dyDescent="0.35">
      <c r="A2623" s="58" t="s">
        <v>251</v>
      </c>
      <c r="B2623" s="58" t="s">
        <v>172</v>
      </c>
      <c r="C2623" s="58">
        <v>3</v>
      </c>
      <c r="D2623" s="58">
        <v>106</v>
      </c>
      <c r="E2623" s="59">
        <v>1691</v>
      </c>
    </row>
    <row r="2624" spans="1:5" ht="15" x14ac:dyDescent="0.35">
      <c r="A2624" s="58" t="s">
        <v>251</v>
      </c>
      <c r="B2624" s="58" t="s">
        <v>172</v>
      </c>
      <c r="C2624" s="58">
        <v>4</v>
      </c>
      <c r="D2624" s="58">
        <v>107</v>
      </c>
      <c r="E2624" s="59">
        <v>1691</v>
      </c>
    </row>
    <row r="2625" spans="1:5" ht="15" x14ac:dyDescent="0.35">
      <c r="A2625" s="58" t="s">
        <v>251</v>
      </c>
      <c r="B2625" s="58" t="s">
        <v>172</v>
      </c>
      <c r="C2625" s="58">
        <v>5</v>
      </c>
      <c r="D2625" s="58">
        <v>108</v>
      </c>
      <c r="E2625" s="59">
        <v>1691</v>
      </c>
    </row>
    <row r="2626" spans="1:5" ht="15" x14ac:dyDescent="0.35">
      <c r="A2626" s="58" t="s">
        <v>251</v>
      </c>
      <c r="B2626" s="58" t="s">
        <v>172</v>
      </c>
      <c r="C2626" s="58">
        <v>6</v>
      </c>
      <c r="D2626" s="58">
        <v>109</v>
      </c>
      <c r="E2626" s="59">
        <v>1691</v>
      </c>
    </row>
    <row r="2627" spans="1:5" ht="15" x14ac:dyDescent="0.35">
      <c r="A2627" s="58" t="s">
        <v>251</v>
      </c>
      <c r="B2627" s="58" t="s">
        <v>172</v>
      </c>
      <c r="C2627" s="58">
        <v>7</v>
      </c>
      <c r="D2627" s="58">
        <v>110</v>
      </c>
      <c r="E2627" s="59">
        <v>1691</v>
      </c>
    </row>
    <row r="2628" spans="1:5" ht="15" x14ac:dyDescent="0.35">
      <c r="A2628" s="58" t="s">
        <v>251</v>
      </c>
      <c r="B2628" s="58" t="s">
        <v>172</v>
      </c>
      <c r="C2628" s="58">
        <v>8</v>
      </c>
      <c r="D2628" s="58">
        <v>111</v>
      </c>
      <c r="E2628" s="59">
        <v>1691</v>
      </c>
    </row>
    <row r="2629" spans="1:5" ht="15" x14ac:dyDescent="0.35">
      <c r="A2629" s="58" t="s">
        <v>251</v>
      </c>
      <c r="B2629" s="58" t="s">
        <v>172</v>
      </c>
      <c r="C2629" s="58">
        <v>9</v>
      </c>
      <c r="D2629" s="58">
        <v>112</v>
      </c>
      <c r="E2629" s="59">
        <v>1691</v>
      </c>
    </row>
    <row r="2630" spans="1:5" ht="15" x14ac:dyDescent="0.35">
      <c r="A2630" s="58" t="s">
        <v>251</v>
      </c>
      <c r="B2630" s="58" t="s">
        <v>172</v>
      </c>
      <c r="C2630" s="58">
        <v>10</v>
      </c>
      <c r="D2630" s="58">
        <v>113</v>
      </c>
      <c r="E2630" s="59">
        <v>1691</v>
      </c>
    </row>
    <row r="2631" spans="1:5" ht="15" x14ac:dyDescent="0.35">
      <c r="A2631" s="58" t="s">
        <v>251</v>
      </c>
      <c r="B2631" s="58" t="s">
        <v>172</v>
      </c>
      <c r="C2631" s="58">
        <v>11</v>
      </c>
      <c r="D2631" s="58">
        <v>114</v>
      </c>
      <c r="E2631" s="59">
        <v>1691</v>
      </c>
    </row>
    <row r="2632" spans="1:5" ht="15" x14ac:dyDescent="0.35">
      <c r="A2632" s="58" t="s">
        <v>251</v>
      </c>
      <c r="B2632" s="58" t="s">
        <v>172</v>
      </c>
      <c r="C2632" s="58">
        <v>12</v>
      </c>
      <c r="D2632" s="58">
        <v>115</v>
      </c>
      <c r="E2632" s="59">
        <v>1691</v>
      </c>
    </row>
    <row r="2633" spans="1:5" ht="15" x14ac:dyDescent="0.35">
      <c r="A2633" s="58" t="s">
        <v>251</v>
      </c>
      <c r="B2633" s="58" t="s">
        <v>180</v>
      </c>
      <c r="C2633" s="58">
        <v>1</v>
      </c>
      <c r="D2633" s="58">
        <v>104</v>
      </c>
      <c r="E2633" s="59">
        <v>1712.2443000000001</v>
      </c>
    </row>
    <row r="2634" spans="1:5" ht="15" x14ac:dyDescent="0.35">
      <c r="A2634" s="58" t="s">
        <v>251</v>
      </c>
      <c r="B2634" s="58" t="s">
        <v>180</v>
      </c>
      <c r="C2634" s="58">
        <v>2</v>
      </c>
      <c r="D2634" s="58">
        <v>105</v>
      </c>
      <c r="E2634" s="59">
        <v>1712.2443000000001</v>
      </c>
    </row>
    <row r="2635" spans="1:5" ht="15" x14ac:dyDescent="0.35">
      <c r="A2635" s="58" t="s">
        <v>251</v>
      </c>
      <c r="B2635" s="58" t="s">
        <v>180</v>
      </c>
      <c r="C2635" s="58">
        <v>3</v>
      </c>
      <c r="D2635" s="58">
        <v>106</v>
      </c>
      <c r="E2635" s="59">
        <v>1712.2443000000001</v>
      </c>
    </row>
    <row r="2636" spans="1:5" ht="15" x14ac:dyDescent="0.35">
      <c r="A2636" s="58" t="s">
        <v>251</v>
      </c>
      <c r="B2636" s="58" t="s">
        <v>180</v>
      </c>
      <c r="C2636" s="58">
        <v>4</v>
      </c>
      <c r="D2636" s="58">
        <v>107</v>
      </c>
      <c r="E2636" s="59">
        <v>1712.2443000000001</v>
      </c>
    </row>
    <row r="2637" spans="1:5" ht="15" x14ac:dyDescent="0.35">
      <c r="A2637" s="58" t="s">
        <v>251</v>
      </c>
      <c r="B2637" s="58" t="s">
        <v>180</v>
      </c>
      <c r="C2637" s="58">
        <v>5</v>
      </c>
      <c r="D2637" s="58">
        <v>108</v>
      </c>
      <c r="E2637" s="59">
        <v>1712.2443000000001</v>
      </c>
    </row>
    <row r="2638" spans="1:5" ht="15" x14ac:dyDescent="0.35">
      <c r="A2638" s="58" t="s">
        <v>251</v>
      </c>
      <c r="B2638" s="58" t="s">
        <v>180</v>
      </c>
      <c r="C2638" s="58">
        <v>6</v>
      </c>
      <c r="D2638" s="58">
        <v>109</v>
      </c>
      <c r="E2638" s="59">
        <v>1712.2443000000001</v>
      </c>
    </row>
    <row r="2639" spans="1:5" ht="15" x14ac:dyDescent="0.35">
      <c r="A2639" s="58" t="s">
        <v>251</v>
      </c>
      <c r="B2639" s="58" t="s">
        <v>180</v>
      </c>
      <c r="C2639" s="58">
        <v>7</v>
      </c>
      <c r="D2639" s="58">
        <v>110</v>
      </c>
      <c r="E2639" s="59">
        <v>1712.2443000000001</v>
      </c>
    </row>
    <row r="2640" spans="1:5" ht="15" x14ac:dyDescent="0.35">
      <c r="A2640" s="58" t="s">
        <v>251</v>
      </c>
      <c r="B2640" s="58" t="s">
        <v>180</v>
      </c>
      <c r="C2640" s="58">
        <v>8</v>
      </c>
      <c r="D2640" s="58">
        <v>111</v>
      </c>
      <c r="E2640" s="59">
        <v>1712.2443000000001</v>
      </c>
    </row>
    <row r="2641" spans="1:5" ht="15" x14ac:dyDescent="0.35">
      <c r="A2641" s="58" t="s">
        <v>251</v>
      </c>
      <c r="B2641" s="58" t="s">
        <v>180</v>
      </c>
      <c r="C2641" s="58">
        <v>9</v>
      </c>
      <c r="D2641" s="58">
        <v>112</v>
      </c>
      <c r="E2641" s="59">
        <v>1712.2443000000001</v>
      </c>
    </row>
    <row r="2642" spans="1:5" ht="15" x14ac:dyDescent="0.35">
      <c r="A2642" s="58" t="s">
        <v>251</v>
      </c>
      <c r="B2642" s="58" t="s">
        <v>180</v>
      </c>
      <c r="C2642" s="58">
        <v>10</v>
      </c>
      <c r="D2642" s="58">
        <v>113</v>
      </c>
      <c r="E2642" s="59">
        <v>1712.2443000000001</v>
      </c>
    </row>
    <row r="2643" spans="1:5" ht="15" x14ac:dyDescent="0.35">
      <c r="A2643" s="58" t="s">
        <v>251</v>
      </c>
      <c r="B2643" s="58" t="s">
        <v>180</v>
      </c>
      <c r="C2643" s="58">
        <v>11</v>
      </c>
      <c r="D2643" s="58">
        <v>114</v>
      </c>
      <c r="E2643" s="59">
        <v>1712.2443000000001</v>
      </c>
    </row>
    <row r="2644" spans="1:5" ht="15" x14ac:dyDescent="0.35">
      <c r="A2644" s="58" t="s">
        <v>251</v>
      </c>
      <c r="B2644" s="58" t="s">
        <v>180</v>
      </c>
      <c r="C2644" s="58">
        <v>12</v>
      </c>
      <c r="D2644" s="58">
        <v>115</v>
      </c>
      <c r="E2644" s="59">
        <v>1712.2443000000001</v>
      </c>
    </row>
    <row r="2645" spans="1:5" ht="15" x14ac:dyDescent="0.35">
      <c r="A2645" s="58" t="s">
        <v>364</v>
      </c>
      <c r="B2645" s="58" t="s">
        <v>182</v>
      </c>
      <c r="C2645" s="58">
        <v>1</v>
      </c>
      <c r="D2645" s="58">
        <v>104</v>
      </c>
      <c r="E2645" s="59">
        <v>155.5249</v>
      </c>
    </row>
    <row r="2646" spans="1:5" ht="15" x14ac:dyDescent="0.35">
      <c r="A2646" s="58" t="s">
        <v>364</v>
      </c>
      <c r="B2646" s="58" t="s">
        <v>182</v>
      </c>
      <c r="C2646" s="58">
        <v>2</v>
      </c>
      <c r="D2646" s="58">
        <v>105</v>
      </c>
      <c r="E2646" s="59">
        <v>103.2582</v>
      </c>
    </row>
    <row r="2647" spans="1:5" ht="15" x14ac:dyDescent="0.35">
      <c r="A2647" s="58" t="s">
        <v>364</v>
      </c>
      <c r="B2647" s="58" t="s">
        <v>182</v>
      </c>
      <c r="C2647" s="58">
        <v>3</v>
      </c>
      <c r="D2647" s="58">
        <v>106</v>
      </c>
      <c r="E2647" s="59">
        <v>128.85820000000001</v>
      </c>
    </row>
    <row r="2648" spans="1:5" ht="15" x14ac:dyDescent="0.35">
      <c r="A2648" s="58" t="s">
        <v>364</v>
      </c>
      <c r="B2648" s="58" t="s">
        <v>182</v>
      </c>
      <c r="C2648" s="58">
        <v>4</v>
      </c>
      <c r="D2648" s="58">
        <v>107</v>
      </c>
      <c r="E2648" s="59">
        <v>128.85820000000001</v>
      </c>
    </row>
    <row r="2649" spans="1:5" ht="15" x14ac:dyDescent="0.35">
      <c r="A2649" s="58" t="s">
        <v>364</v>
      </c>
      <c r="B2649" s="58" t="s">
        <v>182</v>
      </c>
      <c r="C2649" s="58">
        <v>5</v>
      </c>
      <c r="D2649" s="58">
        <v>108</v>
      </c>
      <c r="E2649" s="59">
        <v>132.10820000000001</v>
      </c>
    </row>
    <row r="2650" spans="1:5" ht="15" x14ac:dyDescent="0.35">
      <c r="A2650" s="58" t="s">
        <v>364</v>
      </c>
      <c r="B2650" s="58" t="s">
        <v>182</v>
      </c>
      <c r="C2650" s="58">
        <v>6</v>
      </c>
      <c r="D2650" s="58">
        <v>109</v>
      </c>
      <c r="E2650" s="59">
        <v>135.30269999999999</v>
      </c>
    </row>
    <row r="2651" spans="1:5" ht="15" x14ac:dyDescent="0.35">
      <c r="A2651" s="58" t="s">
        <v>364</v>
      </c>
      <c r="B2651" s="58" t="s">
        <v>182</v>
      </c>
      <c r="C2651" s="58">
        <v>7</v>
      </c>
      <c r="D2651" s="58">
        <v>110</v>
      </c>
      <c r="E2651" s="59">
        <v>134.5249</v>
      </c>
    </row>
    <row r="2652" spans="1:5" ht="15" x14ac:dyDescent="0.35">
      <c r="A2652" s="58" t="s">
        <v>364</v>
      </c>
      <c r="B2652" s="58" t="s">
        <v>182</v>
      </c>
      <c r="C2652" s="58">
        <v>8</v>
      </c>
      <c r="D2652" s="58">
        <v>111</v>
      </c>
      <c r="E2652" s="59">
        <v>145.85820000000001</v>
      </c>
    </row>
    <row r="2653" spans="1:5" ht="15" x14ac:dyDescent="0.35">
      <c r="A2653" s="58" t="s">
        <v>364</v>
      </c>
      <c r="B2653" s="58" t="s">
        <v>182</v>
      </c>
      <c r="C2653" s="58">
        <v>9</v>
      </c>
      <c r="D2653" s="58">
        <v>112</v>
      </c>
      <c r="E2653" s="59">
        <v>151.5249</v>
      </c>
    </row>
    <row r="2654" spans="1:5" ht="15" x14ac:dyDescent="0.35">
      <c r="A2654" s="58" t="s">
        <v>364</v>
      </c>
      <c r="B2654" s="58" t="s">
        <v>182</v>
      </c>
      <c r="C2654" s="58">
        <v>10</v>
      </c>
      <c r="D2654" s="58">
        <v>113</v>
      </c>
      <c r="E2654" s="59">
        <v>152.636</v>
      </c>
    </row>
    <row r="2655" spans="1:5" ht="15" x14ac:dyDescent="0.35">
      <c r="A2655" s="58" t="s">
        <v>364</v>
      </c>
      <c r="B2655" s="58" t="s">
        <v>182</v>
      </c>
      <c r="C2655" s="58">
        <v>11</v>
      </c>
      <c r="D2655" s="58">
        <v>114</v>
      </c>
      <c r="E2655" s="59">
        <v>154.0805</v>
      </c>
    </row>
    <row r="2656" spans="1:5" ht="15" x14ac:dyDescent="0.35">
      <c r="A2656" s="58" t="s">
        <v>364</v>
      </c>
      <c r="B2656" s="58" t="s">
        <v>182</v>
      </c>
      <c r="C2656" s="58">
        <v>12</v>
      </c>
      <c r="D2656" s="58">
        <v>115</v>
      </c>
      <c r="E2656" s="59">
        <v>145.96940000000001</v>
      </c>
    </row>
    <row r="2657" spans="1:5" ht="15" x14ac:dyDescent="0.35">
      <c r="A2657" s="58" t="s">
        <v>364</v>
      </c>
      <c r="B2657" s="58" t="s">
        <v>176</v>
      </c>
      <c r="C2657" s="58">
        <v>1</v>
      </c>
      <c r="D2657" s="58">
        <v>104</v>
      </c>
      <c r="E2657" s="59">
        <v>72.5</v>
      </c>
    </row>
    <row r="2658" spans="1:5" ht="15" x14ac:dyDescent="0.35">
      <c r="A2658" s="58" t="s">
        <v>364</v>
      </c>
      <c r="B2658" s="58" t="s">
        <v>176</v>
      </c>
      <c r="C2658" s="58">
        <v>2</v>
      </c>
      <c r="D2658" s="58">
        <v>105</v>
      </c>
      <c r="E2658" s="59">
        <v>72.5</v>
      </c>
    </row>
    <row r="2659" spans="1:5" ht="15" x14ac:dyDescent="0.35">
      <c r="A2659" s="58" t="s">
        <v>364</v>
      </c>
      <c r="B2659" s="58" t="s">
        <v>176</v>
      </c>
      <c r="C2659" s="58">
        <v>3</v>
      </c>
      <c r="D2659" s="58">
        <v>106</v>
      </c>
      <c r="E2659" s="59">
        <v>72.5</v>
      </c>
    </row>
    <row r="2660" spans="1:5" ht="15" x14ac:dyDescent="0.35">
      <c r="A2660" s="58" t="s">
        <v>364</v>
      </c>
      <c r="B2660" s="58" t="s">
        <v>176</v>
      </c>
      <c r="C2660" s="58">
        <v>4</v>
      </c>
      <c r="D2660" s="58">
        <v>107</v>
      </c>
      <c r="E2660" s="59">
        <v>72.5</v>
      </c>
    </row>
    <row r="2661" spans="1:5" ht="15" x14ac:dyDescent="0.35">
      <c r="A2661" s="58" t="s">
        <v>364</v>
      </c>
      <c r="B2661" s="58" t="s">
        <v>176</v>
      </c>
      <c r="C2661" s="58">
        <v>5</v>
      </c>
      <c r="D2661" s="58">
        <v>108</v>
      </c>
      <c r="E2661" s="59">
        <v>72.5</v>
      </c>
    </row>
    <row r="2662" spans="1:5" ht="15" x14ac:dyDescent="0.35">
      <c r="A2662" s="58" t="s">
        <v>364</v>
      </c>
      <c r="B2662" s="58" t="s">
        <v>176</v>
      </c>
      <c r="C2662" s="58">
        <v>6</v>
      </c>
      <c r="D2662" s="58">
        <v>109</v>
      </c>
      <c r="E2662" s="59">
        <v>72.5</v>
      </c>
    </row>
    <row r="2663" spans="1:5" ht="15" x14ac:dyDescent="0.35">
      <c r="A2663" s="58" t="s">
        <v>364</v>
      </c>
      <c r="B2663" s="58" t="s">
        <v>176</v>
      </c>
      <c r="C2663" s="58">
        <v>7</v>
      </c>
      <c r="D2663" s="58">
        <v>110</v>
      </c>
      <c r="E2663" s="59">
        <v>72.5</v>
      </c>
    </row>
    <row r="2664" spans="1:5" ht="15" x14ac:dyDescent="0.35">
      <c r="A2664" s="58" t="s">
        <v>364</v>
      </c>
      <c r="B2664" s="58" t="s">
        <v>176</v>
      </c>
      <c r="C2664" s="58">
        <v>8</v>
      </c>
      <c r="D2664" s="58">
        <v>111</v>
      </c>
      <c r="E2664" s="59">
        <v>72.5</v>
      </c>
    </row>
    <row r="2665" spans="1:5" ht="15" x14ac:dyDescent="0.35">
      <c r="A2665" s="58" t="s">
        <v>364</v>
      </c>
      <c r="B2665" s="58" t="s">
        <v>176</v>
      </c>
      <c r="C2665" s="58">
        <v>9</v>
      </c>
      <c r="D2665" s="58">
        <v>112</v>
      </c>
      <c r="E2665" s="59">
        <v>72.5</v>
      </c>
    </row>
    <row r="2666" spans="1:5" ht="15" x14ac:dyDescent="0.35">
      <c r="A2666" s="58" t="s">
        <v>364</v>
      </c>
      <c r="B2666" s="58" t="s">
        <v>176</v>
      </c>
      <c r="C2666" s="58">
        <v>10</v>
      </c>
      <c r="D2666" s="58">
        <v>113</v>
      </c>
      <c r="E2666" s="59">
        <v>72.5</v>
      </c>
    </row>
    <row r="2667" spans="1:5" ht="15" x14ac:dyDescent="0.35">
      <c r="A2667" s="58" t="s">
        <v>364</v>
      </c>
      <c r="B2667" s="58" t="s">
        <v>176</v>
      </c>
      <c r="C2667" s="58">
        <v>11</v>
      </c>
      <c r="D2667" s="58">
        <v>114</v>
      </c>
      <c r="E2667" s="59">
        <v>72.5</v>
      </c>
    </row>
    <row r="2668" spans="1:5" ht="15" x14ac:dyDescent="0.35">
      <c r="A2668" s="58" t="s">
        <v>364</v>
      </c>
      <c r="B2668" s="58" t="s">
        <v>176</v>
      </c>
      <c r="C2668" s="58">
        <v>12</v>
      </c>
      <c r="D2668" s="58">
        <v>115</v>
      </c>
      <c r="E2668" s="59">
        <v>72.5</v>
      </c>
    </row>
    <row r="2669" spans="1:5" ht="15" x14ac:dyDescent="0.35">
      <c r="A2669" s="58" t="s">
        <v>364</v>
      </c>
      <c r="B2669" s="58" t="s">
        <v>172</v>
      </c>
      <c r="C2669" s="58">
        <v>1</v>
      </c>
      <c r="D2669" s="58">
        <v>104</v>
      </c>
      <c r="E2669" s="59">
        <v>317</v>
      </c>
    </row>
    <row r="2670" spans="1:5" ht="15" x14ac:dyDescent="0.35">
      <c r="A2670" s="58" t="s">
        <v>364</v>
      </c>
      <c r="B2670" s="58" t="s">
        <v>172</v>
      </c>
      <c r="C2670" s="58">
        <v>2</v>
      </c>
      <c r="D2670" s="58">
        <v>105</v>
      </c>
      <c r="E2670" s="59">
        <v>317</v>
      </c>
    </row>
    <row r="2671" spans="1:5" ht="15" x14ac:dyDescent="0.35">
      <c r="A2671" s="58" t="s">
        <v>364</v>
      </c>
      <c r="B2671" s="58" t="s">
        <v>172</v>
      </c>
      <c r="C2671" s="58">
        <v>3</v>
      </c>
      <c r="D2671" s="58">
        <v>106</v>
      </c>
      <c r="E2671" s="59">
        <v>317</v>
      </c>
    </row>
    <row r="2672" spans="1:5" ht="15" x14ac:dyDescent="0.35">
      <c r="A2672" s="58" t="s">
        <v>364</v>
      </c>
      <c r="B2672" s="58" t="s">
        <v>172</v>
      </c>
      <c r="C2672" s="58">
        <v>4</v>
      </c>
      <c r="D2672" s="58">
        <v>107</v>
      </c>
      <c r="E2672" s="59">
        <v>317</v>
      </c>
    </row>
    <row r="2673" spans="1:5" ht="15" x14ac:dyDescent="0.35">
      <c r="A2673" s="58" t="s">
        <v>364</v>
      </c>
      <c r="B2673" s="58" t="s">
        <v>172</v>
      </c>
      <c r="C2673" s="58">
        <v>5</v>
      </c>
      <c r="D2673" s="58">
        <v>108</v>
      </c>
      <c r="E2673" s="59">
        <v>317</v>
      </c>
    </row>
    <row r="2674" spans="1:5" ht="15" x14ac:dyDescent="0.35">
      <c r="A2674" s="58" t="s">
        <v>364</v>
      </c>
      <c r="B2674" s="58" t="s">
        <v>172</v>
      </c>
      <c r="C2674" s="58">
        <v>6</v>
      </c>
      <c r="D2674" s="58">
        <v>109</v>
      </c>
      <c r="E2674" s="59">
        <v>317</v>
      </c>
    </row>
    <row r="2675" spans="1:5" ht="15" x14ac:dyDescent="0.35">
      <c r="A2675" s="58" t="s">
        <v>364</v>
      </c>
      <c r="B2675" s="58" t="s">
        <v>172</v>
      </c>
      <c r="C2675" s="58">
        <v>7</v>
      </c>
      <c r="D2675" s="58">
        <v>110</v>
      </c>
      <c r="E2675" s="59">
        <v>317</v>
      </c>
    </row>
    <row r="2676" spans="1:5" ht="15" x14ac:dyDescent="0.35">
      <c r="A2676" s="58" t="s">
        <v>364</v>
      </c>
      <c r="B2676" s="58" t="s">
        <v>172</v>
      </c>
      <c r="C2676" s="58">
        <v>8</v>
      </c>
      <c r="D2676" s="58">
        <v>111</v>
      </c>
      <c r="E2676" s="59">
        <v>317</v>
      </c>
    </row>
    <row r="2677" spans="1:5" ht="15" x14ac:dyDescent="0.35">
      <c r="A2677" s="58" t="s">
        <v>364</v>
      </c>
      <c r="B2677" s="58" t="s">
        <v>172</v>
      </c>
      <c r="C2677" s="58">
        <v>9</v>
      </c>
      <c r="D2677" s="58">
        <v>112</v>
      </c>
      <c r="E2677" s="59">
        <v>317</v>
      </c>
    </row>
    <row r="2678" spans="1:5" ht="15" x14ac:dyDescent="0.35">
      <c r="A2678" s="58" t="s">
        <v>364</v>
      </c>
      <c r="B2678" s="58" t="s">
        <v>172</v>
      </c>
      <c r="C2678" s="58">
        <v>10</v>
      </c>
      <c r="D2678" s="58">
        <v>113</v>
      </c>
      <c r="E2678" s="59">
        <v>317</v>
      </c>
    </row>
    <row r="2679" spans="1:5" ht="15" x14ac:dyDescent="0.35">
      <c r="A2679" s="58" t="s">
        <v>364</v>
      </c>
      <c r="B2679" s="58" t="s">
        <v>172</v>
      </c>
      <c r="C2679" s="58">
        <v>11</v>
      </c>
      <c r="D2679" s="58">
        <v>114</v>
      </c>
      <c r="E2679" s="59">
        <v>317</v>
      </c>
    </row>
    <row r="2680" spans="1:5" ht="15" x14ac:dyDescent="0.35">
      <c r="A2680" s="58" t="s">
        <v>364</v>
      </c>
      <c r="B2680" s="58" t="s">
        <v>172</v>
      </c>
      <c r="C2680" s="58">
        <v>12</v>
      </c>
      <c r="D2680" s="58">
        <v>115</v>
      </c>
      <c r="E2680" s="59">
        <v>317</v>
      </c>
    </row>
    <row r="2681" spans="1:5" ht="15" x14ac:dyDescent="0.35">
      <c r="A2681" s="58" t="s">
        <v>364</v>
      </c>
      <c r="B2681" s="58" t="s">
        <v>180</v>
      </c>
      <c r="C2681" s="58">
        <v>1</v>
      </c>
      <c r="D2681" s="58">
        <v>104</v>
      </c>
      <c r="E2681" s="59">
        <v>238.0813</v>
      </c>
    </row>
    <row r="2682" spans="1:5" ht="15" x14ac:dyDescent="0.35">
      <c r="A2682" s="58" t="s">
        <v>364</v>
      </c>
      <c r="B2682" s="58" t="s">
        <v>180</v>
      </c>
      <c r="C2682" s="58">
        <v>2</v>
      </c>
      <c r="D2682" s="58">
        <v>105</v>
      </c>
      <c r="E2682" s="59">
        <v>238.0813</v>
      </c>
    </row>
    <row r="2683" spans="1:5" ht="15" x14ac:dyDescent="0.35">
      <c r="A2683" s="58" t="s">
        <v>364</v>
      </c>
      <c r="B2683" s="58" t="s">
        <v>180</v>
      </c>
      <c r="C2683" s="58">
        <v>3</v>
      </c>
      <c r="D2683" s="58">
        <v>106</v>
      </c>
      <c r="E2683" s="59">
        <v>238.0813</v>
      </c>
    </row>
    <row r="2684" spans="1:5" ht="15" x14ac:dyDescent="0.35">
      <c r="A2684" s="58" t="s">
        <v>364</v>
      </c>
      <c r="B2684" s="58" t="s">
        <v>180</v>
      </c>
      <c r="C2684" s="58">
        <v>4</v>
      </c>
      <c r="D2684" s="58">
        <v>107</v>
      </c>
      <c r="E2684" s="59">
        <v>238.0813</v>
      </c>
    </row>
    <row r="2685" spans="1:5" ht="15" x14ac:dyDescent="0.35">
      <c r="A2685" s="58" t="s">
        <v>364</v>
      </c>
      <c r="B2685" s="58" t="s">
        <v>180</v>
      </c>
      <c r="C2685" s="58">
        <v>5</v>
      </c>
      <c r="D2685" s="58">
        <v>108</v>
      </c>
      <c r="E2685" s="59">
        <v>238.0813</v>
      </c>
    </row>
    <row r="2686" spans="1:5" ht="15" x14ac:dyDescent="0.35">
      <c r="A2686" s="58" t="s">
        <v>364</v>
      </c>
      <c r="B2686" s="58" t="s">
        <v>180</v>
      </c>
      <c r="C2686" s="58">
        <v>6</v>
      </c>
      <c r="D2686" s="58">
        <v>109</v>
      </c>
      <c r="E2686" s="59">
        <v>238.0813</v>
      </c>
    </row>
    <row r="2687" spans="1:5" ht="15" x14ac:dyDescent="0.35">
      <c r="A2687" s="58" t="s">
        <v>364</v>
      </c>
      <c r="B2687" s="58" t="s">
        <v>180</v>
      </c>
      <c r="C2687" s="58">
        <v>7</v>
      </c>
      <c r="D2687" s="58">
        <v>110</v>
      </c>
      <c r="E2687" s="59">
        <v>238.0813</v>
      </c>
    </row>
    <row r="2688" spans="1:5" ht="15" x14ac:dyDescent="0.35">
      <c r="A2688" s="58" t="s">
        <v>364</v>
      </c>
      <c r="B2688" s="58" t="s">
        <v>180</v>
      </c>
      <c r="C2688" s="58">
        <v>8</v>
      </c>
      <c r="D2688" s="58">
        <v>111</v>
      </c>
      <c r="E2688" s="59">
        <v>238.0813</v>
      </c>
    </row>
    <row r="2689" spans="1:5" ht="15" x14ac:dyDescent="0.35">
      <c r="A2689" s="58" t="s">
        <v>364</v>
      </c>
      <c r="B2689" s="58" t="s">
        <v>180</v>
      </c>
      <c r="C2689" s="58">
        <v>9</v>
      </c>
      <c r="D2689" s="58">
        <v>112</v>
      </c>
      <c r="E2689" s="59">
        <v>238.0813</v>
      </c>
    </row>
    <row r="2690" spans="1:5" ht="15" x14ac:dyDescent="0.35">
      <c r="A2690" s="58" t="s">
        <v>364</v>
      </c>
      <c r="B2690" s="58" t="s">
        <v>180</v>
      </c>
      <c r="C2690" s="58">
        <v>10</v>
      </c>
      <c r="D2690" s="58">
        <v>113</v>
      </c>
      <c r="E2690" s="59">
        <v>238.0813</v>
      </c>
    </row>
    <row r="2691" spans="1:5" ht="15" x14ac:dyDescent="0.35">
      <c r="A2691" s="58" t="s">
        <v>364</v>
      </c>
      <c r="B2691" s="58" t="s">
        <v>180</v>
      </c>
      <c r="C2691" s="58">
        <v>11</v>
      </c>
      <c r="D2691" s="58">
        <v>114</v>
      </c>
      <c r="E2691" s="59">
        <v>238.0813</v>
      </c>
    </row>
    <row r="2692" spans="1:5" ht="15" x14ac:dyDescent="0.35">
      <c r="A2692" s="58" t="s">
        <v>364</v>
      </c>
      <c r="B2692" s="58" t="s">
        <v>180</v>
      </c>
      <c r="C2692" s="58">
        <v>12</v>
      </c>
      <c r="D2692" s="58">
        <v>115</v>
      </c>
      <c r="E2692" s="59">
        <v>238.0813</v>
      </c>
    </row>
    <row r="2693" spans="1:5" ht="15" x14ac:dyDescent="0.35">
      <c r="A2693" s="58" t="s">
        <v>284</v>
      </c>
      <c r="B2693" s="58" t="s">
        <v>182</v>
      </c>
      <c r="C2693" s="58">
        <v>1</v>
      </c>
      <c r="D2693" s="58">
        <v>104</v>
      </c>
      <c r="E2693" s="59">
        <v>47.715600000000002</v>
      </c>
    </row>
    <row r="2694" spans="1:5" ht="15" x14ac:dyDescent="0.35">
      <c r="A2694" s="58" t="s">
        <v>284</v>
      </c>
      <c r="B2694" s="58" t="s">
        <v>182</v>
      </c>
      <c r="C2694" s="58">
        <v>2</v>
      </c>
      <c r="D2694" s="58">
        <v>105</v>
      </c>
      <c r="E2694" s="59">
        <v>46.493400000000001</v>
      </c>
    </row>
    <row r="2695" spans="1:5" ht="15" x14ac:dyDescent="0.35">
      <c r="A2695" s="58" t="s">
        <v>284</v>
      </c>
      <c r="B2695" s="58" t="s">
        <v>182</v>
      </c>
      <c r="C2695" s="58">
        <v>3</v>
      </c>
      <c r="D2695" s="58">
        <v>106</v>
      </c>
      <c r="E2695" s="59">
        <v>67.66</v>
      </c>
    </row>
    <row r="2696" spans="1:5" ht="15" x14ac:dyDescent="0.35">
      <c r="A2696" s="58" t="s">
        <v>284</v>
      </c>
      <c r="B2696" s="58" t="s">
        <v>182</v>
      </c>
      <c r="C2696" s="58">
        <v>4</v>
      </c>
      <c r="D2696" s="58">
        <v>107</v>
      </c>
      <c r="E2696" s="59">
        <v>68.7791</v>
      </c>
    </row>
    <row r="2697" spans="1:5" ht="15" x14ac:dyDescent="0.35">
      <c r="A2697" s="58" t="s">
        <v>284</v>
      </c>
      <c r="B2697" s="58" t="s">
        <v>182</v>
      </c>
      <c r="C2697" s="58">
        <v>5</v>
      </c>
      <c r="D2697" s="58">
        <v>108</v>
      </c>
      <c r="E2697" s="59">
        <v>91.368399999999994</v>
      </c>
    </row>
    <row r="2698" spans="1:5" ht="15" x14ac:dyDescent="0.35">
      <c r="A2698" s="58" t="s">
        <v>284</v>
      </c>
      <c r="B2698" s="58" t="s">
        <v>182</v>
      </c>
      <c r="C2698" s="58">
        <v>6</v>
      </c>
      <c r="D2698" s="58">
        <v>109</v>
      </c>
      <c r="E2698" s="59">
        <v>98.826700000000002</v>
      </c>
    </row>
    <row r="2699" spans="1:5" ht="15" x14ac:dyDescent="0.35">
      <c r="A2699" s="58" t="s">
        <v>284</v>
      </c>
      <c r="B2699" s="58" t="s">
        <v>182</v>
      </c>
      <c r="C2699" s="58">
        <v>7</v>
      </c>
      <c r="D2699" s="58">
        <v>110</v>
      </c>
      <c r="E2699" s="59">
        <v>96.048900000000003</v>
      </c>
    </row>
    <row r="2700" spans="1:5" ht="15" x14ac:dyDescent="0.35">
      <c r="A2700" s="58" t="s">
        <v>284</v>
      </c>
      <c r="B2700" s="58" t="s">
        <v>182</v>
      </c>
      <c r="C2700" s="58">
        <v>8</v>
      </c>
      <c r="D2700" s="58">
        <v>111</v>
      </c>
      <c r="E2700" s="59">
        <v>97.493399999999994</v>
      </c>
    </row>
    <row r="2701" spans="1:5" ht="15" x14ac:dyDescent="0.35">
      <c r="A2701" s="58" t="s">
        <v>284</v>
      </c>
      <c r="B2701" s="58" t="s">
        <v>182</v>
      </c>
      <c r="C2701" s="58">
        <v>9</v>
      </c>
      <c r="D2701" s="58">
        <v>112</v>
      </c>
      <c r="E2701" s="59">
        <v>137.0489</v>
      </c>
    </row>
    <row r="2702" spans="1:5" ht="15" x14ac:dyDescent="0.35">
      <c r="A2702" s="58" t="s">
        <v>284</v>
      </c>
      <c r="B2702" s="58" t="s">
        <v>182</v>
      </c>
      <c r="C2702" s="58">
        <v>10</v>
      </c>
      <c r="D2702" s="58">
        <v>113</v>
      </c>
      <c r="E2702" s="59">
        <v>146.27109999999999</v>
      </c>
    </row>
    <row r="2703" spans="1:5" ht="15" x14ac:dyDescent="0.35">
      <c r="A2703" s="58" t="s">
        <v>284</v>
      </c>
      <c r="B2703" s="58" t="s">
        <v>182</v>
      </c>
      <c r="C2703" s="58">
        <v>11</v>
      </c>
      <c r="D2703" s="58">
        <v>114</v>
      </c>
      <c r="E2703" s="59">
        <v>127.2711</v>
      </c>
    </row>
    <row r="2704" spans="1:5" ht="15" x14ac:dyDescent="0.35">
      <c r="A2704" s="58" t="s">
        <v>284</v>
      </c>
      <c r="B2704" s="58" t="s">
        <v>182</v>
      </c>
      <c r="C2704" s="58">
        <v>12</v>
      </c>
      <c r="D2704" s="58">
        <v>115</v>
      </c>
      <c r="E2704" s="59">
        <v>119.9378</v>
      </c>
    </row>
    <row r="2705" spans="1:5" ht="15" x14ac:dyDescent="0.35">
      <c r="A2705" s="58" t="s">
        <v>284</v>
      </c>
      <c r="B2705" s="58" t="s">
        <v>176</v>
      </c>
      <c r="C2705" s="58">
        <v>1</v>
      </c>
      <c r="D2705" s="58">
        <v>104</v>
      </c>
      <c r="E2705" s="59">
        <v>67.875</v>
      </c>
    </row>
    <row r="2706" spans="1:5" ht="15" x14ac:dyDescent="0.35">
      <c r="A2706" s="58" t="s">
        <v>284</v>
      </c>
      <c r="B2706" s="58" t="s">
        <v>176</v>
      </c>
      <c r="C2706" s="58">
        <v>2</v>
      </c>
      <c r="D2706" s="58">
        <v>105</v>
      </c>
      <c r="E2706" s="59">
        <v>67.875</v>
      </c>
    </row>
    <row r="2707" spans="1:5" ht="15" x14ac:dyDescent="0.35">
      <c r="A2707" s="58" t="s">
        <v>284</v>
      </c>
      <c r="B2707" s="58" t="s">
        <v>176</v>
      </c>
      <c r="C2707" s="58">
        <v>3</v>
      </c>
      <c r="D2707" s="58">
        <v>106</v>
      </c>
      <c r="E2707" s="59">
        <v>67.875</v>
      </c>
    </row>
    <row r="2708" spans="1:5" ht="15" x14ac:dyDescent="0.35">
      <c r="A2708" s="58" t="s">
        <v>284</v>
      </c>
      <c r="B2708" s="58" t="s">
        <v>176</v>
      </c>
      <c r="C2708" s="58">
        <v>4</v>
      </c>
      <c r="D2708" s="58">
        <v>107</v>
      </c>
      <c r="E2708" s="59">
        <v>67.875</v>
      </c>
    </row>
    <row r="2709" spans="1:5" ht="15" x14ac:dyDescent="0.35">
      <c r="A2709" s="58" t="s">
        <v>284</v>
      </c>
      <c r="B2709" s="58" t="s">
        <v>176</v>
      </c>
      <c r="C2709" s="58">
        <v>5</v>
      </c>
      <c r="D2709" s="58">
        <v>108</v>
      </c>
      <c r="E2709" s="59">
        <v>67.875</v>
      </c>
    </row>
    <row r="2710" spans="1:5" ht="15" x14ac:dyDescent="0.35">
      <c r="A2710" s="58" t="s">
        <v>284</v>
      </c>
      <c r="B2710" s="58" t="s">
        <v>176</v>
      </c>
      <c r="C2710" s="58">
        <v>6</v>
      </c>
      <c r="D2710" s="58">
        <v>109</v>
      </c>
      <c r="E2710" s="59">
        <v>67.875</v>
      </c>
    </row>
    <row r="2711" spans="1:5" ht="15" x14ac:dyDescent="0.35">
      <c r="A2711" s="58" t="s">
        <v>284</v>
      </c>
      <c r="B2711" s="58" t="s">
        <v>176</v>
      </c>
      <c r="C2711" s="58">
        <v>7</v>
      </c>
      <c r="D2711" s="58">
        <v>110</v>
      </c>
      <c r="E2711" s="59">
        <v>67.875</v>
      </c>
    </row>
    <row r="2712" spans="1:5" ht="15" x14ac:dyDescent="0.35">
      <c r="A2712" s="58" t="s">
        <v>284</v>
      </c>
      <c r="B2712" s="58" t="s">
        <v>176</v>
      </c>
      <c r="C2712" s="58">
        <v>8</v>
      </c>
      <c r="D2712" s="58">
        <v>111</v>
      </c>
      <c r="E2712" s="59">
        <v>67.875</v>
      </c>
    </row>
    <row r="2713" spans="1:5" ht="15" x14ac:dyDescent="0.35">
      <c r="A2713" s="58" t="s">
        <v>284</v>
      </c>
      <c r="B2713" s="58" t="s">
        <v>176</v>
      </c>
      <c r="C2713" s="58">
        <v>9</v>
      </c>
      <c r="D2713" s="58">
        <v>112</v>
      </c>
      <c r="E2713" s="59">
        <v>67.875</v>
      </c>
    </row>
    <row r="2714" spans="1:5" ht="15" x14ac:dyDescent="0.35">
      <c r="A2714" s="58" t="s">
        <v>284</v>
      </c>
      <c r="B2714" s="58" t="s">
        <v>176</v>
      </c>
      <c r="C2714" s="58">
        <v>10</v>
      </c>
      <c r="D2714" s="58">
        <v>113</v>
      </c>
      <c r="E2714" s="59">
        <v>67.875</v>
      </c>
    </row>
    <row r="2715" spans="1:5" ht="15" x14ac:dyDescent="0.35">
      <c r="A2715" s="58" t="s">
        <v>284</v>
      </c>
      <c r="B2715" s="58" t="s">
        <v>176</v>
      </c>
      <c r="C2715" s="58">
        <v>11</v>
      </c>
      <c r="D2715" s="58">
        <v>114</v>
      </c>
      <c r="E2715" s="59">
        <v>67.875</v>
      </c>
    </row>
    <row r="2716" spans="1:5" ht="15" x14ac:dyDescent="0.35">
      <c r="A2716" s="58" t="s">
        <v>284</v>
      </c>
      <c r="B2716" s="58" t="s">
        <v>176</v>
      </c>
      <c r="C2716" s="58">
        <v>12</v>
      </c>
      <c r="D2716" s="58">
        <v>115</v>
      </c>
      <c r="E2716" s="59">
        <v>67.875</v>
      </c>
    </row>
    <row r="2717" spans="1:5" ht="15" x14ac:dyDescent="0.35">
      <c r="A2717" s="58" t="s">
        <v>284</v>
      </c>
      <c r="B2717" s="58" t="s">
        <v>172</v>
      </c>
      <c r="C2717" s="58">
        <v>1</v>
      </c>
      <c r="D2717" s="58">
        <v>104</v>
      </c>
      <c r="E2717" s="59">
        <v>68</v>
      </c>
    </row>
    <row r="2718" spans="1:5" ht="15" x14ac:dyDescent="0.35">
      <c r="A2718" s="58" t="s">
        <v>284</v>
      </c>
      <c r="B2718" s="58" t="s">
        <v>172</v>
      </c>
      <c r="C2718" s="58">
        <v>2</v>
      </c>
      <c r="D2718" s="58">
        <v>105</v>
      </c>
      <c r="E2718" s="59">
        <v>68</v>
      </c>
    </row>
    <row r="2719" spans="1:5" ht="15" x14ac:dyDescent="0.35">
      <c r="A2719" s="58" t="s">
        <v>284</v>
      </c>
      <c r="B2719" s="58" t="s">
        <v>172</v>
      </c>
      <c r="C2719" s="58">
        <v>3</v>
      </c>
      <c r="D2719" s="58">
        <v>106</v>
      </c>
      <c r="E2719" s="59">
        <v>68</v>
      </c>
    </row>
    <row r="2720" spans="1:5" ht="15" x14ac:dyDescent="0.35">
      <c r="A2720" s="58" t="s">
        <v>284</v>
      </c>
      <c r="B2720" s="58" t="s">
        <v>172</v>
      </c>
      <c r="C2720" s="58">
        <v>4</v>
      </c>
      <c r="D2720" s="58">
        <v>107</v>
      </c>
      <c r="E2720" s="59">
        <v>68</v>
      </c>
    </row>
    <row r="2721" spans="1:5" ht="15" x14ac:dyDescent="0.35">
      <c r="A2721" s="58" t="s">
        <v>284</v>
      </c>
      <c r="B2721" s="58" t="s">
        <v>172</v>
      </c>
      <c r="C2721" s="58">
        <v>5</v>
      </c>
      <c r="D2721" s="58">
        <v>108</v>
      </c>
      <c r="E2721" s="59">
        <v>68</v>
      </c>
    </row>
    <row r="2722" spans="1:5" ht="15" x14ac:dyDescent="0.35">
      <c r="A2722" s="58" t="s">
        <v>284</v>
      </c>
      <c r="B2722" s="58" t="s">
        <v>172</v>
      </c>
      <c r="C2722" s="58">
        <v>6</v>
      </c>
      <c r="D2722" s="58">
        <v>109</v>
      </c>
      <c r="E2722" s="59">
        <v>68</v>
      </c>
    </row>
    <row r="2723" spans="1:5" ht="15" x14ac:dyDescent="0.35">
      <c r="A2723" s="58" t="s">
        <v>284</v>
      </c>
      <c r="B2723" s="58" t="s">
        <v>172</v>
      </c>
      <c r="C2723" s="58">
        <v>7</v>
      </c>
      <c r="D2723" s="58">
        <v>110</v>
      </c>
      <c r="E2723" s="59">
        <v>68</v>
      </c>
    </row>
    <row r="2724" spans="1:5" ht="15" x14ac:dyDescent="0.35">
      <c r="A2724" s="58" t="s">
        <v>284</v>
      </c>
      <c r="B2724" s="58" t="s">
        <v>172</v>
      </c>
      <c r="C2724" s="58">
        <v>8</v>
      </c>
      <c r="D2724" s="58">
        <v>111</v>
      </c>
      <c r="E2724" s="59">
        <v>68</v>
      </c>
    </row>
    <row r="2725" spans="1:5" ht="15" x14ac:dyDescent="0.35">
      <c r="A2725" s="58" t="s">
        <v>284</v>
      </c>
      <c r="B2725" s="58" t="s">
        <v>172</v>
      </c>
      <c r="C2725" s="58">
        <v>9</v>
      </c>
      <c r="D2725" s="58">
        <v>112</v>
      </c>
      <c r="E2725" s="59">
        <v>68</v>
      </c>
    </row>
    <row r="2726" spans="1:5" ht="15" x14ac:dyDescent="0.35">
      <c r="A2726" s="58" t="s">
        <v>284</v>
      </c>
      <c r="B2726" s="58" t="s">
        <v>172</v>
      </c>
      <c r="C2726" s="58">
        <v>10</v>
      </c>
      <c r="D2726" s="58">
        <v>113</v>
      </c>
      <c r="E2726" s="59">
        <v>68</v>
      </c>
    </row>
    <row r="2727" spans="1:5" ht="15" x14ac:dyDescent="0.35">
      <c r="A2727" s="58" t="s">
        <v>284</v>
      </c>
      <c r="B2727" s="58" t="s">
        <v>172</v>
      </c>
      <c r="C2727" s="58">
        <v>11</v>
      </c>
      <c r="D2727" s="58">
        <v>114</v>
      </c>
      <c r="E2727" s="59">
        <v>68</v>
      </c>
    </row>
    <row r="2728" spans="1:5" ht="15" x14ac:dyDescent="0.35">
      <c r="A2728" s="58" t="s">
        <v>284</v>
      </c>
      <c r="B2728" s="58" t="s">
        <v>172</v>
      </c>
      <c r="C2728" s="58">
        <v>12</v>
      </c>
      <c r="D2728" s="58">
        <v>115</v>
      </c>
      <c r="E2728" s="59">
        <v>68</v>
      </c>
    </row>
    <row r="2729" spans="1:5" ht="15" x14ac:dyDescent="0.35">
      <c r="A2729" s="58" t="s">
        <v>284</v>
      </c>
      <c r="B2729" s="58" t="s">
        <v>180</v>
      </c>
      <c r="C2729" s="58">
        <v>1</v>
      </c>
      <c r="D2729" s="58">
        <v>104</v>
      </c>
      <c r="E2729" s="59">
        <v>75.385099999999994</v>
      </c>
    </row>
    <row r="2730" spans="1:5" ht="15" x14ac:dyDescent="0.35">
      <c r="A2730" s="58" t="s">
        <v>284</v>
      </c>
      <c r="B2730" s="58" t="s">
        <v>180</v>
      </c>
      <c r="C2730" s="58">
        <v>2</v>
      </c>
      <c r="D2730" s="58">
        <v>105</v>
      </c>
      <c r="E2730" s="59">
        <v>75.385099999999994</v>
      </c>
    </row>
    <row r="2731" spans="1:5" ht="15" x14ac:dyDescent="0.35">
      <c r="A2731" s="58" t="s">
        <v>284</v>
      </c>
      <c r="B2731" s="58" t="s">
        <v>180</v>
      </c>
      <c r="C2731" s="58">
        <v>3</v>
      </c>
      <c r="D2731" s="58">
        <v>106</v>
      </c>
      <c r="E2731" s="59">
        <v>75.385099999999994</v>
      </c>
    </row>
    <row r="2732" spans="1:5" ht="15" x14ac:dyDescent="0.35">
      <c r="A2732" s="58" t="s">
        <v>284</v>
      </c>
      <c r="B2732" s="58" t="s">
        <v>180</v>
      </c>
      <c r="C2732" s="58">
        <v>4</v>
      </c>
      <c r="D2732" s="58">
        <v>107</v>
      </c>
      <c r="E2732" s="59">
        <v>75.385099999999994</v>
      </c>
    </row>
    <row r="2733" spans="1:5" ht="15" x14ac:dyDescent="0.35">
      <c r="A2733" s="58" t="s">
        <v>284</v>
      </c>
      <c r="B2733" s="58" t="s">
        <v>180</v>
      </c>
      <c r="C2733" s="58">
        <v>5</v>
      </c>
      <c r="D2733" s="58">
        <v>108</v>
      </c>
      <c r="E2733" s="59">
        <v>75.385099999999994</v>
      </c>
    </row>
    <row r="2734" spans="1:5" ht="15" x14ac:dyDescent="0.35">
      <c r="A2734" s="58" t="s">
        <v>284</v>
      </c>
      <c r="B2734" s="58" t="s">
        <v>180</v>
      </c>
      <c r="C2734" s="58">
        <v>6</v>
      </c>
      <c r="D2734" s="58">
        <v>109</v>
      </c>
      <c r="E2734" s="59">
        <v>75.385099999999994</v>
      </c>
    </row>
    <row r="2735" spans="1:5" ht="15" x14ac:dyDescent="0.35">
      <c r="A2735" s="58" t="s">
        <v>284</v>
      </c>
      <c r="B2735" s="58" t="s">
        <v>180</v>
      </c>
      <c r="C2735" s="58">
        <v>7</v>
      </c>
      <c r="D2735" s="58">
        <v>110</v>
      </c>
      <c r="E2735" s="59">
        <v>75.385099999999994</v>
      </c>
    </row>
    <row r="2736" spans="1:5" ht="15" x14ac:dyDescent="0.35">
      <c r="A2736" s="58" t="s">
        <v>284</v>
      </c>
      <c r="B2736" s="58" t="s">
        <v>180</v>
      </c>
      <c r="C2736" s="58">
        <v>8</v>
      </c>
      <c r="D2736" s="58">
        <v>111</v>
      </c>
      <c r="E2736" s="59">
        <v>75.385099999999994</v>
      </c>
    </row>
    <row r="2737" spans="1:5" ht="15" x14ac:dyDescent="0.35">
      <c r="A2737" s="58" t="s">
        <v>284</v>
      </c>
      <c r="B2737" s="58" t="s">
        <v>180</v>
      </c>
      <c r="C2737" s="58">
        <v>9</v>
      </c>
      <c r="D2737" s="58">
        <v>112</v>
      </c>
      <c r="E2737" s="59">
        <v>75.385099999999994</v>
      </c>
    </row>
    <row r="2738" spans="1:5" ht="15" x14ac:dyDescent="0.35">
      <c r="A2738" s="58" t="s">
        <v>284</v>
      </c>
      <c r="B2738" s="58" t="s">
        <v>180</v>
      </c>
      <c r="C2738" s="58">
        <v>10</v>
      </c>
      <c r="D2738" s="58">
        <v>113</v>
      </c>
      <c r="E2738" s="59">
        <v>75.385099999999994</v>
      </c>
    </row>
    <row r="2739" spans="1:5" ht="15" x14ac:dyDescent="0.35">
      <c r="A2739" s="58" t="s">
        <v>284</v>
      </c>
      <c r="B2739" s="58" t="s">
        <v>180</v>
      </c>
      <c r="C2739" s="58">
        <v>11</v>
      </c>
      <c r="D2739" s="58">
        <v>114</v>
      </c>
      <c r="E2739" s="59">
        <v>75.385099999999994</v>
      </c>
    </row>
    <row r="2740" spans="1:5" ht="15" x14ac:dyDescent="0.35">
      <c r="A2740" s="58" t="s">
        <v>284</v>
      </c>
      <c r="B2740" s="58" t="s">
        <v>180</v>
      </c>
      <c r="C2740" s="58">
        <v>12</v>
      </c>
      <c r="D2740" s="58">
        <v>115</v>
      </c>
      <c r="E2740" s="59">
        <v>75.385099999999994</v>
      </c>
    </row>
    <row r="2741" spans="1:5" ht="15" x14ac:dyDescent="0.35">
      <c r="A2741" s="58" t="s">
        <v>285</v>
      </c>
      <c r="B2741" s="58" t="s">
        <v>182</v>
      </c>
      <c r="C2741" s="58">
        <v>1</v>
      </c>
      <c r="D2741" s="58">
        <v>104</v>
      </c>
      <c r="E2741" s="59">
        <v>253.89420000000001</v>
      </c>
    </row>
    <row r="2742" spans="1:5" ht="15" x14ac:dyDescent="0.35">
      <c r="A2742" s="58" t="s">
        <v>285</v>
      </c>
      <c r="B2742" s="58" t="s">
        <v>182</v>
      </c>
      <c r="C2742" s="58">
        <v>2</v>
      </c>
      <c r="D2742" s="58">
        <v>105</v>
      </c>
      <c r="E2742" s="59">
        <v>242.5164</v>
      </c>
    </row>
    <row r="2743" spans="1:5" ht="15" x14ac:dyDescent="0.35">
      <c r="A2743" s="58" t="s">
        <v>285</v>
      </c>
      <c r="B2743" s="58" t="s">
        <v>182</v>
      </c>
      <c r="C2743" s="58">
        <v>3</v>
      </c>
      <c r="D2743" s="58">
        <v>106</v>
      </c>
      <c r="E2743" s="59">
        <v>213.44980000000001</v>
      </c>
    </row>
    <row r="2744" spans="1:5" ht="15" x14ac:dyDescent="0.35">
      <c r="A2744" s="58" t="s">
        <v>285</v>
      </c>
      <c r="B2744" s="58" t="s">
        <v>182</v>
      </c>
      <c r="C2744" s="58">
        <v>4</v>
      </c>
      <c r="D2744" s="58">
        <v>107</v>
      </c>
      <c r="E2744" s="59">
        <v>189.2593</v>
      </c>
    </row>
    <row r="2745" spans="1:5" ht="15" x14ac:dyDescent="0.35">
      <c r="A2745" s="58" t="s">
        <v>285</v>
      </c>
      <c r="B2745" s="58" t="s">
        <v>182</v>
      </c>
      <c r="C2745" s="58">
        <v>5</v>
      </c>
      <c r="D2745" s="58">
        <v>108</v>
      </c>
      <c r="E2745" s="59">
        <v>165.8664</v>
      </c>
    </row>
    <row r="2746" spans="1:5" ht="15" x14ac:dyDescent="0.35">
      <c r="A2746" s="58" t="s">
        <v>285</v>
      </c>
      <c r="B2746" s="58" t="s">
        <v>182</v>
      </c>
      <c r="C2746" s="58">
        <v>6</v>
      </c>
      <c r="D2746" s="58">
        <v>109</v>
      </c>
      <c r="E2746" s="59">
        <v>155.44980000000001</v>
      </c>
    </row>
    <row r="2747" spans="1:5" ht="15" x14ac:dyDescent="0.35">
      <c r="A2747" s="58" t="s">
        <v>285</v>
      </c>
      <c r="B2747" s="58" t="s">
        <v>182</v>
      </c>
      <c r="C2747" s="58">
        <v>7</v>
      </c>
      <c r="D2747" s="58">
        <v>110</v>
      </c>
      <c r="E2747" s="59">
        <v>95.227500000000006</v>
      </c>
    </row>
    <row r="2748" spans="1:5" ht="15" x14ac:dyDescent="0.35">
      <c r="A2748" s="58" t="s">
        <v>285</v>
      </c>
      <c r="B2748" s="58" t="s">
        <v>182</v>
      </c>
      <c r="C2748" s="58">
        <v>8</v>
      </c>
      <c r="D2748" s="58">
        <v>111</v>
      </c>
      <c r="E2748" s="59">
        <v>33.449800000000003</v>
      </c>
    </row>
    <row r="2749" spans="1:5" ht="15" x14ac:dyDescent="0.35">
      <c r="A2749" s="58" t="s">
        <v>285</v>
      </c>
      <c r="B2749" s="58" t="s">
        <v>182</v>
      </c>
      <c r="C2749" s="58">
        <v>9</v>
      </c>
      <c r="D2749" s="58">
        <v>112</v>
      </c>
      <c r="E2749" s="59">
        <v>29.338699999999999</v>
      </c>
    </row>
    <row r="2750" spans="1:5" ht="15" x14ac:dyDescent="0.35">
      <c r="A2750" s="58" t="s">
        <v>285</v>
      </c>
      <c r="B2750" s="58" t="s">
        <v>182</v>
      </c>
      <c r="C2750" s="58">
        <v>10</v>
      </c>
      <c r="D2750" s="58">
        <v>113</v>
      </c>
      <c r="E2750" s="59">
        <v>32.560899999999997</v>
      </c>
    </row>
    <row r="2751" spans="1:5" ht="15" x14ac:dyDescent="0.35">
      <c r="A2751" s="58" t="s">
        <v>285</v>
      </c>
      <c r="B2751" s="58" t="s">
        <v>182</v>
      </c>
      <c r="C2751" s="58">
        <v>11</v>
      </c>
      <c r="D2751" s="58">
        <v>114</v>
      </c>
      <c r="E2751" s="59">
        <v>22.5609</v>
      </c>
    </row>
    <row r="2752" spans="1:5" ht="15" x14ac:dyDescent="0.35">
      <c r="A2752" s="58" t="s">
        <v>285</v>
      </c>
      <c r="B2752" s="58" t="s">
        <v>182</v>
      </c>
      <c r="C2752" s="58">
        <v>12</v>
      </c>
      <c r="D2752" s="58">
        <v>115</v>
      </c>
      <c r="E2752" s="59">
        <v>16.783100000000001</v>
      </c>
    </row>
    <row r="2753" spans="1:5" ht="15" x14ac:dyDescent="0.35">
      <c r="A2753" s="58" t="s">
        <v>285</v>
      </c>
      <c r="B2753" s="58" t="s">
        <v>176</v>
      </c>
      <c r="C2753" s="58">
        <v>1</v>
      </c>
      <c r="D2753" s="58">
        <v>104</v>
      </c>
      <c r="E2753" s="59">
        <v>155.5</v>
      </c>
    </row>
    <row r="2754" spans="1:5" ht="15" x14ac:dyDescent="0.35">
      <c r="A2754" s="58" t="s">
        <v>285</v>
      </c>
      <c r="B2754" s="58" t="s">
        <v>176</v>
      </c>
      <c r="C2754" s="58">
        <v>2</v>
      </c>
      <c r="D2754" s="58">
        <v>105</v>
      </c>
      <c r="E2754" s="59">
        <v>155.5</v>
      </c>
    </row>
    <row r="2755" spans="1:5" ht="15" x14ac:dyDescent="0.35">
      <c r="A2755" s="58" t="s">
        <v>285</v>
      </c>
      <c r="B2755" s="58" t="s">
        <v>176</v>
      </c>
      <c r="C2755" s="58">
        <v>3</v>
      </c>
      <c r="D2755" s="58">
        <v>106</v>
      </c>
      <c r="E2755" s="59">
        <v>155.5</v>
      </c>
    </row>
    <row r="2756" spans="1:5" ht="15" x14ac:dyDescent="0.35">
      <c r="A2756" s="58" t="s">
        <v>285</v>
      </c>
      <c r="B2756" s="58" t="s">
        <v>176</v>
      </c>
      <c r="C2756" s="58">
        <v>4</v>
      </c>
      <c r="D2756" s="58">
        <v>107</v>
      </c>
      <c r="E2756" s="59">
        <v>155.5</v>
      </c>
    </row>
    <row r="2757" spans="1:5" ht="15" x14ac:dyDescent="0.35">
      <c r="A2757" s="58" t="s">
        <v>285</v>
      </c>
      <c r="B2757" s="58" t="s">
        <v>176</v>
      </c>
      <c r="C2757" s="58">
        <v>5</v>
      </c>
      <c r="D2757" s="58">
        <v>108</v>
      </c>
      <c r="E2757" s="59">
        <v>155.5</v>
      </c>
    </row>
    <row r="2758" spans="1:5" ht="15" x14ac:dyDescent="0.35">
      <c r="A2758" s="58" t="s">
        <v>285</v>
      </c>
      <c r="B2758" s="58" t="s">
        <v>176</v>
      </c>
      <c r="C2758" s="58">
        <v>6</v>
      </c>
      <c r="D2758" s="58">
        <v>109</v>
      </c>
      <c r="E2758" s="59">
        <v>155.5</v>
      </c>
    </row>
    <row r="2759" spans="1:5" ht="15" x14ac:dyDescent="0.35">
      <c r="A2759" s="58" t="s">
        <v>285</v>
      </c>
      <c r="B2759" s="58" t="s">
        <v>176</v>
      </c>
      <c r="C2759" s="58">
        <v>7</v>
      </c>
      <c r="D2759" s="58">
        <v>110</v>
      </c>
      <c r="E2759" s="59">
        <v>155.5</v>
      </c>
    </row>
    <row r="2760" spans="1:5" ht="15" x14ac:dyDescent="0.35">
      <c r="A2760" s="58" t="s">
        <v>285</v>
      </c>
      <c r="B2760" s="58" t="s">
        <v>176</v>
      </c>
      <c r="C2760" s="58">
        <v>8</v>
      </c>
      <c r="D2760" s="58">
        <v>111</v>
      </c>
      <c r="E2760" s="59">
        <v>155.5</v>
      </c>
    </row>
    <row r="2761" spans="1:5" ht="15" x14ac:dyDescent="0.35">
      <c r="A2761" s="58" t="s">
        <v>285</v>
      </c>
      <c r="B2761" s="58" t="s">
        <v>176</v>
      </c>
      <c r="C2761" s="58">
        <v>9</v>
      </c>
      <c r="D2761" s="58">
        <v>112</v>
      </c>
      <c r="E2761" s="59">
        <v>155.5</v>
      </c>
    </row>
    <row r="2762" spans="1:5" ht="15" x14ac:dyDescent="0.35">
      <c r="A2762" s="58" t="s">
        <v>285</v>
      </c>
      <c r="B2762" s="58" t="s">
        <v>176</v>
      </c>
      <c r="C2762" s="58">
        <v>10</v>
      </c>
      <c r="D2762" s="58">
        <v>113</v>
      </c>
      <c r="E2762" s="59">
        <v>155.5</v>
      </c>
    </row>
    <row r="2763" spans="1:5" ht="15" x14ac:dyDescent="0.35">
      <c r="A2763" s="58" t="s">
        <v>285</v>
      </c>
      <c r="B2763" s="58" t="s">
        <v>176</v>
      </c>
      <c r="C2763" s="58">
        <v>11</v>
      </c>
      <c r="D2763" s="58">
        <v>114</v>
      </c>
      <c r="E2763" s="59">
        <v>155.5</v>
      </c>
    </row>
    <row r="2764" spans="1:5" ht="15" x14ac:dyDescent="0.35">
      <c r="A2764" s="58" t="s">
        <v>285</v>
      </c>
      <c r="B2764" s="58" t="s">
        <v>176</v>
      </c>
      <c r="C2764" s="58">
        <v>12</v>
      </c>
      <c r="D2764" s="58">
        <v>115</v>
      </c>
      <c r="E2764" s="59">
        <v>155.5</v>
      </c>
    </row>
    <row r="2765" spans="1:5" ht="15" x14ac:dyDescent="0.35">
      <c r="A2765" s="58" t="s">
        <v>285</v>
      </c>
      <c r="B2765" s="58" t="s">
        <v>172</v>
      </c>
      <c r="C2765" s="58">
        <v>1</v>
      </c>
      <c r="D2765" s="58">
        <v>104</v>
      </c>
      <c r="E2765" s="59">
        <v>160</v>
      </c>
    </row>
    <row r="2766" spans="1:5" ht="15" x14ac:dyDescent="0.35">
      <c r="A2766" s="58" t="s">
        <v>285</v>
      </c>
      <c r="B2766" s="58" t="s">
        <v>172</v>
      </c>
      <c r="C2766" s="58">
        <v>2</v>
      </c>
      <c r="D2766" s="58">
        <v>105</v>
      </c>
      <c r="E2766" s="59">
        <v>160</v>
      </c>
    </row>
    <row r="2767" spans="1:5" ht="15" x14ac:dyDescent="0.35">
      <c r="A2767" s="58" t="s">
        <v>285</v>
      </c>
      <c r="B2767" s="58" t="s">
        <v>172</v>
      </c>
      <c r="C2767" s="58">
        <v>3</v>
      </c>
      <c r="D2767" s="58">
        <v>106</v>
      </c>
      <c r="E2767" s="59">
        <v>160</v>
      </c>
    </row>
    <row r="2768" spans="1:5" ht="15" x14ac:dyDescent="0.35">
      <c r="A2768" s="58" t="s">
        <v>285</v>
      </c>
      <c r="B2768" s="58" t="s">
        <v>172</v>
      </c>
      <c r="C2768" s="58">
        <v>4</v>
      </c>
      <c r="D2768" s="58">
        <v>107</v>
      </c>
      <c r="E2768" s="59">
        <v>160</v>
      </c>
    </row>
    <row r="2769" spans="1:5" ht="15" x14ac:dyDescent="0.35">
      <c r="A2769" s="58" t="s">
        <v>285</v>
      </c>
      <c r="B2769" s="58" t="s">
        <v>172</v>
      </c>
      <c r="C2769" s="58">
        <v>5</v>
      </c>
      <c r="D2769" s="58">
        <v>108</v>
      </c>
      <c r="E2769" s="59">
        <v>160</v>
      </c>
    </row>
    <row r="2770" spans="1:5" ht="15" x14ac:dyDescent="0.35">
      <c r="A2770" s="58" t="s">
        <v>285</v>
      </c>
      <c r="B2770" s="58" t="s">
        <v>172</v>
      </c>
      <c r="C2770" s="58">
        <v>6</v>
      </c>
      <c r="D2770" s="58">
        <v>109</v>
      </c>
      <c r="E2770" s="59">
        <v>160</v>
      </c>
    </row>
    <row r="2771" spans="1:5" ht="15" x14ac:dyDescent="0.35">
      <c r="A2771" s="58" t="s">
        <v>285</v>
      </c>
      <c r="B2771" s="58" t="s">
        <v>172</v>
      </c>
      <c r="C2771" s="58">
        <v>7</v>
      </c>
      <c r="D2771" s="58">
        <v>110</v>
      </c>
      <c r="E2771" s="59">
        <v>160</v>
      </c>
    </row>
    <row r="2772" spans="1:5" ht="15" x14ac:dyDescent="0.35">
      <c r="A2772" s="58" t="s">
        <v>285</v>
      </c>
      <c r="B2772" s="58" t="s">
        <v>172</v>
      </c>
      <c r="C2772" s="58">
        <v>8</v>
      </c>
      <c r="D2772" s="58">
        <v>111</v>
      </c>
      <c r="E2772" s="59">
        <v>160</v>
      </c>
    </row>
    <row r="2773" spans="1:5" ht="15" x14ac:dyDescent="0.35">
      <c r="A2773" s="58" t="s">
        <v>285</v>
      </c>
      <c r="B2773" s="58" t="s">
        <v>172</v>
      </c>
      <c r="C2773" s="58">
        <v>9</v>
      </c>
      <c r="D2773" s="58">
        <v>112</v>
      </c>
      <c r="E2773" s="59">
        <v>160</v>
      </c>
    </row>
    <row r="2774" spans="1:5" ht="15" x14ac:dyDescent="0.35">
      <c r="A2774" s="58" t="s">
        <v>285</v>
      </c>
      <c r="B2774" s="58" t="s">
        <v>172</v>
      </c>
      <c r="C2774" s="58">
        <v>10</v>
      </c>
      <c r="D2774" s="58">
        <v>113</v>
      </c>
      <c r="E2774" s="59">
        <v>160</v>
      </c>
    </row>
    <row r="2775" spans="1:5" ht="15" x14ac:dyDescent="0.35">
      <c r="A2775" s="58" t="s">
        <v>285</v>
      </c>
      <c r="B2775" s="58" t="s">
        <v>172</v>
      </c>
      <c r="C2775" s="58">
        <v>11</v>
      </c>
      <c r="D2775" s="58">
        <v>114</v>
      </c>
      <c r="E2775" s="59">
        <v>160</v>
      </c>
    </row>
    <row r="2776" spans="1:5" ht="15" x14ac:dyDescent="0.35">
      <c r="A2776" s="58" t="s">
        <v>285</v>
      </c>
      <c r="B2776" s="58" t="s">
        <v>172</v>
      </c>
      <c r="C2776" s="58">
        <v>12</v>
      </c>
      <c r="D2776" s="58">
        <v>115</v>
      </c>
      <c r="E2776" s="59">
        <v>160</v>
      </c>
    </row>
    <row r="2777" spans="1:5" ht="15" x14ac:dyDescent="0.35">
      <c r="A2777" s="58" t="s">
        <v>285</v>
      </c>
      <c r="B2777" s="58" t="s">
        <v>180</v>
      </c>
      <c r="C2777" s="58">
        <v>1</v>
      </c>
      <c r="D2777" s="58">
        <v>104</v>
      </c>
      <c r="E2777" s="59">
        <v>179.19800000000001</v>
      </c>
    </row>
    <row r="2778" spans="1:5" ht="15" x14ac:dyDescent="0.35">
      <c r="A2778" s="58" t="s">
        <v>285</v>
      </c>
      <c r="B2778" s="58" t="s">
        <v>180</v>
      </c>
      <c r="C2778" s="58">
        <v>2</v>
      </c>
      <c r="D2778" s="58">
        <v>105</v>
      </c>
      <c r="E2778" s="59">
        <v>179.19800000000001</v>
      </c>
    </row>
    <row r="2779" spans="1:5" ht="15" x14ac:dyDescent="0.35">
      <c r="A2779" s="58" t="s">
        <v>285</v>
      </c>
      <c r="B2779" s="58" t="s">
        <v>180</v>
      </c>
      <c r="C2779" s="58">
        <v>3</v>
      </c>
      <c r="D2779" s="58">
        <v>106</v>
      </c>
      <c r="E2779" s="59">
        <v>179.19800000000001</v>
      </c>
    </row>
    <row r="2780" spans="1:5" ht="15" x14ac:dyDescent="0.35">
      <c r="A2780" s="58" t="s">
        <v>285</v>
      </c>
      <c r="B2780" s="58" t="s">
        <v>180</v>
      </c>
      <c r="C2780" s="58">
        <v>4</v>
      </c>
      <c r="D2780" s="58">
        <v>107</v>
      </c>
      <c r="E2780" s="59">
        <v>179.19800000000001</v>
      </c>
    </row>
    <row r="2781" spans="1:5" ht="15" x14ac:dyDescent="0.35">
      <c r="A2781" s="58" t="s">
        <v>285</v>
      </c>
      <c r="B2781" s="58" t="s">
        <v>180</v>
      </c>
      <c r="C2781" s="58">
        <v>5</v>
      </c>
      <c r="D2781" s="58">
        <v>108</v>
      </c>
      <c r="E2781" s="59">
        <v>179.19800000000001</v>
      </c>
    </row>
    <row r="2782" spans="1:5" ht="15" x14ac:dyDescent="0.35">
      <c r="A2782" s="58" t="s">
        <v>285</v>
      </c>
      <c r="B2782" s="58" t="s">
        <v>180</v>
      </c>
      <c r="C2782" s="58">
        <v>6</v>
      </c>
      <c r="D2782" s="58">
        <v>109</v>
      </c>
      <c r="E2782" s="59">
        <v>179.19800000000001</v>
      </c>
    </row>
    <row r="2783" spans="1:5" ht="15" x14ac:dyDescent="0.35">
      <c r="A2783" s="58" t="s">
        <v>285</v>
      </c>
      <c r="B2783" s="58" t="s">
        <v>180</v>
      </c>
      <c r="C2783" s="58">
        <v>7</v>
      </c>
      <c r="D2783" s="58">
        <v>110</v>
      </c>
      <c r="E2783" s="59">
        <v>179.19800000000001</v>
      </c>
    </row>
    <row r="2784" spans="1:5" ht="15" x14ac:dyDescent="0.35">
      <c r="A2784" s="58" t="s">
        <v>285</v>
      </c>
      <c r="B2784" s="58" t="s">
        <v>180</v>
      </c>
      <c r="C2784" s="58">
        <v>8</v>
      </c>
      <c r="D2784" s="58">
        <v>111</v>
      </c>
      <c r="E2784" s="59">
        <v>179.19800000000001</v>
      </c>
    </row>
    <row r="2785" spans="1:5" ht="15" x14ac:dyDescent="0.35">
      <c r="A2785" s="58" t="s">
        <v>285</v>
      </c>
      <c r="B2785" s="58" t="s">
        <v>180</v>
      </c>
      <c r="C2785" s="58">
        <v>9</v>
      </c>
      <c r="D2785" s="58">
        <v>112</v>
      </c>
      <c r="E2785" s="59">
        <v>179.19800000000001</v>
      </c>
    </row>
    <row r="2786" spans="1:5" ht="15" x14ac:dyDescent="0.35">
      <c r="A2786" s="58" t="s">
        <v>285</v>
      </c>
      <c r="B2786" s="58" t="s">
        <v>180</v>
      </c>
      <c r="C2786" s="58">
        <v>10</v>
      </c>
      <c r="D2786" s="58">
        <v>113</v>
      </c>
      <c r="E2786" s="59">
        <v>179.19800000000001</v>
      </c>
    </row>
    <row r="2787" spans="1:5" ht="15" x14ac:dyDescent="0.35">
      <c r="A2787" s="58" t="s">
        <v>285</v>
      </c>
      <c r="B2787" s="58" t="s">
        <v>180</v>
      </c>
      <c r="C2787" s="58">
        <v>11</v>
      </c>
      <c r="D2787" s="58">
        <v>114</v>
      </c>
      <c r="E2787" s="59">
        <v>179.19800000000001</v>
      </c>
    </row>
    <row r="2788" spans="1:5" ht="15" x14ac:dyDescent="0.35">
      <c r="A2788" s="58" t="s">
        <v>285</v>
      </c>
      <c r="B2788" s="58" t="s">
        <v>180</v>
      </c>
      <c r="C2788" s="58">
        <v>12</v>
      </c>
      <c r="D2788" s="58">
        <v>115</v>
      </c>
      <c r="E2788" s="59">
        <v>179.19800000000001</v>
      </c>
    </row>
    <row r="2789" spans="1:5" ht="15" x14ac:dyDescent="0.35">
      <c r="A2789" s="58" t="s">
        <v>263</v>
      </c>
      <c r="B2789" s="58" t="s">
        <v>182</v>
      </c>
      <c r="C2789" s="58">
        <v>1</v>
      </c>
      <c r="D2789" s="58">
        <v>104</v>
      </c>
      <c r="E2789" s="59">
        <v>319.4796</v>
      </c>
    </row>
    <row r="2790" spans="1:5" ht="15" x14ac:dyDescent="0.35">
      <c r="A2790" s="58" t="s">
        <v>263</v>
      </c>
      <c r="B2790" s="58" t="s">
        <v>182</v>
      </c>
      <c r="C2790" s="58">
        <v>2</v>
      </c>
      <c r="D2790" s="58">
        <v>105</v>
      </c>
      <c r="E2790" s="59">
        <v>169.41290000000001</v>
      </c>
    </row>
    <row r="2791" spans="1:5" ht="15" x14ac:dyDescent="0.35">
      <c r="A2791" s="58" t="s">
        <v>263</v>
      </c>
      <c r="B2791" s="58" t="s">
        <v>182</v>
      </c>
      <c r="C2791" s="58">
        <v>3</v>
      </c>
      <c r="D2791" s="58">
        <v>106</v>
      </c>
      <c r="E2791" s="59">
        <v>157.9796</v>
      </c>
    </row>
    <row r="2792" spans="1:5" ht="15" x14ac:dyDescent="0.35">
      <c r="A2792" s="58" t="s">
        <v>263</v>
      </c>
      <c r="B2792" s="58" t="s">
        <v>182</v>
      </c>
      <c r="C2792" s="58">
        <v>4</v>
      </c>
      <c r="D2792" s="58">
        <v>107</v>
      </c>
      <c r="E2792" s="59">
        <v>141.81290000000001</v>
      </c>
    </row>
    <row r="2793" spans="1:5" ht="15" x14ac:dyDescent="0.35">
      <c r="A2793" s="58" t="s">
        <v>263</v>
      </c>
      <c r="B2793" s="58" t="s">
        <v>182</v>
      </c>
      <c r="C2793" s="58">
        <v>5</v>
      </c>
      <c r="D2793" s="58">
        <v>108</v>
      </c>
      <c r="E2793" s="59">
        <v>135.43790000000001</v>
      </c>
    </row>
    <row r="2794" spans="1:5" ht="15" x14ac:dyDescent="0.35">
      <c r="A2794" s="58" t="s">
        <v>263</v>
      </c>
      <c r="B2794" s="58" t="s">
        <v>182</v>
      </c>
      <c r="C2794" s="58">
        <v>6</v>
      </c>
      <c r="D2794" s="58">
        <v>109</v>
      </c>
      <c r="E2794" s="59">
        <v>125.14619999999999</v>
      </c>
    </row>
    <row r="2795" spans="1:5" ht="15" x14ac:dyDescent="0.35">
      <c r="A2795" s="58" t="s">
        <v>263</v>
      </c>
      <c r="B2795" s="58" t="s">
        <v>182</v>
      </c>
      <c r="C2795" s="58">
        <v>7</v>
      </c>
      <c r="D2795" s="58">
        <v>110</v>
      </c>
      <c r="E2795" s="59">
        <v>82.0351</v>
      </c>
    </row>
    <row r="2796" spans="1:5" ht="15" x14ac:dyDescent="0.35">
      <c r="A2796" s="58" t="s">
        <v>263</v>
      </c>
      <c r="B2796" s="58" t="s">
        <v>182</v>
      </c>
      <c r="C2796" s="58">
        <v>8</v>
      </c>
      <c r="D2796" s="58">
        <v>111</v>
      </c>
      <c r="E2796" s="59">
        <v>54.368499999999997</v>
      </c>
    </row>
    <row r="2797" spans="1:5" ht="15" x14ac:dyDescent="0.35">
      <c r="A2797" s="58" t="s">
        <v>263</v>
      </c>
      <c r="B2797" s="58" t="s">
        <v>182</v>
      </c>
      <c r="C2797" s="58">
        <v>9</v>
      </c>
      <c r="D2797" s="58">
        <v>112</v>
      </c>
      <c r="E2797" s="59">
        <v>51.1462</v>
      </c>
    </row>
    <row r="2798" spans="1:5" ht="15" x14ac:dyDescent="0.35">
      <c r="A2798" s="58" t="s">
        <v>263</v>
      </c>
      <c r="B2798" s="58" t="s">
        <v>182</v>
      </c>
      <c r="C2798" s="58">
        <v>10</v>
      </c>
      <c r="D2798" s="58">
        <v>113</v>
      </c>
      <c r="E2798" s="59">
        <v>53.812899999999999</v>
      </c>
    </row>
    <row r="2799" spans="1:5" ht="15" x14ac:dyDescent="0.35">
      <c r="A2799" s="58" t="s">
        <v>263</v>
      </c>
      <c r="B2799" s="58" t="s">
        <v>182</v>
      </c>
      <c r="C2799" s="58">
        <v>11</v>
      </c>
      <c r="D2799" s="58">
        <v>114</v>
      </c>
      <c r="E2799" s="59">
        <v>49.479599999999998</v>
      </c>
    </row>
    <row r="2800" spans="1:5" ht="15" x14ac:dyDescent="0.35">
      <c r="A2800" s="58" t="s">
        <v>263</v>
      </c>
      <c r="B2800" s="58" t="s">
        <v>182</v>
      </c>
      <c r="C2800" s="58">
        <v>12</v>
      </c>
      <c r="D2800" s="58">
        <v>115</v>
      </c>
      <c r="E2800" s="59">
        <v>39.590699999999998</v>
      </c>
    </row>
    <row r="2801" spans="1:5" ht="15" x14ac:dyDescent="0.35">
      <c r="A2801" s="58" t="s">
        <v>263</v>
      </c>
      <c r="B2801" s="58" t="s">
        <v>176</v>
      </c>
      <c r="C2801" s="58">
        <v>1</v>
      </c>
      <c r="D2801" s="58">
        <v>104</v>
      </c>
      <c r="E2801" s="59">
        <v>263.375</v>
      </c>
    </row>
    <row r="2802" spans="1:5" ht="15" x14ac:dyDescent="0.35">
      <c r="A2802" s="58" t="s">
        <v>263</v>
      </c>
      <c r="B2802" s="58" t="s">
        <v>176</v>
      </c>
      <c r="C2802" s="58">
        <v>2</v>
      </c>
      <c r="D2802" s="58">
        <v>105</v>
      </c>
      <c r="E2802" s="59">
        <v>263.375</v>
      </c>
    </row>
    <row r="2803" spans="1:5" ht="15" x14ac:dyDescent="0.35">
      <c r="A2803" s="58" t="s">
        <v>263</v>
      </c>
      <c r="B2803" s="58" t="s">
        <v>176</v>
      </c>
      <c r="C2803" s="58">
        <v>3</v>
      </c>
      <c r="D2803" s="58">
        <v>106</v>
      </c>
      <c r="E2803" s="59">
        <v>263.375</v>
      </c>
    </row>
    <row r="2804" spans="1:5" ht="15" x14ac:dyDescent="0.35">
      <c r="A2804" s="58" t="s">
        <v>263</v>
      </c>
      <c r="B2804" s="58" t="s">
        <v>176</v>
      </c>
      <c r="C2804" s="58">
        <v>4</v>
      </c>
      <c r="D2804" s="58">
        <v>107</v>
      </c>
      <c r="E2804" s="59">
        <v>263.375</v>
      </c>
    </row>
    <row r="2805" spans="1:5" ht="15" x14ac:dyDescent="0.35">
      <c r="A2805" s="58" t="s">
        <v>263</v>
      </c>
      <c r="B2805" s="58" t="s">
        <v>176</v>
      </c>
      <c r="C2805" s="58">
        <v>5</v>
      </c>
      <c r="D2805" s="58">
        <v>108</v>
      </c>
      <c r="E2805" s="59">
        <v>263.375</v>
      </c>
    </row>
    <row r="2806" spans="1:5" ht="15" x14ac:dyDescent="0.35">
      <c r="A2806" s="58" t="s">
        <v>263</v>
      </c>
      <c r="B2806" s="58" t="s">
        <v>176</v>
      </c>
      <c r="C2806" s="58">
        <v>6</v>
      </c>
      <c r="D2806" s="58">
        <v>109</v>
      </c>
      <c r="E2806" s="59">
        <v>263.375</v>
      </c>
    </row>
    <row r="2807" spans="1:5" ht="15" x14ac:dyDescent="0.35">
      <c r="A2807" s="58" t="s">
        <v>263</v>
      </c>
      <c r="B2807" s="58" t="s">
        <v>176</v>
      </c>
      <c r="C2807" s="58">
        <v>7</v>
      </c>
      <c r="D2807" s="58">
        <v>110</v>
      </c>
      <c r="E2807" s="59">
        <v>263.375</v>
      </c>
    </row>
    <row r="2808" spans="1:5" ht="15" x14ac:dyDescent="0.35">
      <c r="A2808" s="58" t="s">
        <v>263</v>
      </c>
      <c r="B2808" s="58" t="s">
        <v>176</v>
      </c>
      <c r="C2808" s="58">
        <v>8</v>
      </c>
      <c r="D2808" s="58">
        <v>111</v>
      </c>
      <c r="E2808" s="59">
        <v>263.375</v>
      </c>
    </row>
    <row r="2809" spans="1:5" ht="15" x14ac:dyDescent="0.35">
      <c r="A2809" s="58" t="s">
        <v>263</v>
      </c>
      <c r="B2809" s="58" t="s">
        <v>176</v>
      </c>
      <c r="C2809" s="58">
        <v>9</v>
      </c>
      <c r="D2809" s="58">
        <v>112</v>
      </c>
      <c r="E2809" s="59">
        <v>263.375</v>
      </c>
    </row>
    <row r="2810" spans="1:5" ht="15" x14ac:dyDescent="0.35">
      <c r="A2810" s="58" t="s">
        <v>263</v>
      </c>
      <c r="B2810" s="58" t="s">
        <v>176</v>
      </c>
      <c r="C2810" s="58">
        <v>10</v>
      </c>
      <c r="D2810" s="58">
        <v>113</v>
      </c>
      <c r="E2810" s="59">
        <v>263.375</v>
      </c>
    </row>
    <row r="2811" spans="1:5" ht="15" x14ac:dyDescent="0.35">
      <c r="A2811" s="58" t="s">
        <v>263</v>
      </c>
      <c r="B2811" s="58" t="s">
        <v>176</v>
      </c>
      <c r="C2811" s="58">
        <v>11</v>
      </c>
      <c r="D2811" s="58">
        <v>114</v>
      </c>
      <c r="E2811" s="59">
        <v>263.375</v>
      </c>
    </row>
    <row r="2812" spans="1:5" ht="15" x14ac:dyDescent="0.35">
      <c r="A2812" s="58" t="s">
        <v>263</v>
      </c>
      <c r="B2812" s="58" t="s">
        <v>176</v>
      </c>
      <c r="C2812" s="58">
        <v>12</v>
      </c>
      <c r="D2812" s="58">
        <v>115</v>
      </c>
      <c r="E2812" s="59">
        <v>263.375</v>
      </c>
    </row>
    <row r="2813" spans="1:5" ht="15" x14ac:dyDescent="0.35">
      <c r="A2813" s="58" t="s">
        <v>263</v>
      </c>
      <c r="B2813" s="58" t="s">
        <v>172</v>
      </c>
      <c r="C2813" s="58">
        <v>1</v>
      </c>
      <c r="D2813" s="58">
        <v>104</v>
      </c>
      <c r="E2813" s="59">
        <v>150</v>
      </c>
    </row>
    <row r="2814" spans="1:5" ht="15" x14ac:dyDescent="0.35">
      <c r="A2814" s="58" t="s">
        <v>263</v>
      </c>
      <c r="B2814" s="58" t="s">
        <v>172</v>
      </c>
      <c r="C2814" s="58">
        <v>2</v>
      </c>
      <c r="D2814" s="58">
        <v>105</v>
      </c>
      <c r="E2814" s="59">
        <v>150</v>
      </c>
    </row>
    <row r="2815" spans="1:5" ht="15" x14ac:dyDescent="0.35">
      <c r="A2815" s="58" t="s">
        <v>263</v>
      </c>
      <c r="B2815" s="58" t="s">
        <v>172</v>
      </c>
      <c r="C2815" s="58">
        <v>3</v>
      </c>
      <c r="D2815" s="58">
        <v>106</v>
      </c>
      <c r="E2815" s="59">
        <v>150</v>
      </c>
    </row>
    <row r="2816" spans="1:5" ht="15" x14ac:dyDescent="0.35">
      <c r="A2816" s="58" t="s">
        <v>263</v>
      </c>
      <c r="B2816" s="58" t="s">
        <v>172</v>
      </c>
      <c r="C2816" s="58">
        <v>4</v>
      </c>
      <c r="D2816" s="58">
        <v>107</v>
      </c>
      <c r="E2816" s="59">
        <v>150</v>
      </c>
    </row>
    <row r="2817" spans="1:5" ht="15" x14ac:dyDescent="0.35">
      <c r="A2817" s="58" t="s">
        <v>263</v>
      </c>
      <c r="B2817" s="58" t="s">
        <v>172</v>
      </c>
      <c r="C2817" s="58">
        <v>5</v>
      </c>
      <c r="D2817" s="58">
        <v>108</v>
      </c>
      <c r="E2817" s="59">
        <v>150</v>
      </c>
    </row>
    <row r="2818" spans="1:5" ht="15" x14ac:dyDescent="0.35">
      <c r="A2818" s="58" t="s">
        <v>263</v>
      </c>
      <c r="B2818" s="58" t="s">
        <v>172</v>
      </c>
      <c r="C2818" s="58">
        <v>6</v>
      </c>
      <c r="D2818" s="58">
        <v>109</v>
      </c>
      <c r="E2818" s="59">
        <v>150</v>
      </c>
    </row>
    <row r="2819" spans="1:5" ht="15" x14ac:dyDescent="0.35">
      <c r="A2819" s="58" t="s">
        <v>263</v>
      </c>
      <c r="B2819" s="58" t="s">
        <v>172</v>
      </c>
      <c r="C2819" s="58">
        <v>7</v>
      </c>
      <c r="D2819" s="58">
        <v>110</v>
      </c>
      <c r="E2819" s="59">
        <v>150</v>
      </c>
    </row>
    <row r="2820" spans="1:5" ht="15" x14ac:dyDescent="0.35">
      <c r="A2820" s="58" t="s">
        <v>263</v>
      </c>
      <c r="B2820" s="58" t="s">
        <v>172</v>
      </c>
      <c r="C2820" s="58">
        <v>8</v>
      </c>
      <c r="D2820" s="58">
        <v>111</v>
      </c>
      <c r="E2820" s="59">
        <v>150</v>
      </c>
    </row>
    <row r="2821" spans="1:5" ht="15" x14ac:dyDescent="0.35">
      <c r="A2821" s="58" t="s">
        <v>263</v>
      </c>
      <c r="B2821" s="58" t="s">
        <v>172</v>
      </c>
      <c r="C2821" s="58">
        <v>9</v>
      </c>
      <c r="D2821" s="58">
        <v>112</v>
      </c>
      <c r="E2821" s="59">
        <v>150</v>
      </c>
    </row>
    <row r="2822" spans="1:5" ht="15" x14ac:dyDescent="0.35">
      <c r="A2822" s="58" t="s">
        <v>263</v>
      </c>
      <c r="B2822" s="58" t="s">
        <v>172</v>
      </c>
      <c r="C2822" s="58">
        <v>10</v>
      </c>
      <c r="D2822" s="58">
        <v>113</v>
      </c>
      <c r="E2822" s="59">
        <v>150</v>
      </c>
    </row>
    <row r="2823" spans="1:5" ht="15" x14ac:dyDescent="0.35">
      <c r="A2823" s="58" t="s">
        <v>263</v>
      </c>
      <c r="B2823" s="58" t="s">
        <v>172</v>
      </c>
      <c r="C2823" s="58">
        <v>11</v>
      </c>
      <c r="D2823" s="58">
        <v>114</v>
      </c>
      <c r="E2823" s="59">
        <v>150</v>
      </c>
    </row>
    <row r="2824" spans="1:5" ht="15" x14ac:dyDescent="0.35">
      <c r="A2824" s="58" t="s">
        <v>263</v>
      </c>
      <c r="B2824" s="58" t="s">
        <v>172</v>
      </c>
      <c r="C2824" s="58">
        <v>12</v>
      </c>
      <c r="D2824" s="58">
        <v>115</v>
      </c>
      <c r="E2824" s="59">
        <v>150</v>
      </c>
    </row>
    <row r="2825" spans="1:5" ht="15" x14ac:dyDescent="0.35">
      <c r="A2825" s="58" t="s">
        <v>263</v>
      </c>
      <c r="B2825" s="58" t="s">
        <v>180</v>
      </c>
      <c r="C2825" s="58">
        <v>1</v>
      </c>
      <c r="D2825" s="58">
        <v>104</v>
      </c>
      <c r="E2825" s="59">
        <v>169.69120000000001</v>
      </c>
    </row>
    <row r="2826" spans="1:5" ht="15" x14ac:dyDescent="0.35">
      <c r="A2826" s="58" t="s">
        <v>263</v>
      </c>
      <c r="B2826" s="58" t="s">
        <v>180</v>
      </c>
      <c r="C2826" s="58">
        <v>2</v>
      </c>
      <c r="D2826" s="58">
        <v>105</v>
      </c>
      <c r="E2826" s="59">
        <v>169.69120000000001</v>
      </c>
    </row>
    <row r="2827" spans="1:5" ht="15" x14ac:dyDescent="0.35">
      <c r="A2827" s="58" t="s">
        <v>263</v>
      </c>
      <c r="B2827" s="58" t="s">
        <v>180</v>
      </c>
      <c r="C2827" s="58">
        <v>3</v>
      </c>
      <c r="D2827" s="58">
        <v>106</v>
      </c>
      <c r="E2827" s="59">
        <v>169.69120000000001</v>
      </c>
    </row>
    <row r="2828" spans="1:5" ht="15" x14ac:dyDescent="0.35">
      <c r="A2828" s="58" t="s">
        <v>263</v>
      </c>
      <c r="B2828" s="58" t="s">
        <v>180</v>
      </c>
      <c r="C2828" s="58">
        <v>4</v>
      </c>
      <c r="D2828" s="58">
        <v>107</v>
      </c>
      <c r="E2828" s="59">
        <v>169.69120000000001</v>
      </c>
    </row>
    <row r="2829" spans="1:5" ht="15" x14ac:dyDescent="0.35">
      <c r="A2829" s="58" t="s">
        <v>263</v>
      </c>
      <c r="B2829" s="58" t="s">
        <v>180</v>
      </c>
      <c r="C2829" s="58">
        <v>5</v>
      </c>
      <c r="D2829" s="58">
        <v>108</v>
      </c>
      <c r="E2829" s="59">
        <v>169.69120000000001</v>
      </c>
    </row>
    <row r="2830" spans="1:5" ht="15" x14ac:dyDescent="0.35">
      <c r="A2830" s="58" t="s">
        <v>263</v>
      </c>
      <c r="B2830" s="58" t="s">
        <v>180</v>
      </c>
      <c r="C2830" s="58">
        <v>6</v>
      </c>
      <c r="D2830" s="58">
        <v>109</v>
      </c>
      <c r="E2830" s="59">
        <v>169.69120000000001</v>
      </c>
    </row>
    <row r="2831" spans="1:5" ht="15" x14ac:dyDescent="0.35">
      <c r="A2831" s="58" t="s">
        <v>263</v>
      </c>
      <c r="B2831" s="58" t="s">
        <v>180</v>
      </c>
      <c r="C2831" s="58">
        <v>7</v>
      </c>
      <c r="D2831" s="58">
        <v>110</v>
      </c>
      <c r="E2831" s="59">
        <v>169.69120000000001</v>
      </c>
    </row>
    <row r="2832" spans="1:5" ht="15" x14ac:dyDescent="0.35">
      <c r="A2832" s="58" t="s">
        <v>263</v>
      </c>
      <c r="B2832" s="58" t="s">
        <v>180</v>
      </c>
      <c r="C2832" s="58">
        <v>8</v>
      </c>
      <c r="D2832" s="58">
        <v>111</v>
      </c>
      <c r="E2832" s="59">
        <v>169.69120000000001</v>
      </c>
    </row>
    <row r="2833" spans="1:5" ht="15" x14ac:dyDescent="0.35">
      <c r="A2833" s="58" t="s">
        <v>263</v>
      </c>
      <c r="B2833" s="58" t="s">
        <v>180</v>
      </c>
      <c r="C2833" s="58">
        <v>9</v>
      </c>
      <c r="D2833" s="58">
        <v>112</v>
      </c>
      <c r="E2833" s="59">
        <v>169.69120000000001</v>
      </c>
    </row>
    <row r="2834" spans="1:5" ht="15" x14ac:dyDescent="0.35">
      <c r="A2834" s="58" t="s">
        <v>263</v>
      </c>
      <c r="B2834" s="58" t="s">
        <v>180</v>
      </c>
      <c r="C2834" s="58">
        <v>10</v>
      </c>
      <c r="D2834" s="58">
        <v>113</v>
      </c>
      <c r="E2834" s="59">
        <v>169.69120000000001</v>
      </c>
    </row>
    <row r="2835" spans="1:5" ht="15" x14ac:dyDescent="0.35">
      <c r="A2835" s="58" t="s">
        <v>263</v>
      </c>
      <c r="B2835" s="58" t="s">
        <v>180</v>
      </c>
      <c r="C2835" s="58">
        <v>11</v>
      </c>
      <c r="D2835" s="58">
        <v>114</v>
      </c>
      <c r="E2835" s="59">
        <v>169.69120000000001</v>
      </c>
    </row>
    <row r="2836" spans="1:5" ht="15" x14ac:dyDescent="0.35">
      <c r="A2836" s="58" t="s">
        <v>263</v>
      </c>
      <c r="B2836" s="58" t="s">
        <v>180</v>
      </c>
      <c r="C2836" s="58">
        <v>12</v>
      </c>
      <c r="D2836" s="58">
        <v>115</v>
      </c>
      <c r="E2836" s="59">
        <v>169.69120000000001</v>
      </c>
    </row>
    <row r="2837" spans="1:5" ht="15" x14ac:dyDescent="0.35">
      <c r="A2837" s="58" t="s">
        <v>264</v>
      </c>
      <c r="B2837" s="58" t="s">
        <v>182</v>
      </c>
      <c r="C2837" s="58">
        <v>1</v>
      </c>
      <c r="D2837" s="58">
        <v>104</v>
      </c>
      <c r="E2837" s="59">
        <v>298.44060000000002</v>
      </c>
    </row>
    <row r="2838" spans="1:5" ht="15" x14ac:dyDescent="0.35">
      <c r="A2838" s="58" t="s">
        <v>264</v>
      </c>
      <c r="B2838" s="58" t="s">
        <v>182</v>
      </c>
      <c r="C2838" s="58">
        <v>2</v>
      </c>
      <c r="D2838" s="58">
        <v>105</v>
      </c>
      <c r="E2838" s="59">
        <v>247.2406</v>
      </c>
    </row>
    <row r="2839" spans="1:5" ht="15" x14ac:dyDescent="0.35">
      <c r="A2839" s="58" t="s">
        <v>264</v>
      </c>
      <c r="B2839" s="58" t="s">
        <v>182</v>
      </c>
      <c r="C2839" s="58">
        <v>3</v>
      </c>
      <c r="D2839" s="58">
        <v>106</v>
      </c>
      <c r="E2839" s="59">
        <v>245.94059999999999</v>
      </c>
    </row>
    <row r="2840" spans="1:5" ht="15" x14ac:dyDescent="0.35">
      <c r="A2840" s="58" t="s">
        <v>264</v>
      </c>
      <c r="B2840" s="58" t="s">
        <v>182</v>
      </c>
      <c r="C2840" s="58">
        <v>4</v>
      </c>
      <c r="D2840" s="58">
        <v>107</v>
      </c>
      <c r="E2840" s="59">
        <v>220.2978</v>
      </c>
    </row>
    <row r="2841" spans="1:5" ht="15" x14ac:dyDescent="0.35">
      <c r="A2841" s="58" t="s">
        <v>264</v>
      </c>
      <c r="B2841" s="58" t="s">
        <v>182</v>
      </c>
      <c r="C2841" s="58">
        <v>5</v>
      </c>
      <c r="D2841" s="58">
        <v>108</v>
      </c>
      <c r="E2841" s="59">
        <v>202.31559999999999</v>
      </c>
    </row>
    <row r="2842" spans="1:5" ht="15" x14ac:dyDescent="0.35">
      <c r="A2842" s="58" t="s">
        <v>264</v>
      </c>
      <c r="B2842" s="58" t="s">
        <v>182</v>
      </c>
      <c r="C2842" s="58">
        <v>6</v>
      </c>
      <c r="D2842" s="58">
        <v>109</v>
      </c>
      <c r="E2842" s="59">
        <v>184.3295</v>
      </c>
    </row>
    <row r="2843" spans="1:5" ht="15" x14ac:dyDescent="0.35">
      <c r="A2843" s="58" t="s">
        <v>264</v>
      </c>
      <c r="B2843" s="58" t="s">
        <v>182</v>
      </c>
      <c r="C2843" s="58">
        <v>7</v>
      </c>
      <c r="D2843" s="58">
        <v>110</v>
      </c>
      <c r="E2843" s="59">
        <v>135.10730000000001</v>
      </c>
    </row>
    <row r="2844" spans="1:5" ht="15" x14ac:dyDescent="0.35">
      <c r="A2844" s="58" t="s">
        <v>264</v>
      </c>
      <c r="B2844" s="58" t="s">
        <v>182</v>
      </c>
      <c r="C2844" s="58">
        <v>8</v>
      </c>
      <c r="D2844" s="58">
        <v>111</v>
      </c>
      <c r="E2844" s="59">
        <v>83.329499999999996</v>
      </c>
    </row>
    <row r="2845" spans="1:5" ht="15" x14ac:dyDescent="0.35">
      <c r="A2845" s="58" t="s">
        <v>264</v>
      </c>
      <c r="B2845" s="58" t="s">
        <v>182</v>
      </c>
      <c r="C2845" s="58">
        <v>9</v>
      </c>
      <c r="D2845" s="58">
        <v>112</v>
      </c>
      <c r="E2845" s="59">
        <v>73.996200000000002</v>
      </c>
    </row>
    <row r="2846" spans="1:5" ht="15" x14ac:dyDescent="0.35">
      <c r="A2846" s="58" t="s">
        <v>264</v>
      </c>
      <c r="B2846" s="58" t="s">
        <v>182</v>
      </c>
      <c r="C2846" s="58">
        <v>10</v>
      </c>
      <c r="D2846" s="58">
        <v>113</v>
      </c>
      <c r="E2846" s="59">
        <v>76.5518</v>
      </c>
    </row>
    <row r="2847" spans="1:5" ht="15" x14ac:dyDescent="0.35">
      <c r="A2847" s="58" t="s">
        <v>264</v>
      </c>
      <c r="B2847" s="58" t="s">
        <v>182</v>
      </c>
      <c r="C2847" s="58">
        <v>11</v>
      </c>
      <c r="D2847" s="58">
        <v>114</v>
      </c>
      <c r="E2847" s="59">
        <v>67.996200000000002</v>
      </c>
    </row>
    <row r="2848" spans="1:5" ht="15" x14ac:dyDescent="0.35">
      <c r="A2848" s="58" t="s">
        <v>264</v>
      </c>
      <c r="B2848" s="58" t="s">
        <v>182</v>
      </c>
      <c r="C2848" s="58">
        <v>12</v>
      </c>
      <c r="D2848" s="58">
        <v>115</v>
      </c>
      <c r="E2848" s="59">
        <v>45.440600000000003</v>
      </c>
    </row>
    <row r="2849" spans="1:5" ht="15" x14ac:dyDescent="0.35">
      <c r="A2849" s="58" t="s">
        <v>264</v>
      </c>
      <c r="B2849" s="58" t="s">
        <v>176</v>
      </c>
      <c r="C2849" s="58">
        <v>1</v>
      </c>
      <c r="D2849" s="58">
        <v>104</v>
      </c>
      <c r="E2849" s="59">
        <v>289</v>
      </c>
    </row>
    <row r="2850" spans="1:5" ht="15" x14ac:dyDescent="0.35">
      <c r="A2850" s="58" t="s">
        <v>264</v>
      </c>
      <c r="B2850" s="58" t="s">
        <v>176</v>
      </c>
      <c r="C2850" s="58">
        <v>2</v>
      </c>
      <c r="D2850" s="58">
        <v>105</v>
      </c>
      <c r="E2850" s="59">
        <v>289</v>
      </c>
    </row>
    <row r="2851" spans="1:5" ht="15" x14ac:dyDescent="0.35">
      <c r="A2851" s="58" t="s">
        <v>264</v>
      </c>
      <c r="B2851" s="58" t="s">
        <v>176</v>
      </c>
      <c r="C2851" s="58">
        <v>3</v>
      </c>
      <c r="D2851" s="58">
        <v>106</v>
      </c>
      <c r="E2851" s="59">
        <v>289</v>
      </c>
    </row>
    <row r="2852" spans="1:5" ht="15" x14ac:dyDescent="0.35">
      <c r="A2852" s="58" t="s">
        <v>264</v>
      </c>
      <c r="B2852" s="58" t="s">
        <v>176</v>
      </c>
      <c r="C2852" s="58">
        <v>4</v>
      </c>
      <c r="D2852" s="58">
        <v>107</v>
      </c>
      <c r="E2852" s="59">
        <v>289</v>
      </c>
    </row>
    <row r="2853" spans="1:5" ht="15" x14ac:dyDescent="0.35">
      <c r="A2853" s="58" t="s">
        <v>264</v>
      </c>
      <c r="B2853" s="58" t="s">
        <v>176</v>
      </c>
      <c r="C2853" s="58">
        <v>5</v>
      </c>
      <c r="D2853" s="58">
        <v>108</v>
      </c>
      <c r="E2853" s="59">
        <v>289</v>
      </c>
    </row>
    <row r="2854" spans="1:5" ht="15" x14ac:dyDescent="0.35">
      <c r="A2854" s="58" t="s">
        <v>264</v>
      </c>
      <c r="B2854" s="58" t="s">
        <v>176</v>
      </c>
      <c r="C2854" s="58">
        <v>6</v>
      </c>
      <c r="D2854" s="58">
        <v>109</v>
      </c>
      <c r="E2854" s="59">
        <v>289</v>
      </c>
    </row>
    <row r="2855" spans="1:5" ht="15" x14ac:dyDescent="0.35">
      <c r="A2855" s="58" t="s">
        <v>264</v>
      </c>
      <c r="B2855" s="58" t="s">
        <v>176</v>
      </c>
      <c r="C2855" s="58">
        <v>7</v>
      </c>
      <c r="D2855" s="58">
        <v>110</v>
      </c>
      <c r="E2855" s="59">
        <v>289</v>
      </c>
    </row>
    <row r="2856" spans="1:5" ht="15" x14ac:dyDescent="0.35">
      <c r="A2856" s="58" t="s">
        <v>264</v>
      </c>
      <c r="B2856" s="58" t="s">
        <v>176</v>
      </c>
      <c r="C2856" s="58">
        <v>8</v>
      </c>
      <c r="D2856" s="58">
        <v>111</v>
      </c>
      <c r="E2856" s="59">
        <v>289</v>
      </c>
    </row>
    <row r="2857" spans="1:5" ht="15" x14ac:dyDescent="0.35">
      <c r="A2857" s="58" t="s">
        <v>264</v>
      </c>
      <c r="B2857" s="58" t="s">
        <v>176</v>
      </c>
      <c r="C2857" s="58">
        <v>9</v>
      </c>
      <c r="D2857" s="58">
        <v>112</v>
      </c>
      <c r="E2857" s="59">
        <v>289</v>
      </c>
    </row>
    <row r="2858" spans="1:5" ht="15" x14ac:dyDescent="0.35">
      <c r="A2858" s="58" t="s">
        <v>264</v>
      </c>
      <c r="B2858" s="58" t="s">
        <v>176</v>
      </c>
      <c r="C2858" s="58">
        <v>10</v>
      </c>
      <c r="D2858" s="58">
        <v>113</v>
      </c>
      <c r="E2858" s="59">
        <v>289</v>
      </c>
    </row>
    <row r="2859" spans="1:5" ht="15" x14ac:dyDescent="0.35">
      <c r="A2859" s="58" t="s">
        <v>264</v>
      </c>
      <c r="B2859" s="58" t="s">
        <v>176</v>
      </c>
      <c r="C2859" s="58">
        <v>11</v>
      </c>
      <c r="D2859" s="58">
        <v>114</v>
      </c>
      <c r="E2859" s="59">
        <v>289</v>
      </c>
    </row>
    <row r="2860" spans="1:5" ht="15" x14ac:dyDescent="0.35">
      <c r="A2860" s="58" t="s">
        <v>264</v>
      </c>
      <c r="B2860" s="58" t="s">
        <v>176</v>
      </c>
      <c r="C2860" s="58">
        <v>12</v>
      </c>
      <c r="D2860" s="58">
        <v>115</v>
      </c>
      <c r="E2860" s="59">
        <v>289</v>
      </c>
    </row>
    <row r="2861" spans="1:5" ht="15" x14ac:dyDescent="0.35">
      <c r="A2861" s="58" t="s">
        <v>264</v>
      </c>
      <c r="B2861" s="58" t="s">
        <v>172</v>
      </c>
      <c r="C2861" s="58">
        <v>1</v>
      </c>
      <c r="D2861" s="58">
        <v>104</v>
      </c>
      <c r="E2861" s="59">
        <v>285</v>
      </c>
    </row>
    <row r="2862" spans="1:5" ht="15" x14ac:dyDescent="0.35">
      <c r="A2862" s="58" t="s">
        <v>264</v>
      </c>
      <c r="B2862" s="58" t="s">
        <v>172</v>
      </c>
      <c r="C2862" s="58">
        <v>2</v>
      </c>
      <c r="D2862" s="58">
        <v>105</v>
      </c>
      <c r="E2862" s="59">
        <v>285</v>
      </c>
    </row>
    <row r="2863" spans="1:5" ht="15" x14ac:dyDescent="0.35">
      <c r="A2863" s="58" t="s">
        <v>264</v>
      </c>
      <c r="B2863" s="58" t="s">
        <v>172</v>
      </c>
      <c r="C2863" s="58">
        <v>3</v>
      </c>
      <c r="D2863" s="58">
        <v>106</v>
      </c>
      <c r="E2863" s="59">
        <v>285</v>
      </c>
    </row>
    <row r="2864" spans="1:5" ht="15" x14ac:dyDescent="0.35">
      <c r="A2864" s="58" t="s">
        <v>264</v>
      </c>
      <c r="B2864" s="58" t="s">
        <v>172</v>
      </c>
      <c r="C2864" s="58">
        <v>4</v>
      </c>
      <c r="D2864" s="58">
        <v>107</v>
      </c>
      <c r="E2864" s="59">
        <v>285</v>
      </c>
    </row>
    <row r="2865" spans="1:5" ht="15" x14ac:dyDescent="0.35">
      <c r="A2865" s="58" t="s">
        <v>264</v>
      </c>
      <c r="B2865" s="58" t="s">
        <v>172</v>
      </c>
      <c r="C2865" s="58">
        <v>5</v>
      </c>
      <c r="D2865" s="58">
        <v>108</v>
      </c>
      <c r="E2865" s="59">
        <v>285</v>
      </c>
    </row>
    <row r="2866" spans="1:5" ht="15" x14ac:dyDescent="0.35">
      <c r="A2866" s="58" t="s">
        <v>264</v>
      </c>
      <c r="B2866" s="58" t="s">
        <v>172</v>
      </c>
      <c r="C2866" s="58">
        <v>6</v>
      </c>
      <c r="D2866" s="58">
        <v>109</v>
      </c>
      <c r="E2866" s="59">
        <v>285</v>
      </c>
    </row>
    <row r="2867" spans="1:5" ht="15" x14ac:dyDescent="0.35">
      <c r="A2867" s="58" t="s">
        <v>264</v>
      </c>
      <c r="B2867" s="58" t="s">
        <v>172</v>
      </c>
      <c r="C2867" s="58">
        <v>7</v>
      </c>
      <c r="D2867" s="58">
        <v>110</v>
      </c>
      <c r="E2867" s="59">
        <v>285</v>
      </c>
    </row>
    <row r="2868" spans="1:5" ht="15" x14ac:dyDescent="0.35">
      <c r="A2868" s="58" t="s">
        <v>264</v>
      </c>
      <c r="B2868" s="58" t="s">
        <v>172</v>
      </c>
      <c r="C2868" s="58">
        <v>8</v>
      </c>
      <c r="D2868" s="58">
        <v>111</v>
      </c>
      <c r="E2868" s="59">
        <v>285</v>
      </c>
    </row>
    <row r="2869" spans="1:5" ht="15" x14ac:dyDescent="0.35">
      <c r="A2869" s="58" t="s">
        <v>264</v>
      </c>
      <c r="B2869" s="58" t="s">
        <v>172</v>
      </c>
      <c r="C2869" s="58">
        <v>9</v>
      </c>
      <c r="D2869" s="58">
        <v>112</v>
      </c>
      <c r="E2869" s="59">
        <v>285</v>
      </c>
    </row>
    <row r="2870" spans="1:5" ht="15" x14ac:dyDescent="0.35">
      <c r="A2870" s="58" t="s">
        <v>264</v>
      </c>
      <c r="B2870" s="58" t="s">
        <v>172</v>
      </c>
      <c r="C2870" s="58">
        <v>10</v>
      </c>
      <c r="D2870" s="58">
        <v>113</v>
      </c>
      <c r="E2870" s="59">
        <v>285</v>
      </c>
    </row>
    <row r="2871" spans="1:5" ht="15" x14ac:dyDescent="0.35">
      <c r="A2871" s="58" t="s">
        <v>264</v>
      </c>
      <c r="B2871" s="58" t="s">
        <v>172</v>
      </c>
      <c r="C2871" s="58">
        <v>11</v>
      </c>
      <c r="D2871" s="58">
        <v>114</v>
      </c>
      <c r="E2871" s="59">
        <v>285</v>
      </c>
    </row>
    <row r="2872" spans="1:5" ht="15" x14ac:dyDescent="0.35">
      <c r="A2872" s="58" t="s">
        <v>264</v>
      </c>
      <c r="B2872" s="58" t="s">
        <v>172</v>
      </c>
      <c r="C2872" s="58">
        <v>12</v>
      </c>
      <c r="D2872" s="58">
        <v>115</v>
      </c>
      <c r="E2872" s="59">
        <v>285</v>
      </c>
    </row>
    <row r="2873" spans="1:5" ht="15" x14ac:dyDescent="0.35">
      <c r="A2873" s="58" t="s">
        <v>264</v>
      </c>
      <c r="B2873" s="58" t="s">
        <v>180</v>
      </c>
      <c r="C2873" s="58">
        <v>1</v>
      </c>
      <c r="D2873" s="58">
        <v>104</v>
      </c>
      <c r="E2873" s="59">
        <v>334.03199999999998</v>
      </c>
    </row>
    <row r="2874" spans="1:5" ht="15" x14ac:dyDescent="0.35">
      <c r="A2874" s="58" t="s">
        <v>264</v>
      </c>
      <c r="B2874" s="58" t="s">
        <v>180</v>
      </c>
      <c r="C2874" s="58">
        <v>2</v>
      </c>
      <c r="D2874" s="58">
        <v>105</v>
      </c>
      <c r="E2874" s="59">
        <v>334.03199999999998</v>
      </c>
    </row>
    <row r="2875" spans="1:5" ht="15" x14ac:dyDescent="0.35">
      <c r="A2875" s="58" t="s">
        <v>264</v>
      </c>
      <c r="B2875" s="58" t="s">
        <v>180</v>
      </c>
      <c r="C2875" s="58">
        <v>3</v>
      </c>
      <c r="D2875" s="58">
        <v>106</v>
      </c>
      <c r="E2875" s="59">
        <v>334.03199999999998</v>
      </c>
    </row>
    <row r="2876" spans="1:5" ht="15" x14ac:dyDescent="0.35">
      <c r="A2876" s="58" t="s">
        <v>264</v>
      </c>
      <c r="B2876" s="58" t="s">
        <v>180</v>
      </c>
      <c r="C2876" s="58">
        <v>4</v>
      </c>
      <c r="D2876" s="58">
        <v>107</v>
      </c>
      <c r="E2876" s="59">
        <v>334.03199999999998</v>
      </c>
    </row>
    <row r="2877" spans="1:5" ht="15" x14ac:dyDescent="0.35">
      <c r="A2877" s="58" t="s">
        <v>264</v>
      </c>
      <c r="B2877" s="58" t="s">
        <v>180</v>
      </c>
      <c r="C2877" s="58">
        <v>5</v>
      </c>
      <c r="D2877" s="58">
        <v>108</v>
      </c>
      <c r="E2877" s="59">
        <v>334.03199999999998</v>
      </c>
    </row>
    <row r="2878" spans="1:5" ht="15" x14ac:dyDescent="0.35">
      <c r="A2878" s="58" t="s">
        <v>264</v>
      </c>
      <c r="B2878" s="58" t="s">
        <v>180</v>
      </c>
      <c r="C2878" s="58">
        <v>6</v>
      </c>
      <c r="D2878" s="58">
        <v>109</v>
      </c>
      <c r="E2878" s="59">
        <v>334.03199999999998</v>
      </c>
    </row>
    <row r="2879" spans="1:5" ht="15" x14ac:dyDescent="0.35">
      <c r="A2879" s="58" t="s">
        <v>264</v>
      </c>
      <c r="B2879" s="58" t="s">
        <v>180</v>
      </c>
      <c r="C2879" s="58">
        <v>7</v>
      </c>
      <c r="D2879" s="58">
        <v>110</v>
      </c>
      <c r="E2879" s="59">
        <v>334.03199999999998</v>
      </c>
    </row>
    <row r="2880" spans="1:5" ht="15" x14ac:dyDescent="0.35">
      <c r="A2880" s="58" t="s">
        <v>264</v>
      </c>
      <c r="B2880" s="58" t="s">
        <v>180</v>
      </c>
      <c r="C2880" s="58">
        <v>8</v>
      </c>
      <c r="D2880" s="58">
        <v>111</v>
      </c>
      <c r="E2880" s="59">
        <v>334.03199999999998</v>
      </c>
    </row>
    <row r="2881" spans="1:5" ht="15" x14ac:dyDescent="0.35">
      <c r="A2881" s="58" t="s">
        <v>264</v>
      </c>
      <c r="B2881" s="58" t="s">
        <v>180</v>
      </c>
      <c r="C2881" s="58">
        <v>9</v>
      </c>
      <c r="D2881" s="58">
        <v>112</v>
      </c>
      <c r="E2881" s="59">
        <v>334.03199999999998</v>
      </c>
    </row>
    <row r="2882" spans="1:5" ht="15" x14ac:dyDescent="0.35">
      <c r="A2882" s="58" t="s">
        <v>264</v>
      </c>
      <c r="B2882" s="58" t="s">
        <v>180</v>
      </c>
      <c r="C2882" s="58">
        <v>10</v>
      </c>
      <c r="D2882" s="58">
        <v>113</v>
      </c>
      <c r="E2882" s="59">
        <v>334.03199999999998</v>
      </c>
    </row>
    <row r="2883" spans="1:5" ht="15" x14ac:dyDescent="0.35">
      <c r="A2883" s="58" t="s">
        <v>264</v>
      </c>
      <c r="B2883" s="58" t="s">
        <v>180</v>
      </c>
      <c r="C2883" s="58">
        <v>11</v>
      </c>
      <c r="D2883" s="58">
        <v>114</v>
      </c>
      <c r="E2883" s="59">
        <v>334.03199999999998</v>
      </c>
    </row>
    <row r="2884" spans="1:5" ht="15" x14ac:dyDescent="0.35">
      <c r="A2884" s="58" t="s">
        <v>264</v>
      </c>
      <c r="B2884" s="58" t="s">
        <v>180</v>
      </c>
      <c r="C2884" s="58">
        <v>12</v>
      </c>
      <c r="D2884" s="58">
        <v>115</v>
      </c>
      <c r="E2884" s="59">
        <v>334.03199999999998</v>
      </c>
    </row>
    <row r="2885" spans="1:5" ht="15" x14ac:dyDescent="0.35">
      <c r="A2885" s="58" t="s">
        <v>291</v>
      </c>
      <c r="B2885" s="58" t="s">
        <v>182</v>
      </c>
      <c r="C2885" s="58">
        <v>1</v>
      </c>
      <c r="D2885" s="58">
        <v>104</v>
      </c>
      <c r="E2885" s="59">
        <v>125.0398</v>
      </c>
    </row>
    <row r="2886" spans="1:5" ht="15" x14ac:dyDescent="0.35">
      <c r="A2886" s="58" t="s">
        <v>291</v>
      </c>
      <c r="B2886" s="58" t="s">
        <v>182</v>
      </c>
      <c r="C2886" s="58">
        <v>2</v>
      </c>
      <c r="D2886" s="58">
        <v>105</v>
      </c>
      <c r="E2886" s="59">
        <v>200.46209999999999</v>
      </c>
    </row>
    <row r="2887" spans="1:5" ht="15" x14ac:dyDescent="0.35">
      <c r="A2887" s="58" t="s">
        <v>291</v>
      </c>
      <c r="B2887" s="58" t="s">
        <v>182</v>
      </c>
      <c r="C2887" s="58">
        <v>3</v>
      </c>
      <c r="D2887" s="58">
        <v>106</v>
      </c>
      <c r="E2887" s="59">
        <v>196.59540000000001</v>
      </c>
    </row>
    <row r="2888" spans="1:5" ht="15" x14ac:dyDescent="0.35">
      <c r="A2888" s="58" t="s">
        <v>291</v>
      </c>
      <c r="B2888" s="58" t="s">
        <v>182</v>
      </c>
      <c r="C2888" s="58">
        <v>4</v>
      </c>
      <c r="D2888" s="58">
        <v>107</v>
      </c>
      <c r="E2888" s="59">
        <v>196.83349999999999</v>
      </c>
    </row>
    <row r="2889" spans="1:5" ht="15" x14ac:dyDescent="0.35">
      <c r="A2889" s="58" t="s">
        <v>291</v>
      </c>
      <c r="B2889" s="58" t="s">
        <v>182</v>
      </c>
      <c r="C2889" s="58">
        <v>5</v>
      </c>
      <c r="D2889" s="58">
        <v>108</v>
      </c>
      <c r="E2889" s="59">
        <v>195.1371</v>
      </c>
    </row>
    <row r="2890" spans="1:5" ht="15" x14ac:dyDescent="0.35">
      <c r="A2890" s="58" t="s">
        <v>291</v>
      </c>
      <c r="B2890" s="58" t="s">
        <v>182</v>
      </c>
      <c r="C2890" s="58">
        <v>6</v>
      </c>
      <c r="D2890" s="58">
        <v>109</v>
      </c>
      <c r="E2890" s="59">
        <v>193.59540000000001</v>
      </c>
    </row>
    <row r="2891" spans="1:5" ht="15" x14ac:dyDescent="0.35">
      <c r="A2891" s="58" t="s">
        <v>291</v>
      </c>
      <c r="B2891" s="58" t="s">
        <v>182</v>
      </c>
      <c r="C2891" s="58">
        <v>7</v>
      </c>
      <c r="D2891" s="58">
        <v>110</v>
      </c>
      <c r="E2891" s="59">
        <v>184.70650000000001</v>
      </c>
    </row>
    <row r="2892" spans="1:5" ht="15" x14ac:dyDescent="0.35">
      <c r="A2892" s="58" t="s">
        <v>291</v>
      </c>
      <c r="B2892" s="58" t="s">
        <v>182</v>
      </c>
      <c r="C2892" s="58">
        <v>8</v>
      </c>
      <c r="D2892" s="58">
        <v>111</v>
      </c>
      <c r="E2892" s="59">
        <v>177.70650000000001</v>
      </c>
    </row>
    <row r="2893" spans="1:5" ht="15" x14ac:dyDescent="0.35">
      <c r="A2893" s="58" t="s">
        <v>291</v>
      </c>
      <c r="B2893" s="58" t="s">
        <v>182</v>
      </c>
      <c r="C2893" s="58">
        <v>9</v>
      </c>
      <c r="D2893" s="58">
        <v>112</v>
      </c>
      <c r="E2893" s="59">
        <v>196.59540000000001</v>
      </c>
    </row>
    <row r="2894" spans="1:5" ht="15" x14ac:dyDescent="0.35">
      <c r="A2894" s="58" t="s">
        <v>291</v>
      </c>
      <c r="B2894" s="58" t="s">
        <v>182</v>
      </c>
      <c r="C2894" s="58">
        <v>10</v>
      </c>
      <c r="D2894" s="58">
        <v>113</v>
      </c>
      <c r="E2894" s="59">
        <v>203.03980000000001</v>
      </c>
    </row>
    <row r="2895" spans="1:5" ht="15" x14ac:dyDescent="0.35">
      <c r="A2895" s="58" t="s">
        <v>291</v>
      </c>
      <c r="B2895" s="58" t="s">
        <v>182</v>
      </c>
      <c r="C2895" s="58">
        <v>11</v>
      </c>
      <c r="D2895" s="58">
        <v>114</v>
      </c>
      <c r="E2895" s="59">
        <v>204.03980000000001</v>
      </c>
    </row>
    <row r="2896" spans="1:5" ht="15" x14ac:dyDescent="0.35">
      <c r="A2896" s="58" t="s">
        <v>291</v>
      </c>
      <c r="B2896" s="58" t="s">
        <v>182</v>
      </c>
      <c r="C2896" s="58">
        <v>12</v>
      </c>
      <c r="D2896" s="58">
        <v>115</v>
      </c>
      <c r="E2896" s="59">
        <v>211.70650000000001</v>
      </c>
    </row>
    <row r="2897" spans="1:5" ht="15" x14ac:dyDescent="0.35">
      <c r="A2897" s="58" t="s">
        <v>291</v>
      </c>
      <c r="B2897" s="58" t="s">
        <v>176</v>
      </c>
      <c r="C2897" s="58">
        <v>1</v>
      </c>
      <c r="D2897" s="58">
        <v>104</v>
      </c>
      <c r="E2897" s="59">
        <v>203.875</v>
      </c>
    </row>
    <row r="2898" spans="1:5" ht="15" x14ac:dyDescent="0.35">
      <c r="A2898" s="58" t="s">
        <v>291</v>
      </c>
      <c r="B2898" s="58" t="s">
        <v>176</v>
      </c>
      <c r="C2898" s="58">
        <v>2</v>
      </c>
      <c r="D2898" s="58">
        <v>105</v>
      </c>
      <c r="E2898" s="59">
        <v>203.875</v>
      </c>
    </row>
    <row r="2899" spans="1:5" ht="15" x14ac:dyDescent="0.35">
      <c r="A2899" s="58" t="s">
        <v>291</v>
      </c>
      <c r="B2899" s="58" t="s">
        <v>176</v>
      </c>
      <c r="C2899" s="58">
        <v>3</v>
      </c>
      <c r="D2899" s="58">
        <v>106</v>
      </c>
      <c r="E2899" s="59">
        <v>203.875</v>
      </c>
    </row>
    <row r="2900" spans="1:5" ht="15" x14ac:dyDescent="0.35">
      <c r="A2900" s="58" t="s">
        <v>291</v>
      </c>
      <c r="B2900" s="58" t="s">
        <v>176</v>
      </c>
      <c r="C2900" s="58">
        <v>4</v>
      </c>
      <c r="D2900" s="58">
        <v>107</v>
      </c>
      <c r="E2900" s="59">
        <v>203.875</v>
      </c>
    </row>
    <row r="2901" spans="1:5" ht="15" x14ac:dyDescent="0.35">
      <c r="A2901" s="58" t="s">
        <v>291</v>
      </c>
      <c r="B2901" s="58" t="s">
        <v>176</v>
      </c>
      <c r="C2901" s="58">
        <v>5</v>
      </c>
      <c r="D2901" s="58">
        <v>108</v>
      </c>
      <c r="E2901" s="59">
        <v>203.875</v>
      </c>
    </row>
    <row r="2902" spans="1:5" ht="15" x14ac:dyDescent="0.35">
      <c r="A2902" s="58" t="s">
        <v>291</v>
      </c>
      <c r="B2902" s="58" t="s">
        <v>176</v>
      </c>
      <c r="C2902" s="58">
        <v>6</v>
      </c>
      <c r="D2902" s="58">
        <v>109</v>
      </c>
      <c r="E2902" s="59">
        <v>203.875</v>
      </c>
    </row>
    <row r="2903" spans="1:5" ht="15" x14ac:dyDescent="0.35">
      <c r="A2903" s="58" t="s">
        <v>291</v>
      </c>
      <c r="B2903" s="58" t="s">
        <v>176</v>
      </c>
      <c r="C2903" s="58">
        <v>7</v>
      </c>
      <c r="D2903" s="58">
        <v>110</v>
      </c>
      <c r="E2903" s="59">
        <v>203.875</v>
      </c>
    </row>
    <row r="2904" spans="1:5" ht="15" x14ac:dyDescent="0.35">
      <c r="A2904" s="58" t="s">
        <v>291</v>
      </c>
      <c r="B2904" s="58" t="s">
        <v>176</v>
      </c>
      <c r="C2904" s="58">
        <v>8</v>
      </c>
      <c r="D2904" s="58">
        <v>111</v>
      </c>
      <c r="E2904" s="59">
        <v>203.875</v>
      </c>
    </row>
    <row r="2905" spans="1:5" ht="15" x14ac:dyDescent="0.35">
      <c r="A2905" s="58" t="s">
        <v>291</v>
      </c>
      <c r="B2905" s="58" t="s">
        <v>176</v>
      </c>
      <c r="C2905" s="58">
        <v>9</v>
      </c>
      <c r="D2905" s="58">
        <v>112</v>
      </c>
      <c r="E2905" s="59">
        <v>203.875</v>
      </c>
    </row>
    <row r="2906" spans="1:5" ht="15" x14ac:dyDescent="0.35">
      <c r="A2906" s="58" t="s">
        <v>291</v>
      </c>
      <c r="B2906" s="58" t="s">
        <v>176</v>
      </c>
      <c r="C2906" s="58">
        <v>10</v>
      </c>
      <c r="D2906" s="58">
        <v>113</v>
      </c>
      <c r="E2906" s="59">
        <v>203.875</v>
      </c>
    </row>
    <row r="2907" spans="1:5" ht="15" x14ac:dyDescent="0.35">
      <c r="A2907" s="58" t="s">
        <v>291</v>
      </c>
      <c r="B2907" s="58" t="s">
        <v>176</v>
      </c>
      <c r="C2907" s="58">
        <v>11</v>
      </c>
      <c r="D2907" s="58">
        <v>114</v>
      </c>
      <c r="E2907" s="59">
        <v>203.875</v>
      </c>
    </row>
    <row r="2908" spans="1:5" ht="15" x14ac:dyDescent="0.35">
      <c r="A2908" s="58" t="s">
        <v>291</v>
      </c>
      <c r="B2908" s="58" t="s">
        <v>176</v>
      </c>
      <c r="C2908" s="58">
        <v>12</v>
      </c>
      <c r="D2908" s="58">
        <v>115</v>
      </c>
      <c r="E2908" s="59">
        <v>203.875</v>
      </c>
    </row>
    <row r="2909" spans="1:5" ht="15" x14ac:dyDescent="0.35">
      <c r="A2909" s="58" t="s">
        <v>291</v>
      </c>
      <c r="B2909" s="58" t="s">
        <v>172</v>
      </c>
      <c r="C2909" s="58">
        <v>1</v>
      </c>
      <c r="D2909" s="58">
        <v>104</v>
      </c>
      <c r="E2909" s="59">
        <v>235</v>
      </c>
    </row>
    <row r="2910" spans="1:5" ht="15" x14ac:dyDescent="0.35">
      <c r="A2910" s="58" t="s">
        <v>291</v>
      </c>
      <c r="B2910" s="58" t="s">
        <v>172</v>
      </c>
      <c r="C2910" s="58">
        <v>2</v>
      </c>
      <c r="D2910" s="58">
        <v>105</v>
      </c>
      <c r="E2910" s="59">
        <v>235</v>
      </c>
    </row>
    <row r="2911" spans="1:5" ht="15" x14ac:dyDescent="0.35">
      <c r="A2911" s="58" t="s">
        <v>291</v>
      </c>
      <c r="B2911" s="58" t="s">
        <v>172</v>
      </c>
      <c r="C2911" s="58">
        <v>3</v>
      </c>
      <c r="D2911" s="58">
        <v>106</v>
      </c>
      <c r="E2911" s="59">
        <v>235</v>
      </c>
    </row>
    <row r="2912" spans="1:5" ht="15" x14ac:dyDescent="0.35">
      <c r="A2912" s="58" t="s">
        <v>291</v>
      </c>
      <c r="B2912" s="58" t="s">
        <v>172</v>
      </c>
      <c r="C2912" s="58">
        <v>4</v>
      </c>
      <c r="D2912" s="58">
        <v>107</v>
      </c>
      <c r="E2912" s="59">
        <v>235</v>
      </c>
    </row>
    <row r="2913" spans="1:5" ht="15" x14ac:dyDescent="0.35">
      <c r="A2913" s="58" t="s">
        <v>291</v>
      </c>
      <c r="B2913" s="58" t="s">
        <v>172</v>
      </c>
      <c r="C2913" s="58">
        <v>5</v>
      </c>
      <c r="D2913" s="58">
        <v>108</v>
      </c>
      <c r="E2913" s="59">
        <v>235</v>
      </c>
    </row>
    <row r="2914" spans="1:5" ht="15" x14ac:dyDescent="0.35">
      <c r="A2914" s="58" t="s">
        <v>291</v>
      </c>
      <c r="B2914" s="58" t="s">
        <v>172</v>
      </c>
      <c r="C2914" s="58">
        <v>6</v>
      </c>
      <c r="D2914" s="58">
        <v>109</v>
      </c>
      <c r="E2914" s="59">
        <v>235</v>
      </c>
    </row>
    <row r="2915" spans="1:5" ht="15" x14ac:dyDescent="0.35">
      <c r="A2915" s="58" t="s">
        <v>291</v>
      </c>
      <c r="B2915" s="58" t="s">
        <v>172</v>
      </c>
      <c r="C2915" s="58">
        <v>7</v>
      </c>
      <c r="D2915" s="58">
        <v>110</v>
      </c>
      <c r="E2915" s="59">
        <v>235</v>
      </c>
    </row>
    <row r="2916" spans="1:5" ht="15" x14ac:dyDescent="0.35">
      <c r="A2916" s="58" t="s">
        <v>291</v>
      </c>
      <c r="B2916" s="58" t="s">
        <v>172</v>
      </c>
      <c r="C2916" s="58">
        <v>8</v>
      </c>
      <c r="D2916" s="58">
        <v>111</v>
      </c>
      <c r="E2916" s="59">
        <v>235</v>
      </c>
    </row>
    <row r="2917" spans="1:5" ht="15" x14ac:dyDescent="0.35">
      <c r="A2917" s="58" t="s">
        <v>291</v>
      </c>
      <c r="B2917" s="58" t="s">
        <v>172</v>
      </c>
      <c r="C2917" s="58">
        <v>9</v>
      </c>
      <c r="D2917" s="58">
        <v>112</v>
      </c>
      <c r="E2917" s="59">
        <v>235</v>
      </c>
    </row>
    <row r="2918" spans="1:5" ht="15" x14ac:dyDescent="0.35">
      <c r="A2918" s="58" t="s">
        <v>291</v>
      </c>
      <c r="B2918" s="58" t="s">
        <v>172</v>
      </c>
      <c r="C2918" s="58">
        <v>10</v>
      </c>
      <c r="D2918" s="58">
        <v>113</v>
      </c>
      <c r="E2918" s="59">
        <v>235</v>
      </c>
    </row>
    <row r="2919" spans="1:5" ht="15" x14ac:dyDescent="0.35">
      <c r="A2919" s="58" t="s">
        <v>291</v>
      </c>
      <c r="B2919" s="58" t="s">
        <v>172</v>
      </c>
      <c r="C2919" s="58">
        <v>11</v>
      </c>
      <c r="D2919" s="58">
        <v>114</v>
      </c>
      <c r="E2919" s="59">
        <v>235</v>
      </c>
    </row>
    <row r="2920" spans="1:5" ht="15" x14ac:dyDescent="0.35">
      <c r="A2920" s="58" t="s">
        <v>291</v>
      </c>
      <c r="B2920" s="58" t="s">
        <v>172</v>
      </c>
      <c r="C2920" s="58">
        <v>12</v>
      </c>
      <c r="D2920" s="58">
        <v>115</v>
      </c>
      <c r="E2920" s="59">
        <v>235</v>
      </c>
    </row>
    <row r="2921" spans="1:5" ht="15" x14ac:dyDescent="0.35">
      <c r="A2921" s="58" t="s">
        <v>291</v>
      </c>
      <c r="B2921" s="58" t="s">
        <v>180</v>
      </c>
      <c r="C2921" s="58">
        <v>1</v>
      </c>
      <c r="D2921" s="58">
        <v>104</v>
      </c>
      <c r="E2921" s="59">
        <v>231.60480000000001</v>
      </c>
    </row>
    <row r="2922" spans="1:5" ht="15" x14ac:dyDescent="0.35">
      <c r="A2922" s="58" t="s">
        <v>291</v>
      </c>
      <c r="B2922" s="58" t="s">
        <v>180</v>
      </c>
      <c r="C2922" s="58">
        <v>2</v>
      </c>
      <c r="D2922" s="58">
        <v>105</v>
      </c>
      <c r="E2922" s="59">
        <v>231.60480000000001</v>
      </c>
    </row>
    <row r="2923" spans="1:5" ht="15" x14ac:dyDescent="0.35">
      <c r="A2923" s="58" t="s">
        <v>291</v>
      </c>
      <c r="B2923" s="58" t="s">
        <v>180</v>
      </c>
      <c r="C2923" s="58">
        <v>3</v>
      </c>
      <c r="D2923" s="58">
        <v>106</v>
      </c>
      <c r="E2923" s="59">
        <v>231.60480000000001</v>
      </c>
    </row>
    <row r="2924" spans="1:5" ht="15" x14ac:dyDescent="0.35">
      <c r="A2924" s="58" t="s">
        <v>291</v>
      </c>
      <c r="B2924" s="58" t="s">
        <v>180</v>
      </c>
      <c r="C2924" s="58">
        <v>4</v>
      </c>
      <c r="D2924" s="58">
        <v>107</v>
      </c>
      <c r="E2924" s="59">
        <v>231.60480000000001</v>
      </c>
    </row>
    <row r="2925" spans="1:5" ht="15" x14ac:dyDescent="0.35">
      <c r="A2925" s="58" t="s">
        <v>291</v>
      </c>
      <c r="B2925" s="58" t="s">
        <v>180</v>
      </c>
      <c r="C2925" s="58">
        <v>5</v>
      </c>
      <c r="D2925" s="58">
        <v>108</v>
      </c>
      <c r="E2925" s="59">
        <v>231.60480000000001</v>
      </c>
    </row>
    <row r="2926" spans="1:5" ht="15" x14ac:dyDescent="0.35">
      <c r="A2926" s="58" t="s">
        <v>291</v>
      </c>
      <c r="B2926" s="58" t="s">
        <v>180</v>
      </c>
      <c r="C2926" s="58">
        <v>6</v>
      </c>
      <c r="D2926" s="58">
        <v>109</v>
      </c>
      <c r="E2926" s="59">
        <v>231.60480000000001</v>
      </c>
    </row>
    <row r="2927" spans="1:5" ht="15" x14ac:dyDescent="0.35">
      <c r="A2927" s="58" t="s">
        <v>291</v>
      </c>
      <c r="B2927" s="58" t="s">
        <v>180</v>
      </c>
      <c r="C2927" s="58">
        <v>7</v>
      </c>
      <c r="D2927" s="58">
        <v>110</v>
      </c>
      <c r="E2927" s="59">
        <v>231.60480000000001</v>
      </c>
    </row>
    <row r="2928" spans="1:5" ht="15" x14ac:dyDescent="0.35">
      <c r="A2928" s="58" t="s">
        <v>291</v>
      </c>
      <c r="B2928" s="58" t="s">
        <v>180</v>
      </c>
      <c r="C2928" s="58">
        <v>8</v>
      </c>
      <c r="D2928" s="58">
        <v>111</v>
      </c>
      <c r="E2928" s="59">
        <v>231.60480000000001</v>
      </c>
    </row>
    <row r="2929" spans="1:5" ht="15" x14ac:dyDescent="0.35">
      <c r="A2929" s="58" t="s">
        <v>291</v>
      </c>
      <c r="B2929" s="58" t="s">
        <v>180</v>
      </c>
      <c r="C2929" s="58">
        <v>9</v>
      </c>
      <c r="D2929" s="58">
        <v>112</v>
      </c>
      <c r="E2929" s="59">
        <v>231.60480000000001</v>
      </c>
    </row>
    <row r="2930" spans="1:5" ht="15" x14ac:dyDescent="0.35">
      <c r="A2930" s="58" t="s">
        <v>291</v>
      </c>
      <c r="B2930" s="58" t="s">
        <v>180</v>
      </c>
      <c r="C2930" s="58">
        <v>10</v>
      </c>
      <c r="D2930" s="58">
        <v>113</v>
      </c>
      <c r="E2930" s="59">
        <v>231.60480000000001</v>
      </c>
    </row>
    <row r="2931" spans="1:5" ht="15" x14ac:dyDescent="0.35">
      <c r="A2931" s="58" t="s">
        <v>291</v>
      </c>
      <c r="B2931" s="58" t="s">
        <v>180</v>
      </c>
      <c r="C2931" s="58">
        <v>11</v>
      </c>
      <c r="D2931" s="58">
        <v>114</v>
      </c>
      <c r="E2931" s="59">
        <v>231.60480000000001</v>
      </c>
    </row>
    <row r="2932" spans="1:5" ht="15" x14ac:dyDescent="0.35">
      <c r="A2932" s="58" t="s">
        <v>291</v>
      </c>
      <c r="B2932" s="58" t="s">
        <v>180</v>
      </c>
      <c r="C2932" s="58">
        <v>12</v>
      </c>
      <c r="D2932" s="58">
        <v>115</v>
      </c>
      <c r="E2932" s="59">
        <v>231.60480000000001</v>
      </c>
    </row>
    <row r="2933" spans="1:5" ht="15" x14ac:dyDescent="0.35">
      <c r="A2933" s="58" t="s">
        <v>296</v>
      </c>
      <c r="B2933" s="58" t="s">
        <v>182</v>
      </c>
      <c r="C2933" s="58">
        <v>1</v>
      </c>
      <c r="D2933" s="58">
        <v>104</v>
      </c>
      <c r="E2933" s="59">
        <v>122.3357</v>
      </c>
    </row>
    <row r="2934" spans="1:5" ht="15" x14ac:dyDescent="0.35">
      <c r="A2934" s="58" t="s">
        <v>296</v>
      </c>
      <c r="B2934" s="58" t="s">
        <v>182</v>
      </c>
      <c r="C2934" s="58">
        <v>2</v>
      </c>
      <c r="D2934" s="58">
        <v>105</v>
      </c>
      <c r="E2934" s="59">
        <v>111.869</v>
      </c>
    </row>
    <row r="2935" spans="1:5" ht="15" x14ac:dyDescent="0.35">
      <c r="A2935" s="58" t="s">
        <v>296</v>
      </c>
      <c r="B2935" s="58" t="s">
        <v>182</v>
      </c>
      <c r="C2935" s="58">
        <v>3</v>
      </c>
      <c r="D2935" s="58">
        <v>106</v>
      </c>
      <c r="E2935" s="59">
        <v>101.50239999999999</v>
      </c>
    </row>
    <row r="2936" spans="1:5" ht="15" x14ac:dyDescent="0.35">
      <c r="A2936" s="58" t="s">
        <v>296</v>
      </c>
      <c r="B2936" s="58" t="s">
        <v>182</v>
      </c>
      <c r="C2936" s="58">
        <v>4</v>
      </c>
      <c r="D2936" s="58">
        <v>107</v>
      </c>
      <c r="E2936" s="59">
        <v>98.526200000000003</v>
      </c>
    </row>
    <row r="2937" spans="1:5" ht="15" x14ac:dyDescent="0.35">
      <c r="A2937" s="58" t="s">
        <v>296</v>
      </c>
      <c r="B2937" s="58" t="s">
        <v>182</v>
      </c>
      <c r="C2937" s="58">
        <v>5</v>
      </c>
      <c r="D2937" s="58">
        <v>108</v>
      </c>
      <c r="E2937" s="59">
        <v>93.543999999999997</v>
      </c>
    </row>
    <row r="2938" spans="1:5" ht="15" x14ac:dyDescent="0.35">
      <c r="A2938" s="58" t="s">
        <v>296</v>
      </c>
      <c r="B2938" s="58" t="s">
        <v>182</v>
      </c>
      <c r="C2938" s="58">
        <v>6</v>
      </c>
      <c r="D2938" s="58">
        <v>109</v>
      </c>
      <c r="E2938" s="59">
        <v>86.113500000000002</v>
      </c>
    </row>
    <row r="2939" spans="1:5" ht="15" x14ac:dyDescent="0.35">
      <c r="A2939" s="58" t="s">
        <v>296</v>
      </c>
      <c r="B2939" s="58" t="s">
        <v>182</v>
      </c>
      <c r="C2939" s="58">
        <v>7</v>
      </c>
      <c r="D2939" s="58">
        <v>110</v>
      </c>
      <c r="E2939" s="59">
        <v>65.113500000000002</v>
      </c>
    </row>
    <row r="2940" spans="1:5" ht="15" x14ac:dyDescent="0.35">
      <c r="A2940" s="58" t="s">
        <v>296</v>
      </c>
      <c r="B2940" s="58" t="s">
        <v>182</v>
      </c>
      <c r="C2940" s="58">
        <v>8</v>
      </c>
      <c r="D2940" s="58">
        <v>111</v>
      </c>
      <c r="E2940" s="59">
        <v>45.668999999999997</v>
      </c>
    </row>
    <row r="2941" spans="1:5" ht="15" x14ac:dyDescent="0.35">
      <c r="A2941" s="58" t="s">
        <v>296</v>
      </c>
      <c r="B2941" s="58" t="s">
        <v>182</v>
      </c>
      <c r="C2941" s="58">
        <v>9</v>
      </c>
      <c r="D2941" s="58">
        <v>112</v>
      </c>
      <c r="E2941" s="59">
        <v>44.780099999999997</v>
      </c>
    </row>
    <row r="2942" spans="1:5" ht="15" x14ac:dyDescent="0.35">
      <c r="A2942" s="58" t="s">
        <v>296</v>
      </c>
      <c r="B2942" s="58" t="s">
        <v>182</v>
      </c>
      <c r="C2942" s="58">
        <v>10</v>
      </c>
      <c r="D2942" s="58">
        <v>113</v>
      </c>
      <c r="E2942" s="59">
        <v>44.891199999999998</v>
      </c>
    </row>
    <row r="2943" spans="1:5" ht="15" x14ac:dyDescent="0.35">
      <c r="A2943" s="58" t="s">
        <v>296</v>
      </c>
      <c r="B2943" s="58" t="s">
        <v>182</v>
      </c>
      <c r="C2943" s="58">
        <v>11</v>
      </c>
      <c r="D2943" s="58">
        <v>114</v>
      </c>
      <c r="E2943" s="59">
        <v>51.113500000000002</v>
      </c>
    </row>
    <row r="2944" spans="1:5" ht="15" x14ac:dyDescent="0.35">
      <c r="A2944" s="58" t="s">
        <v>296</v>
      </c>
      <c r="B2944" s="58" t="s">
        <v>182</v>
      </c>
      <c r="C2944" s="58">
        <v>12</v>
      </c>
      <c r="D2944" s="58">
        <v>115</v>
      </c>
      <c r="E2944" s="59">
        <v>62.113500000000002</v>
      </c>
    </row>
    <row r="2945" spans="1:5" ht="15" x14ac:dyDescent="0.35">
      <c r="A2945" s="58" t="s">
        <v>296</v>
      </c>
      <c r="B2945" s="58" t="s">
        <v>176</v>
      </c>
      <c r="C2945" s="58">
        <v>1</v>
      </c>
      <c r="D2945" s="58">
        <v>104</v>
      </c>
      <c r="E2945" s="59">
        <v>160.125</v>
      </c>
    </row>
    <row r="2946" spans="1:5" ht="15" x14ac:dyDescent="0.35">
      <c r="A2946" s="58" t="s">
        <v>296</v>
      </c>
      <c r="B2946" s="58" t="s">
        <v>176</v>
      </c>
      <c r="C2946" s="58">
        <v>2</v>
      </c>
      <c r="D2946" s="58">
        <v>105</v>
      </c>
      <c r="E2946" s="59">
        <v>160.125</v>
      </c>
    </row>
    <row r="2947" spans="1:5" ht="15" x14ac:dyDescent="0.35">
      <c r="A2947" s="58" t="s">
        <v>296</v>
      </c>
      <c r="B2947" s="58" t="s">
        <v>176</v>
      </c>
      <c r="C2947" s="58">
        <v>3</v>
      </c>
      <c r="D2947" s="58">
        <v>106</v>
      </c>
      <c r="E2947" s="59">
        <v>160.125</v>
      </c>
    </row>
    <row r="2948" spans="1:5" ht="15" x14ac:dyDescent="0.35">
      <c r="A2948" s="58" t="s">
        <v>296</v>
      </c>
      <c r="B2948" s="58" t="s">
        <v>176</v>
      </c>
      <c r="C2948" s="58">
        <v>4</v>
      </c>
      <c r="D2948" s="58">
        <v>107</v>
      </c>
      <c r="E2948" s="59">
        <v>160.125</v>
      </c>
    </row>
    <row r="2949" spans="1:5" ht="15" x14ac:dyDescent="0.35">
      <c r="A2949" s="58" t="s">
        <v>296</v>
      </c>
      <c r="B2949" s="58" t="s">
        <v>176</v>
      </c>
      <c r="C2949" s="58">
        <v>5</v>
      </c>
      <c r="D2949" s="58">
        <v>108</v>
      </c>
      <c r="E2949" s="59">
        <v>160.125</v>
      </c>
    </row>
    <row r="2950" spans="1:5" ht="15" x14ac:dyDescent="0.35">
      <c r="A2950" s="58" t="s">
        <v>296</v>
      </c>
      <c r="B2950" s="58" t="s">
        <v>176</v>
      </c>
      <c r="C2950" s="58">
        <v>6</v>
      </c>
      <c r="D2950" s="58">
        <v>109</v>
      </c>
      <c r="E2950" s="59">
        <v>160.125</v>
      </c>
    </row>
    <row r="2951" spans="1:5" ht="15" x14ac:dyDescent="0.35">
      <c r="A2951" s="58" t="s">
        <v>296</v>
      </c>
      <c r="B2951" s="58" t="s">
        <v>176</v>
      </c>
      <c r="C2951" s="58">
        <v>7</v>
      </c>
      <c r="D2951" s="58">
        <v>110</v>
      </c>
      <c r="E2951" s="59">
        <v>160.125</v>
      </c>
    </row>
    <row r="2952" spans="1:5" ht="15" x14ac:dyDescent="0.35">
      <c r="A2952" s="58" t="s">
        <v>296</v>
      </c>
      <c r="B2952" s="58" t="s">
        <v>176</v>
      </c>
      <c r="C2952" s="58">
        <v>8</v>
      </c>
      <c r="D2952" s="58">
        <v>111</v>
      </c>
      <c r="E2952" s="59">
        <v>160.125</v>
      </c>
    </row>
    <row r="2953" spans="1:5" ht="15" x14ac:dyDescent="0.35">
      <c r="A2953" s="58" t="s">
        <v>296</v>
      </c>
      <c r="B2953" s="58" t="s">
        <v>176</v>
      </c>
      <c r="C2953" s="58">
        <v>9</v>
      </c>
      <c r="D2953" s="58">
        <v>112</v>
      </c>
      <c r="E2953" s="59">
        <v>160.125</v>
      </c>
    </row>
    <row r="2954" spans="1:5" ht="15" x14ac:dyDescent="0.35">
      <c r="A2954" s="58" t="s">
        <v>296</v>
      </c>
      <c r="B2954" s="58" t="s">
        <v>176</v>
      </c>
      <c r="C2954" s="58">
        <v>10</v>
      </c>
      <c r="D2954" s="58">
        <v>113</v>
      </c>
      <c r="E2954" s="59">
        <v>160.125</v>
      </c>
    </row>
    <row r="2955" spans="1:5" ht="15" x14ac:dyDescent="0.35">
      <c r="A2955" s="58" t="s">
        <v>296</v>
      </c>
      <c r="B2955" s="58" t="s">
        <v>176</v>
      </c>
      <c r="C2955" s="58">
        <v>11</v>
      </c>
      <c r="D2955" s="58">
        <v>114</v>
      </c>
      <c r="E2955" s="59">
        <v>160.125</v>
      </c>
    </row>
    <row r="2956" spans="1:5" ht="15" x14ac:dyDescent="0.35">
      <c r="A2956" s="58" t="s">
        <v>296</v>
      </c>
      <c r="B2956" s="58" t="s">
        <v>176</v>
      </c>
      <c r="C2956" s="58">
        <v>12</v>
      </c>
      <c r="D2956" s="58">
        <v>115</v>
      </c>
      <c r="E2956" s="59">
        <v>160.125</v>
      </c>
    </row>
    <row r="2957" spans="1:5" ht="15" x14ac:dyDescent="0.35">
      <c r="A2957" s="58" t="s">
        <v>296</v>
      </c>
      <c r="B2957" s="58" t="s">
        <v>172</v>
      </c>
      <c r="C2957" s="58">
        <v>1</v>
      </c>
      <c r="D2957" s="58">
        <v>104</v>
      </c>
      <c r="E2957" s="59">
        <v>192</v>
      </c>
    </row>
    <row r="2958" spans="1:5" ht="15" x14ac:dyDescent="0.35">
      <c r="A2958" s="58" t="s">
        <v>296</v>
      </c>
      <c r="B2958" s="58" t="s">
        <v>172</v>
      </c>
      <c r="C2958" s="58">
        <v>2</v>
      </c>
      <c r="D2958" s="58">
        <v>105</v>
      </c>
      <c r="E2958" s="59">
        <v>192</v>
      </c>
    </row>
    <row r="2959" spans="1:5" ht="15" x14ac:dyDescent="0.35">
      <c r="A2959" s="58" t="s">
        <v>296</v>
      </c>
      <c r="B2959" s="58" t="s">
        <v>172</v>
      </c>
      <c r="C2959" s="58">
        <v>3</v>
      </c>
      <c r="D2959" s="58">
        <v>106</v>
      </c>
      <c r="E2959" s="59">
        <v>192</v>
      </c>
    </row>
    <row r="2960" spans="1:5" ht="15" x14ac:dyDescent="0.35">
      <c r="A2960" s="58" t="s">
        <v>296</v>
      </c>
      <c r="B2960" s="58" t="s">
        <v>172</v>
      </c>
      <c r="C2960" s="58">
        <v>4</v>
      </c>
      <c r="D2960" s="58">
        <v>107</v>
      </c>
      <c r="E2960" s="59">
        <v>192</v>
      </c>
    </row>
    <row r="2961" spans="1:5" ht="15" x14ac:dyDescent="0.35">
      <c r="A2961" s="58" t="s">
        <v>296</v>
      </c>
      <c r="B2961" s="58" t="s">
        <v>172</v>
      </c>
      <c r="C2961" s="58">
        <v>5</v>
      </c>
      <c r="D2961" s="58">
        <v>108</v>
      </c>
      <c r="E2961" s="59">
        <v>192</v>
      </c>
    </row>
    <row r="2962" spans="1:5" ht="15" x14ac:dyDescent="0.35">
      <c r="A2962" s="58" t="s">
        <v>296</v>
      </c>
      <c r="B2962" s="58" t="s">
        <v>172</v>
      </c>
      <c r="C2962" s="58">
        <v>6</v>
      </c>
      <c r="D2962" s="58">
        <v>109</v>
      </c>
      <c r="E2962" s="59">
        <v>192</v>
      </c>
    </row>
    <row r="2963" spans="1:5" ht="15" x14ac:dyDescent="0.35">
      <c r="A2963" s="58" t="s">
        <v>296</v>
      </c>
      <c r="B2963" s="58" t="s">
        <v>172</v>
      </c>
      <c r="C2963" s="58">
        <v>7</v>
      </c>
      <c r="D2963" s="58">
        <v>110</v>
      </c>
      <c r="E2963" s="59">
        <v>192</v>
      </c>
    </row>
    <row r="2964" spans="1:5" ht="15" x14ac:dyDescent="0.35">
      <c r="A2964" s="58" t="s">
        <v>296</v>
      </c>
      <c r="B2964" s="58" t="s">
        <v>172</v>
      </c>
      <c r="C2964" s="58">
        <v>8</v>
      </c>
      <c r="D2964" s="58">
        <v>111</v>
      </c>
      <c r="E2964" s="59">
        <v>192</v>
      </c>
    </row>
    <row r="2965" spans="1:5" ht="15" x14ac:dyDescent="0.35">
      <c r="A2965" s="58" t="s">
        <v>296</v>
      </c>
      <c r="B2965" s="58" t="s">
        <v>172</v>
      </c>
      <c r="C2965" s="58">
        <v>9</v>
      </c>
      <c r="D2965" s="58">
        <v>112</v>
      </c>
      <c r="E2965" s="59">
        <v>192</v>
      </c>
    </row>
    <row r="2966" spans="1:5" ht="15" x14ac:dyDescent="0.35">
      <c r="A2966" s="58" t="s">
        <v>296</v>
      </c>
      <c r="B2966" s="58" t="s">
        <v>172</v>
      </c>
      <c r="C2966" s="58">
        <v>10</v>
      </c>
      <c r="D2966" s="58">
        <v>113</v>
      </c>
      <c r="E2966" s="59">
        <v>192</v>
      </c>
    </row>
    <row r="2967" spans="1:5" ht="15" x14ac:dyDescent="0.35">
      <c r="A2967" s="58" t="s">
        <v>296</v>
      </c>
      <c r="B2967" s="58" t="s">
        <v>172</v>
      </c>
      <c r="C2967" s="58">
        <v>11</v>
      </c>
      <c r="D2967" s="58">
        <v>114</v>
      </c>
      <c r="E2967" s="59">
        <v>192</v>
      </c>
    </row>
    <row r="2968" spans="1:5" ht="15" x14ac:dyDescent="0.35">
      <c r="A2968" s="58" t="s">
        <v>296</v>
      </c>
      <c r="B2968" s="58" t="s">
        <v>172</v>
      </c>
      <c r="C2968" s="58">
        <v>12</v>
      </c>
      <c r="D2968" s="58">
        <v>115</v>
      </c>
      <c r="E2968" s="59">
        <v>192</v>
      </c>
    </row>
    <row r="2969" spans="1:5" ht="15" x14ac:dyDescent="0.35">
      <c r="A2969" s="58" t="s">
        <v>296</v>
      </c>
      <c r="B2969" s="58" t="s">
        <v>180</v>
      </c>
      <c r="C2969" s="58">
        <v>1</v>
      </c>
      <c r="D2969" s="58">
        <v>104</v>
      </c>
      <c r="E2969" s="59">
        <v>200.16679999999999</v>
      </c>
    </row>
    <row r="2970" spans="1:5" ht="15" x14ac:dyDescent="0.35">
      <c r="A2970" s="58" t="s">
        <v>296</v>
      </c>
      <c r="B2970" s="58" t="s">
        <v>180</v>
      </c>
      <c r="C2970" s="58">
        <v>2</v>
      </c>
      <c r="D2970" s="58">
        <v>105</v>
      </c>
      <c r="E2970" s="59">
        <v>200.16679999999999</v>
      </c>
    </row>
    <row r="2971" spans="1:5" ht="15" x14ac:dyDescent="0.35">
      <c r="A2971" s="58" t="s">
        <v>296</v>
      </c>
      <c r="B2971" s="58" t="s">
        <v>180</v>
      </c>
      <c r="C2971" s="58">
        <v>3</v>
      </c>
      <c r="D2971" s="58">
        <v>106</v>
      </c>
      <c r="E2971" s="59">
        <v>200.16679999999999</v>
      </c>
    </row>
    <row r="2972" spans="1:5" ht="15" x14ac:dyDescent="0.35">
      <c r="A2972" s="58" t="s">
        <v>296</v>
      </c>
      <c r="B2972" s="58" t="s">
        <v>180</v>
      </c>
      <c r="C2972" s="58">
        <v>4</v>
      </c>
      <c r="D2972" s="58">
        <v>107</v>
      </c>
      <c r="E2972" s="59">
        <v>200.16679999999999</v>
      </c>
    </row>
    <row r="2973" spans="1:5" ht="15" x14ac:dyDescent="0.35">
      <c r="A2973" s="58" t="s">
        <v>296</v>
      </c>
      <c r="B2973" s="58" t="s">
        <v>180</v>
      </c>
      <c r="C2973" s="58">
        <v>5</v>
      </c>
      <c r="D2973" s="58">
        <v>108</v>
      </c>
      <c r="E2973" s="59">
        <v>200.16679999999999</v>
      </c>
    </row>
    <row r="2974" spans="1:5" ht="15" x14ac:dyDescent="0.35">
      <c r="A2974" s="58" t="s">
        <v>296</v>
      </c>
      <c r="B2974" s="58" t="s">
        <v>180</v>
      </c>
      <c r="C2974" s="58">
        <v>6</v>
      </c>
      <c r="D2974" s="58">
        <v>109</v>
      </c>
      <c r="E2974" s="59">
        <v>200.16679999999999</v>
      </c>
    </row>
    <row r="2975" spans="1:5" ht="15" x14ac:dyDescent="0.35">
      <c r="A2975" s="58" t="s">
        <v>296</v>
      </c>
      <c r="B2975" s="58" t="s">
        <v>180</v>
      </c>
      <c r="C2975" s="58">
        <v>7</v>
      </c>
      <c r="D2975" s="58">
        <v>110</v>
      </c>
      <c r="E2975" s="59">
        <v>200.16679999999999</v>
      </c>
    </row>
    <row r="2976" spans="1:5" ht="15" x14ac:dyDescent="0.35">
      <c r="A2976" s="58" t="s">
        <v>296</v>
      </c>
      <c r="B2976" s="58" t="s">
        <v>180</v>
      </c>
      <c r="C2976" s="58">
        <v>8</v>
      </c>
      <c r="D2976" s="58">
        <v>111</v>
      </c>
      <c r="E2976" s="59">
        <v>200.16679999999999</v>
      </c>
    </row>
    <row r="2977" spans="1:5" ht="15" x14ac:dyDescent="0.35">
      <c r="A2977" s="58" t="s">
        <v>296</v>
      </c>
      <c r="B2977" s="58" t="s">
        <v>180</v>
      </c>
      <c r="C2977" s="58">
        <v>9</v>
      </c>
      <c r="D2977" s="58">
        <v>112</v>
      </c>
      <c r="E2977" s="59">
        <v>200.16679999999999</v>
      </c>
    </row>
    <row r="2978" spans="1:5" ht="15" x14ac:dyDescent="0.35">
      <c r="A2978" s="58" t="s">
        <v>296</v>
      </c>
      <c r="B2978" s="58" t="s">
        <v>180</v>
      </c>
      <c r="C2978" s="58">
        <v>10</v>
      </c>
      <c r="D2978" s="58">
        <v>113</v>
      </c>
      <c r="E2978" s="59">
        <v>200.16679999999999</v>
      </c>
    </row>
    <row r="2979" spans="1:5" ht="15" x14ac:dyDescent="0.35">
      <c r="A2979" s="58" t="s">
        <v>296</v>
      </c>
      <c r="B2979" s="58" t="s">
        <v>180</v>
      </c>
      <c r="C2979" s="58">
        <v>11</v>
      </c>
      <c r="D2979" s="58">
        <v>114</v>
      </c>
      <c r="E2979" s="59">
        <v>200.16679999999999</v>
      </c>
    </row>
    <row r="2980" spans="1:5" ht="15" x14ac:dyDescent="0.35">
      <c r="A2980" s="58" t="s">
        <v>296</v>
      </c>
      <c r="B2980" s="58" t="s">
        <v>180</v>
      </c>
      <c r="C2980" s="58">
        <v>12</v>
      </c>
      <c r="D2980" s="58">
        <v>115</v>
      </c>
      <c r="E2980" s="59">
        <v>200.16679999999999</v>
      </c>
    </row>
    <row r="2981" spans="1:5" ht="15" x14ac:dyDescent="0.35">
      <c r="A2981" s="58" t="s">
        <v>366</v>
      </c>
      <c r="B2981" s="58" t="s">
        <v>182</v>
      </c>
      <c r="C2981" s="58">
        <v>1</v>
      </c>
      <c r="D2981" s="58">
        <v>104</v>
      </c>
      <c r="E2981" s="59">
        <v>170.40719999999999</v>
      </c>
    </row>
    <row r="2982" spans="1:5" ht="15" x14ac:dyDescent="0.35">
      <c r="A2982" s="58" t="s">
        <v>366</v>
      </c>
      <c r="B2982" s="58" t="s">
        <v>182</v>
      </c>
      <c r="C2982" s="58">
        <v>2</v>
      </c>
      <c r="D2982" s="58">
        <v>105</v>
      </c>
      <c r="E2982" s="59">
        <v>42.5627</v>
      </c>
    </row>
    <row r="2983" spans="1:5" ht="15" x14ac:dyDescent="0.35">
      <c r="A2983" s="58" t="s">
        <v>366</v>
      </c>
      <c r="B2983" s="58" t="s">
        <v>182</v>
      </c>
      <c r="C2983" s="58">
        <v>3</v>
      </c>
      <c r="D2983" s="58">
        <v>106</v>
      </c>
      <c r="E2983" s="59">
        <v>37.629399999999997</v>
      </c>
    </row>
    <row r="2984" spans="1:5" ht="15" x14ac:dyDescent="0.35">
      <c r="A2984" s="58" t="s">
        <v>366</v>
      </c>
      <c r="B2984" s="58" t="s">
        <v>182</v>
      </c>
      <c r="C2984" s="58">
        <v>4</v>
      </c>
      <c r="D2984" s="58">
        <v>107</v>
      </c>
      <c r="E2984" s="59">
        <v>35.105600000000003</v>
      </c>
    </row>
    <row r="2985" spans="1:5" ht="15" x14ac:dyDescent="0.35">
      <c r="A2985" s="58" t="s">
        <v>366</v>
      </c>
      <c r="B2985" s="58" t="s">
        <v>182</v>
      </c>
      <c r="C2985" s="58">
        <v>5</v>
      </c>
      <c r="D2985" s="58">
        <v>108</v>
      </c>
      <c r="E2985" s="59">
        <v>37.087699999999998</v>
      </c>
    </row>
    <row r="2986" spans="1:5" ht="15" x14ac:dyDescent="0.35">
      <c r="A2986" s="58" t="s">
        <v>366</v>
      </c>
      <c r="B2986" s="58" t="s">
        <v>182</v>
      </c>
      <c r="C2986" s="58">
        <v>6</v>
      </c>
      <c r="D2986" s="58">
        <v>109</v>
      </c>
      <c r="E2986" s="59">
        <v>40.518300000000004</v>
      </c>
    </row>
    <row r="2987" spans="1:5" ht="15" x14ac:dyDescent="0.35">
      <c r="A2987" s="58" t="s">
        <v>366</v>
      </c>
      <c r="B2987" s="58" t="s">
        <v>182</v>
      </c>
      <c r="C2987" s="58">
        <v>7</v>
      </c>
      <c r="D2987" s="58">
        <v>110</v>
      </c>
      <c r="E2987" s="59">
        <v>29.5183</v>
      </c>
    </row>
    <row r="2988" spans="1:5" ht="15" x14ac:dyDescent="0.35">
      <c r="A2988" s="58" t="s">
        <v>366</v>
      </c>
      <c r="B2988" s="58" t="s">
        <v>182</v>
      </c>
      <c r="C2988" s="58">
        <v>8</v>
      </c>
      <c r="D2988" s="58">
        <v>111</v>
      </c>
      <c r="E2988" s="59">
        <v>29.5183</v>
      </c>
    </row>
    <row r="2989" spans="1:5" ht="15" x14ac:dyDescent="0.35">
      <c r="A2989" s="58" t="s">
        <v>366</v>
      </c>
      <c r="B2989" s="58" t="s">
        <v>182</v>
      </c>
      <c r="C2989" s="58">
        <v>9</v>
      </c>
      <c r="D2989" s="58">
        <v>112</v>
      </c>
      <c r="E2989" s="59">
        <v>40.073799999999999</v>
      </c>
    </row>
    <row r="2990" spans="1:5" ht="15" x14ac:dyDescent="0.35">
      <c r="A2990" s="58" t="s">
        <v>366</v>
      </c>
      <c r="B2990" s="58" t="s">
        <v>182</v>
      </c>
      <c r="C2990" s="58">
        <v>10</v>
      </c>
      <c r="D2990" s="58">
        <v>113</v>
      </c>
      <c r="E2990" s="59">
        <v>52.962699999999998</v>
      </c>
    </row>
    <row r="2991" spans="1:5" ht="15" x14ac:dyDescent="0.35">
      <c r="A2991" s="58" t="s">
        <v>366</v>
      </c>
      <c r="B2991" s="58" t="s">
        <v>182</v>
      </c>
      <c r="C2991" s="58">
        <v>11</v>
      </c>
      <c r="D2991" s="58">
        <v>114</v>
      </c>
      <c r="E2991" s="59">
        <v>74.851600000000005</v>
      </c>
    </row>
    <row r="2992" spans="1:5" ht="15" x14ac:dyDescent="0.35">
      <c r="A2992" s="58" t="s">
        <v>366</v>
      </c>
      <c r="B2992" s="58" t="s">
        <v>182</v>
      </c>
      <c r="C2992" s="58">
        <v>12</v>
      </c>
      <c r="D2992" s="58">
        <v>115</v>
      </c>
      <c r="E2992" s="59">
        <v>80.518299999999996</v>
      </c>
    </row>
    <row r="2993" spans="1:5" ht="15" x14ac:dyDescent="0.35">
      <c r="A2993" s="58" t="s">
        <v>366</v>
      </c>
      <c r="B2993" s="58" t="s">
        <v>176</v>
      </c>
      <c r="C2993" s="58">
        <v>1</v>
      </c>
      <c r="D2993" s="58">
        <v>104</v>
      </c>
      <c r="E2993" s="59">
        <v>148.75</v>
      </c>
    </row>
    <row r="2994" spans="1:5" ht="15" x14ac:dyDescent="0.35">
      <c r="A2994" s="58" t="s">
        <v>366</v>
      </c>
      <c r="B2994" s="58" t="s">
        <v>176</v>
      </c>
      <c r="C2994" s="58">
        <v>2</v>
      </c>
      <c r="D2994" s="58">
        <v>105</v>
      </c>
      <c r="E2994" s="59">
        <v>148.75</v>
      </c>
    </row>
    <row r="2995" spans="1:5" ht="15" x14ac:dyDescent="0.35">
      <c r="A2995" s="58" t="s">
        <v>366</v>
      </c>
      <c r="B2995" s="58" t="s">
        <v>176</v>
      </c>
      <c r="C2995" s="58">
        <v>3</v>
      </c>
      <c r="D2995" s="58">
        <v>106</v>
      </c>
      <c r="E2995" s="59">
        <v>148.75</v>
      </c>
    </row>
    <row r="2996" spans="1:5" ht="15" x14ac:dyDescent="0.35">
      <c r="A2996" s="58" t="s">
        <v>366</v>
      </c>
      <c r="B2996" s="58" t="s">
        <v>176</v>
      </c>
      <c r="C2996" s="58">
        <v>4</v>
      </c>
      <c r="D2996" s="58">
        <v>107</v>
      </c>
      <c r="E2996" s="59">
        <v>148.75</v>
      </c>
    </row>
    <row r="2997" spans="1:5" ht="15" x14ac:dyDescent="0.35">
      <c r="A2997" s="58" t="s">
        <v>366</v>
      </c>
      <c r="B2997" s="58" t="s">
        <v>176</v>
      </c>
      <c r="C2997" s="58">
        <v>5</v>
      </c>
      <c r="D2997" s="58">
        <v>108</v>
      </c>
      <c r="E2997" s="59">
        <v>148.75</v>
      </c>
    </row>
    <row r="2998" spans="1:5" ht="15" x14ac:dyDescent="0.35">
      <c r="A2998" s="58" t="s">
        <v>366</v>
      </c>
      <c r="B2998" s="58" t="s">
        <v>176</v>
      </c>
      <c r="C2998" s="58">
        <v>6</v>
      </c>
      <c r="D2998" s="58">
        <v>109</v>
      </c>
      <c r="E2998" s="59">
        <v>148.75</v>
      </c>
    </row>
    <row r="2999" spans="1:5" ht="15" x14ac:dyDescent="0.35">
      <c r="A2999" s="58" t="s">
        <v>366</v>
      </c>
      <c r="B2999" s="58" t="s">
        <v>176</v>
      </c>
      <c r="C2999" s="58">
        <v>7</v>
      </c>
      <c r="D2999" s="58">
        <v>110</v>
      </c>
      <c r="E2999" s="59">
        <v>148.75</v>
      </c>
    </row>
    <row r="3000" spans="1:5" ht="15" x14ac:dyDescent="0.35">
      <c r="A3000" s="58" t="s">
        <v>366</v>
      </c>
      <c r="B3000" s="58" t="s">
        <v>176</v>
      </c>
      <c r="C3000" s="58">
        <v>8</v>
      </c>
      <c r="D3000" s="58">
        <v>111</v>
      </c>
      <c r="E3000" s="59">
        <v>148.75</v>
      </c>
    </row>
    <row r="3001" spans="1:5" ht="15" x14ac:dyDescent="0.35">
      <c r="A3001" s="58" t="s">
        <v>366</v>
      </c>
      <c r="B3001" s="58" t="s">
        <v>176</v>
      </c>
      <c r="C3001" s="58">
        <v>9</v>
      </c>
      <c r="D3001" s="58">
        <v>112</v>
      </c>
      <c r="E3001" s="59">
        <v>148.75</v>
      </c>
    </row>
    <row r="3002" spans="1:5" ht="15" x14ac:dyDescent="0.35">
      <c r="A3002" s="58" t="s">
        <v>366</v>
      </c>
      <c r="B3002" s="58" t="s">
        <v>176</v>
      </c>
      <c r="C3002" s="58">
        <v>10</v>
      </c>
      <c r="D3002" s="58">
        <v>113</v>
      </c>
      <c r="E3002" s="59">
        <v>148.75</v>
      </c>
    </row>
    <row r="3003" spans="1:5" ht="15" x14ac:dyDescent="0.35">
      <c r="A3003" s="58" t="s">
        <v>366</v>
      </c>
      <c r="B3003" s="58" t="s">
        <v>176</v>
      </c>
      <c r="C3003" s="58">
        <v>11</v>
      </c>
      <c r="D3003" s="58">
        <v>114</v>
      </c>
      <c r="E3003" s="59">
        <v>148.75</v>
      </c>
    </row>
    <row r="3004" spans="1:5" ht="15" x14ac:dyDescent="0.35">
      <c r="A3004" s="58" t="s">
        <v>366</v>
      </c>
      <c r="B3004" s="58" t="s">
        <v>176</v>
      </c>
      <c r="C3004" s="58">
        <v>12</v>
      </c>
      <c r="D3004" s="58">
        <v>115</v>
      </c>
      <c r="E3004" s="59">
        <v>148.75</v>
      </c>
    </row>
    <row r="3005" spans="1:5" ht="15" x14ac:dyDescent="0.35">
      <c r="A3005" s="58" t="s">
        <v>366</v>
      </c>
      <c r="B3005" s="58" t="s">
        <v>172</v>
      </c>
      <c r="C3005" s="58">
        <v>1</v>
      </c>
      <c r="D3005" s="58">
        <v>104</v>
      </c>
      <c r="E3005" s="59">
        <v>0</v>
      </c>
    </row>
    <row r="3006" spans="1:5" ht="15" x14ac:dyDescent="0.35">
      <c r="A3006" s="58" t="s">
        <v>366</v>
      </c>
      <c r="B3006" s="58" t="s">
        <v>172</v>
      </c>
      <c r="C3006" s="58">
        <v>2</v>
      </c>
      <c r="D3006" s="58">
        <v>105</v>
      </c>
      <c r="E3006" s="59">
        <v>0</v>
      </c>
    </row>
    <row r="3007" spans="1:5" ht="15" x14ac:dyDescent="0.35">
      <c r="A3007" s="58" t="s">
        <v>366</v>
      </c>
      <c r="B3007" s="58" t="s">
        <v>172</v>
      </c>
      <c r="C3007" s="58">
        <v>3</v>
      </c>
      <c r="D3007" s="58">
        <v>106</v>
      </c>
      <c r="E3007" s="59">
        <v>0</v>
      </c>
    </row>
    <row r="3008" spans="1:5" ht="15" x14ac:dyDescent="0.35">
      <c r="A3008" s="58" t="s">
        <v>366</v>
      </c>
      <c r="B3008" s="58" t="s">
        <v>172</v>
      </c>
      <c r="C3008" s="58">
        <v>4</v>
      </c>
      <c r="D3008" s="58">
        <v>107</v>
      </c>
      <c r="E3008" s="59">
        <v>0</v>
      </c>
    </row>
    <row r="3009" spans="1:5" ht="15" x14ac:dyDescent="0.35">
      <c r="A3009" s="58" t="s">
        <v>366</v>
      </c>
      <c r="B3009" s="58" t="s">
        <v>172</v>
      </c>
      <c r="C3009" s="58">
        <v>5</v>
      </c>
      <c r="D3009" s="58">
        <v>108</v>
      </c>
      <c r="E3009" s="59">
        <v>0</v>
      </c>
    </row>
    <row r="3010" spans="1:5" ht="15" x14ac:dyDescent="0.35">
      <c r="A3010" s="58" t="s">
        <v>366</v>
      </c>
      <c r="B3010" s="58" t="s">
        <v>172</v>
      </c>
      <c r="C3010" s="58">
        <v>6</v>
      </c>
      <c r="D3010" s="58">
        <v>109</v>
      </c>
      <c r="E3010" s="59">
        <v>0</v>
      </c>
    </row>
    <row r="3011" spans="1:5" ht="15" x14ac:dyDescent="0.35">
      <c r="A3011" s="58" t="s">
        <v>366</v>
      </c>
      <c r="B3011" s="58" t="s">
        <v>172</v>
      </c>
      <c r="C3011" s="58">
        <v>7</v>
      </c>
      <c r="D3011" s="58">
        <v>110</v>
      </c>
      <c r="E3011" s="59">
        <v>0</v>
      </c>
    </row>
    <row r="3012" spans="1:5" ht="15" x14ac:dyDescent="0.35">
      <c r="A3012" s="58" t="s">
        <v>366</v>
      </c>
      <c r="B3012" s="58" t="s">
        <v>172</v>
      </c>
      <c r="C3012" s="58">
        <v>8</v>
      </c>
      <c r="D3012" s="58">
        <v>111</v>
      </c>
      <c r="E3012" s="59">
        <v>0</v>
      </c>
    </row>
    <row r="3013" spans="1:5" ht="15" x14ac:dyDescent="0.35">
      <c r="A3013" s="58" t="s">
        <v>366</v>
      </c>
      <c r="B3013" s="58" t="s">
        <v>172</v>
      </c>
      <c r="C3013" s="58">
        <v>9</v>
      </c>
      <c r="D3013" s="58">
        <v>112</v>
      </c>
      <c r="E3013" s="59">
        <v>0</v>
      </c>
    </row>
    <row r="3014" spans="1:5" ht="15" x14ac:dyDescent="0.35">
      <c r="A3014" s="58" t="s">
        <v>366</v>
      </c>
      <c r="B3014" s="58" t="s">
        <v>172</v>
      </c>
      <c r="C3014" s="58">
        <v>10</v>
      </c>
      <c r="D3014" s="58">
        <v>113</v>
      </c>
      <c r="E3014" s="59">
        <v>0</v>
      </c>
    </row>
    <row r="3015" spans="1:5" ht="15" x14ac:dyDescent="0.35">
      <c r="A3015" s="58" t="s">
        <v>366</v>
      </c>
      <c r="B3015" s="58" t="s">
        <v>172</v>
      </c>
      <c r="C3015" s="58">
        <v>11</v>
      </c>
      <c r="D3015" s="58">
        <v>114</v>
      </c>
      <c r="E3015" s="59">
        <v>0</v>
      </c>
    </row>
    <row r="3016" spans="1:5" ht="15" x14ac:dyDescent="0.35">
      <c r="A3016" s="58" t="s">
        <v>366</v>
      </c>
      <c r="B3016" s="58" t="s">
        <v>172</v>
      </c>
      <c r="C3016" s="58">
        <v>12</v>
      </c>
      <c r="D3016" s="58">
        <v>115</v>
      </c>
      <c r="E3016" s="59">
        <v>0</v>
      </c>
    </row>
    <row r="3017" spans="1:5" ht="15" x14ac:dyDescent="0.35">
      <c r="A3017" s="58" t="s">
        <v>366</v>
      </c>
      <c r="B3017" s="58" t="s">
        <v>180</v>
      </c>
      <c r="C3017" s="58">
        <v>1</v>
      </c>
      <c r="D3017" s="58">
        <v>104</v>
      </c>
      <c r="E3017" s="59">
        <v>43.630699999999997</v>
      </c>
    </row>
    <row r="3018" spans="1:5" ht="15" x14ac:dyDescent="0.35">
      <c r="A3018" s="58" t="s">
        <v>366</v>
      </c>
      <c r="B3018" s="58" t="s">
        <v>180</v>
      </c>
      <c r="C3018" s="58">
        <v>2</v>
      </c>
      <c r="D3018" s="58">
        <v>105</v>
      </c>
      <c r="E3018" s="59">
        <v>43.630699999999997</v>
      </c>
    </row>
    <row r="3019" spans="1:5" ht="15" x14ac:dyDescent="0.35">
      <c r="A3019" s="58" t="s">
        <v>366</v>
      </c>
      <c r="B3019" s="58" t="s">
        <v>180</v>
      </c>
      <c r="C3019" s="58">
        <v>3</v>
      </c>
      <c r="D3019" s="58">
        <v>106</v>
      </c>
      <c r="E3019" s="59">
        <v>43.630699999999997</v>
      </c>
    </row>
    <row r="3020" spans="1:5" ht="15" x14ac:dyDescent="0.35">
      <c r="A3020" s="58" t="s">
        <v>366</v>
      </c>
      <c r="B3020" s="58" t="s">
        <v>180</v>
      </c>
      <c r="C3020" s="58">
        <v>4</v>
      </c>
      <c r="D3020" s="58">
        <v>107</v>
      </c>
      <c r="E3020" s="59">
        <v>43.630699999999997</v>
      </c>
    </row>
    <row r="3021" spans="1:5" ht="15" x14ac:dyDescent="0.35">
      <c r="A3021" s="58" t="s">
        <v>366</v>
      </c>
      <c r="B3021" s="58" t="s">
        <v>180</v>
      </c>
      <c r="C3021" s="58">
        <v>5</v>
      </c>
      <c r="D3021" s="58">
        <v>108</v>
      </c>
      <c r="E3021" s="59">
        <v>43.630699999999997</v>
      </c>
    </row>
    <row r="3022" spans="1:5" ht="15" x14ac:dyDescent="0.35">
      <c r="A3022" s="58" t="s">
        <v>366</v>
      </c>
      <c r="B3022" s="58" t="s">
        <v>180</v>
      </c>
      <c r="C3022" s="58">
        <v>6</v>
      </c>
      <c r="D3022" s="58">
        <v>109</v>
      </c>
      <c r="E3022" s="59">
        <v>43.630699999999997</v>
      </c>
    </row>
    <row r="3023" spans="1:5" ht="15" x14ac:dyDescent="0.35">
      <c r="A3023" s="58" t="s">
        <v>366</v>
      </c>
      <c r="B3023" s="58" t="s">
        <v>180</v>
      </c>
      <c r="C3023" s="58">
        <v>7</v>
      </c>
      <c r="D3023" s="58">
        <v>110</v>
      </c>
      <c r="E3023" s="59">
        <v>43.630699999999997</v>
      </c>
    </row>
    <row r="3024" spans="1:5" ht="15" x14ac:dyDescent="0.35">
      <c r="A3024" s="58" t="s">
        <v>366</v>
      </c>
      <c r="B3024" s="58" t="s">
        <v>180</v>
      </c>
      <c r="C3024" s="58">
        <v>8</v>
      </c>
      <c r="D3024" s="58">
        <v>111</v>
      </c>
      <c r="E3024" s="59">
        <v>43.630699999999997</v>
      </c>
    </row>
    <row r="3025" spans="1:5" ht="15" x14ac:dyDescent="0.35">
      <c r="A3025" s="58" t="s">
        <v>366</v>
      </c>
      <c r="B3025" s="58" t="s">
        <v>180</v>
      </c>
      <c r="C3025" s="58">
        <v>9</v>
      </c>
      <c r="D3025" s="58">
        <v>112</v>
      </c>
      <c r="E3025" s="59">
        <v>43.630699999999997</v>
      </c>
    </row>
    <row r="3026" spans="1:5" ht="15" x14ac:dyDescent="0.35">
      <c r="A3026" s="58" t="s">
        <v>366</v>
      </c>
      <c r="B3026" s="58" t="s">
        <v>180</v>
      </c>
      <c r="C3026" s="58">
        <v>10</v>
      </c>
      <c r="D3026" s="58">
        <v>113</v>
      </c>
      <c r="E3026" s="59">
        <v>43.630699999999997</v>
      </c>
    </row>
    <row r="3027" spans="1:5" ht="15" x14ac:dyDescent="0.35">
      <c r="A3027" s="58" t="s">
        <v>366</v>
      </c>
      <c r="B3027" s="58" t="s">
        <v>180</v>
      </c>
      <c r="C3027" s="58">
        <v>11</v>
      </c>
      <c r="D3027" s="58">
        <v>114</v>
      </c>
      <c r="E3027" s="59">
        <v>43.630699999999997</v>
      </c>
    </row>
    <row r="3028" spans="1:5" ht="15" x14ac:dyDescent="0.35">
      <c r="A3028" s="58" t="s">
        <v>366</v>
      </c>
      <c r="B3028" s="58" t="s">
        <v>180</v>
      </c>
      <c r="C3028" s="58">
        <v>12</v>
      </c>
      <c r="D3028" s="58">
        <v>115</v>
      </c>
      <c r="E3028" s="59">
        <v>43.630699999999997</v>
      </c>
    </row>
    <row r="3029" spans="1:5" ht="15" x14ac:dyDescent="0.35">
      <c r="A3029" s="58" t="s">
        <v>358</v>
      </c>
      <c r="B3029" s="58" t="s">
        <v>182</v>
      </c>
      <c r="C3029" s="58">
        <v>1</v>
      </c>
      <c r="D3029" s="58">
        <v>104</v>
      </c>
      <c r="E3029" s="59">
        <v>279.00819999999999</v>
      </c>
    </row>
    <row r="3030" spans="1:5" ht="15" x14ac:dyDescent="0.35">
      <c r="A3030" s="58" t="s">
        <v>358</v>
      </c>
      <c r="B3030" s="58" t="s">
        <v>182</v>
      </c>
      <c r="C3030" s="58">
        <v>2</v>
      </c>
      <c r="D3030" s="58">
        <v>105</v>
      </c>
      <c r="E3030" s="59">
        <v>0</v>
      </c>
    </row>
    <row r="3031" spans="1:5" ht="15" x14ac:dyDescent="0.35">
      <c r="A3031" s="58" t="s">
        <v>358</v>
      </c>
      <c r="B3031" s="58" t="s">
        <v>182</v>
      </c>
      <c r="C3031" s="58">
        <v>3</v>
      </c>
      <c r="D3031" s="58">
        <v>106</v>
      </c>
      <c r="E3031" s="59">
        <v>0</v>
      </c>
    </row>
    <row r="3032" spans="1:5" ht="15" x14ac:dyDescent="0.35">
      <c r="A3032" s="58" t="s">
        <v>358</v>
      </c>
      <c r="B3032" s="58" t="s">
        <v>182</v>
      </c>
      <c r="C3032" s="58">
        <v>4</v>
      </c>
      <c r="D3032" s="58">
        <v>107</v>
      </c>
      <c r="E3032" s="59">
        <v>0</v>
      </c>
    </row>
    <row r="3033" spans="1:5" ht="15" x14ac:dyDescent="0.35">
      <c r="A3033" s="58" t="s">
        <v>358</v>
      </c>
      <c r="B3033" s="58" t="s">
        <v>182</v>
      </c>
      <c r="C3033" s="58">
        <v>5</v>
      </c>
      <c r="D3033" s="58">
        <v>108</v>
      </c>
      <c r="E3033" s="59">
        <v>0</v>
      </c>
    </row>
    <row r="3034" spans="1:5" ht="15" x14ac:dyDescent="0.35">
      <c r="A3034" s="58" t="s">
        <v>358</v>
      </c>
      <c r="B3034" s="58" t="s">
        <v>182</v>
      </c>
      <c r="C3034" s="58">
        <v>6</v>
      </c>
      <c r="D3034" s="58">
        <v>109</v>
      </c>
      <c r="E3034" s="59">
        <v>0</v>
      </c>
    </row>
    <row r="3035" spans="1:5" ht="15" x14ac:dyDescent="0.35">
      <c r="A3035" s="58" t="s">
        <v>358</v>
      </c>
      <c r="B3035" s="58" t="s">
        <v>182</v>
      </c>
      <c r="C3035" s="58">
        <v>7</v>
      </c>
      <c r="D3035" s="58">
        <v>110</v>
      </c>
      <c r="E3035" s="59">
        <v>0</v>
      </c>
    </row>
    <row r="3036" spans="1:5" ht="15" x14ac:dyDescent="0.35">
      <c r="A3036" s="58" t="s">
        <v>358</v>
      </c>
      <c r="B3036" s="58" t="s">
        <v>182</v>
      </c>
      <c r="C3036" s="58">
        <v>8</v>
      </c>
      <c r="D3036" s="58">
        <v>111</v>
      </c>
      <c r="E3036" s="59">
        <v>0</v>
      </c>
    </row>
    <row r="3037" spans="1:5" ht="15" x14ac:dyDescent="0.35">
      <c r="A3037" s="58" t="s">
        <v>358</v>
      </c>
      <c r="B3037" s="58" t="s">
        <v>182</v>
      </c>
      <c r="C3037" s="58">
        <v>9</v>
      </c>
      <c r="D3037" s="58">
        <v>112</v>
      </c>
      <c r="E3037" s="59">
        <v>0</v>
      </c>
    </row>
    <row r="3038" spans="1:5" ht="15" x14ac:dyDescent="0.35">
      <c r="A3038" s="58" t="s">
        <v>358</v>
      </c>
      <c r="B3038" s="58" t="s">
        <v>182</v>
      </c>
      <c r="C3038" s="58">
        <v>10</v>
      </c>
      <c r="D3038" s="58">
        <v>113</v>
      </c>
      <c r="E3038" s="59">
        <v>0</v>
      </c>
    </row>
    <row r="3039" spans="1:5" ht="15" x14ac:dyDescent="0.35">
      <c r="A3039" s="58" t="s">
        <v>358</v>
      </c>
      <c r="B3039" s="58" t="s">
        <v>182</v>
      </c>
      <c r="C3039" s="58">
        <v>11</v>
      </c>
      <c r="D3039" s="58">
        <v>114</v>
      </c>
      <c r="E3039" s="59">
        <v>0</v>
      </c>
    </row>
    <row r="3040" spans="1:5" ht="15" x14ac:dyDescent="0.35">
      <c r="A3040" s="58" t="s">
        <v>358</v>
      </c>
      <c r="B3040" s="58" t="s">
        <v>182</v>
      </c>
      <c r="C3040" s="58">
        <v>12</v>
      </c>
      <c r="D3040" s="58">
        <v>115</v>
      </c>
      <c r="E3040" s="59">
        <v>0</v>
      </c>
    </row>
    <row r="3041" spans="1:5" ht="15" x14ac:dyDescent="0.35">
      <c r="A3041" s="58" t="s">
        <v>358</v>
      </c>
      <c r="B3041" s="58" t="s">
        <v>176</v>
      </c>
      <c r="C3041" s="58">
        <v>1</v>
      </c>
      <c r="D3041" s="58">
        <v>104</v>
      </c>
      <c r="E3041" s="59">
        <v>235.625</v>
      </c>
    </row>
    <row r="3042" spans="1:5" ht="15" x14ac:dyDescent="0.35">
      <c r="A3042" s="58" t="s">
        <v>358</v>
      </c>
      <c r="B3042" s="58" t="s">
        <v>176</v>
      </c>
      <c r="C3042" s="58">
        <v>2</v>
      </c>
      <c r="D3042" s="58">
        <v>105</v>
      </c>
      <c r="E3042" s="59">
        <v>235.625</v>
      </c>
    </row>
    <row r="3043" spans="1:5" ht="15" x14ac:dyDescent="0.35">
      <c r="A3043" s="58" t="s">
        <v>358</v>
      </c>
      <c r="B3043" s="58" t="s">
        <v>176</v>
      </c>
      <c r="C3043" s="58">
        <v>3</v>
      </c>
      <c r="D3043" s="58">
        <v>106</v>
      </c>
      <c r="E3043" s="59">
        <v>235.625</v>
      </c>
    </row>
    <row r="3044" spans="1:5" ht="15" x14ac:dyDescent="0.35">
      <c r="A3044" s="58" t="s">
        <v>358</v>
      </c>
      <c r="B3044" s="58" t="s">
        <v>176</v>
      </c>
      <c r="C3044" s="58">
        <v>4</v>
      </c>
      <c r="D3044" s="58">
        <v>107</v>
      </c>
      <c r="E3044" s="59">
        <v>235.625</v>
      </c>
    </row>
    <row r="3045" spans="1:5" ht="15" x14ac:dyDescent="0.35">
      <c r="A3045" s="58" t="s">
        <v>358</v>
      </c>
      <c r="B3045" s="58" t="s">
        <v>176</v>
      </c>
      <c r="C3045" s="58">
        <v>5</v>
      </c>
      <c r="D3045" s="58">
        <v>108</v>
      </c>
      <c r="E3045" s="59">
        <v>235.625</v>
      </c>
    </row>
    <row r="3046" spans="1:5" ht="15" x14ac:dyDescent="0.35">
      <c r="A3046" s="58" t="s">
        <v>358</v>
      </c>
      <c r="B3046" s="58" t="s">
        <v>176</v>
      </c>
      <c r="C3046" s="58">
        <v>6</v>
      </c>
      <c r="D3046" s="58">
        <v>109</v>
      </c>
      <c r="E3046" s="59">
        <v>235.625</v>
      </c>
    </row>
    <row r="3047" spans="1:5" ht="15" x14ac:dyDescent="0.35">
      <c r="A3047" s="58" t="s">
        <v>358</v>
      </c>
      <c r="B3047" s="58" t="s">
        <v>176</v>
      </c>
      <c r="C3047" s="58">
        <v>7</v>
      </c>
      <c r="D3047" s="58">
        <v>110</v>
      </c>
      <c r="E3047" s="59">
        <v>235.625</v>
      </c>
    </row>
    <row r="3048" spans="1:5" ht="15" x14ac:dyDescent="0.35">
      <c r="A3048" s="58" t="s">
        <v>358</v>
      </c>
      <c r="B3048" s="58" t="s">
        <v>176</v>
      </c>
      <c r="C3048" s="58">
        <v>8</v>
      </c>
      <c r="D3048" s="58">
        <v>111</v>
      </c>
      <c r="E3048" s="59">
        <v>235.625</v>
      </c>
    </row>
    <row r="3049" spans="1:5" ht="15" x14ac:dyDescent="0.35">
      <c r="A3049" s="58" t="s">
        <v>358</v>
      </c>
      <c r="B3049" s="58" t="s">
        <v>176</v>
      </c>
      <c r="C3049" s="58">
        <v>9</v>
      </c>
      <c r="D3049" s="58">
        <v>112</v>
      </c>
      <c r="E3049" s="59">
        <v>235.625</v>
      </c>
    </row>
    <row r="3050" spans="1:5" ht="15" x14ac:dyDescent="0.35">
      <c r="A3050" s="58" t="s">
        <v>358</v>
      </c>
      <c r="B3050" s="58" t="s">
        <v>176</v>
      </c>
      <c r="C3050" s="58">
        <v>10</v>
      </c>
      <c r="D3050" s="58">
        <v>113</v>
      </c>
      <c r="E3050" s="59">
        <v>235.625</v>
      </c>
    </row>
    <row r="3051" spans="1:5" ht="15" x14ac:dyDescent="0.35">
      <c r="A3051" s="58" t="s">
        <v>358</v>
      </c>
      <c r="B3051" s="58" t="s">
        <v>176</v>
      </c>
      <c r="C3051" s="58">
        <v>11</v>
      </c>
      <c r="D3051" s="58">
        <v>114</v>
      </c>
      <c r="E3051" s="59">
        <v>235.625</v>
      </c>
    </row>
    <row r="3052" spans="1:5" ht="15" x14ac:dyDescent="0.35">
      <c r="A3052" s="58" t="s">
        <v>358</v>
      </c>
      <c r="B3052" s="58" t="s">
        <v>176</v>
      </c>
      <c r="C3052" s="58">
        <v>12</v>
      </c>
      <c r="D3052" s="58">
        <v>115</v>
      </c>
      <c r="E3052" s="59">
        <v>235.625</v>
      </c>
    </row>
    <row r="3053" spans="1:5" ht="15" x14ac:dyDescent="0.35">
      <c r="A3053" s="58" t="s">
        <v>358</v>
      </c>
      <c r="B3053" s="58" t="s">
        <v>172</v>
      </c>
      <c r="C3053" s="58">
        <v>1</v>
      </c>
      <c r="D3053" s="58">
        <v>104</v>
      </c>
      <c r="E3053" s="59">
        <v>270</v>
      </c>
    </row>
    <row r="3054" spans="1:5" ht="15" x14ac:dyDescent="0.35">
      <c r="A3054" s="58" t="s">
        <v>358</v>
      </c>
      <c r="B3054" s="58" t="s">
        <v>172</v>
      </c>
      <c r="C3054" s="58">
        <v>2</v>
      </c>
      <c r="D3054" s="58">
        <v>105</v>
      </c>
      <c r="E3054" s="59">
        <v>270</v>
      </c>
    </row>
    <row r="3055" spans="1:5" ht="15" x14ac:dyDescent="0.35">
      <c r="A3055" s="58" t="s">
        <v>358</v>
      </c>
      <c r="B3055" s="58" t="s">
        <v>172</v>
      </c>
      <c r="C3055" s="58">
        <v>3</v>
      </c>
      <c r="D3055" s="58">
        <v>106</v>
      </c>
      <c r="E3055" s="59">
        <v>270</v>
      </c>
    </row>
    <row r="3056" spans="1:5" ht="15" x14ac:dyDescent="0.35">
      <c r="A3056" s="58" t="s">
        <v>358</v>
      </c>
      <c r="B3056" s="58" t="s">
        <v>172</v>
      </c>
      <c r="C3056" s="58">
        <v>4</v>
      </c>
      <c r="D3056" s="58">
        <v>107</v>
      </c>
      <c r="E3056" s="59">
        <v>270</v>
      </c>
    </row>
    <row r="3057" spans="1:5" ht="15" x14ac:dyDescent="0.35">
      <c r="A3057" s="58" t="s">
        <v>358</v>
      </c>
      <c r="B3057" s="58" t="s">
        <v>172</v>
      </c>
      <c r="C3057" s="58">
        <v>5</v>
      </c>
      <c r="D3057" s="58">
        <v>108</v>
      </c>
      <c r="E3057" s="59">
        <v>270</v>
      </c>
    </row>
    <row r="3058" spans="1:5" ht="15" x14ac:dyDescent="0.35">
      <c r="A3058" s="58" t="s">
        <v>358</v>
      </c>
      <c r="B3058" s="58" t="s">
        <v>172</v>
      </c>
      <c r="C3058" s="58">
        <v>6</v>
      </c>
      <c r="D3058" s="58">
        <v>109</v>
      </c>
      <c r="E3058" s="59">
        <v>270</v>
      </c>
    </row>
    <row r="3059" spans="1:5" ht="15" x14ac:dyDescent="0.35">
      <c r="A3059" s="58" t="s">
        <v>358</v>
      </c>
      <c r="B3059" s="58" t="s">
        <v>172</v>
      </c>
      <c r="C3059" s="58">
        <v>7</v>
      </c>
      <c r="D3059" s="58">
        <v>110</v>
      </c>
      <c r="E3059" s="59">
        <v>270</v>
      </c>
    </row>
    <row r="3060" spans="1:5" ht="15" x14ac:dyDescent="0.35">
      <c r="A3060" s="58" t="s">
        <v>358</v>
      </c>
      <c r="B3060" s="58" t="s">
        <v>172</v>
      </c>
      <c r="C3060" s="58">
        <v>8</v>
      </c>
      <c r="D3060" s="58">
        <v>111</v>
      </c>
      <c r="E3060" s="59">
        <v>270</v>
      </c>
    </row>
    <row r="3061" spans="1:5" ht="15" x14ac:dyDescent="0.35">
      <c r="A3061" s="58" t="s">
        <v>358</v>
      </c>
      <c r="B3061" s="58" t="s">
        <v>172</v>
      </c>
      <c r="C3061" s="58">
        <v>9</v>
      </c>
      <c r="D3061" s="58">
        <v>112</v>
      </c>
      <c r="E3061" s="59">
        <v>270</v>
      </c>
    </row>
    <row r="3062" spans="1:5" ht="15" x14ac:dyDescent="0.35">
      <c r="A3062" s="58" t="s">
        <v>358</v>
      </c>
      <c r="B3062" s="58" t="s">
        <v>172</v>
      </c>
      <c r="C3062" s="58">
        <v>10</v>
      </c>
      <c r="D3062" s="58">
        <v>113</v>
      </c>
      <c r="E3062" s="59">
        <v>270</v>
      </c>
    </row>
    <row r="3063" spans="1:5" ht="15" x14ac:dyDescent="0.35">
      <c r="A3063" s="58" t="s">
        <v>358</v>
      </c>
      <c r="B3063" s="58" t="s">
        <v>172</v>
      </c>
      <c r="C3063" s="58">
        <v>11</v>
      </c>
      <c r="D3063" s="58">
        <v>114</v>
      </c>
      <c r="E3063" s="59">
        <v>270</v>
      </c>
    </row>
    <row r="3064" spans="1:5" ht="15" x14ac:dyDescent="0.35">
      <c r="A3064" s="58" t="s">
        <v>358</v>
      </c>
      <c r="B3064" s="58" t="s">
        <v>172</v>
      </c>
      <c r="C3064" s="58">
        <v>12</v>
      </c>
      <c r="D3064" s="58">
        <v>115</v>
      </c>
      <c r="E3064" s="59">
        <v>270</v>
      </c>
    </row>
    <row r="3065" spans="1:5" ht="15" x14ac:dyDescent="0.35">
      <c r="A3065" s="58" t="s">
        <v>358</v>
      </c>
      <c r="B3065" s="58" t="s">
        <v>180</v>
      </c>
      <c r="C3065" s="58">
        <v>1</v>
      </c>
      <c r="D3065" s="58">
        <v>104</v>
      </c>
      <c r="E3065" s="59">
        <v>332.37130000000002</v>
      </c>
    </row>
    <row r="3066" spans="1:5" ht="15" x14ac:dyDescent="0.35">
      <c r="A3066" s="58" t="s">
        <v>358</v>
      </c>
      <c r="B3066" s="58" t="s">
        <v>180</v>
      </c>
      <c r="C3066" s="58">
        <v>2</v>
      </c>
      <c r="D3066" s="58">
        <v>105</v>
      </c>
      <c r="E3066" s="59">
        <v>332.37130000000002</v>
      </c>
    </row>
    <row r="3067" spans="1:5" ht="15" x14ac:dyDescent="0.35">
      <c r="A3067" s="58" t="s">
        <v>358</v>
      </c>
      <c r="B3067" s="58" t="s">
        <v>180</v>
      </c>
      <c r="C3067" s="58">
        <v>3</v>
      </c>
      <c r="D3067" s="58">
        <v>106</v>
      </c>
      <c r="E3067" s="59">
        <v>332.37130000000002</v>
      </c>
    </row>
    <row r="3068" spans="1:5" ht="15" x14ac:dyDescent="0.35">
      <c r="A3068" s="58" t="s">
        <v>358</v>
      </c>
      <c r="B3068" s="58" t="s">
        <v>180</v>
      </c>
      <c r="C3068" s="58">
        <v>4</v>
      </c>
      <c r="D3068" s="58">
        <v>107</v>
      </c>
      <c r="E3068" s="59">
        <v>332.37130000000002</v>
      </c>
    </row>
    <row r="3069" spans="1:5" ht="15" x14ac:dyDescent="0.35">
      <c r="A3069" s="58" t="s">
        <v>358</v>
      </c>
      <c r="B3069" s="58" t="s">
        <v>180</v>
      </c>
      <c r="C3069" s="58">
        <v>5</v>
      </c>
      <c r="D3069" s="58">
        <v>108</v>
      </c>
      <c r="E3069" s="59">
        <v>332.37130000000002</v>
      </c>
    </row>
    <row r="3070" spans="1:5" ht="15" x14ac:dyDescent="0.35">
      <c r="A3070" s="58" t="s">
        <v>358</v>
      </c>
      <c r="B3070" s="58" t="s">
        <v>180</v>
      </c>
      <c r="C3070" s="58">
        <v>6</v>
      </c>
      <c r="D3070" s="58">
        <v>109</v>
      </c>
      <c r="E3070" s="59">
        <v>332.37130000000002</v>
      </c>
    </row>
    <row r="3071" spans="1:5" ht="15" x14ac:dyDescent="0.35">
      <c r="A3071" s="58" t="s">
        <v>358</v>
      </c>
      <c r="B3071" s="58" t="s">
        <v>180</v>
      </c>
      <c r="C3071" s="58">
        <v>7</v>
      </c>
      <c r="D3071" s="58">
        <v>110</v>
      </c>
      <c r="E3071" s="59">
        <v>332.37130000000002</v>
      </c>
    </row>
    <row r="3072" spans="1:5" ht="15" x14ac:dyDescent="0.35">
      <c r="A3072" s="58" t="s">
        <v>358</v>
      </c>
      <c r="B3072" s="58" t="s">
        <v>180</v>
      </c>
      <c r="C3072" s="58">
        <v>8</v>
      </c>
      <c r="D3072" s="58">
        <v>111</v>
      </c>
      <c r="E3072" s="59">
        <v>332.37130000000002</v>
      </c>
    </row>
    <row r="3073" spans="1:5" ht="15" x14ac:dyDescent="0.35">
      <c r="A3073" s="58" t="s">
        <v>358</v>
      </c>
      <c r="B3073" s="58" t="s">
        <v>180</v>
      </c>
      <c r="C3073" s="58">
        <v>9</v>
      </c>
      <c r="D3073" s="58">
        <v>112</v>
      </c>
      <c r="E3073" s="59">
        <v>332.37130000000002</v>
      </c>
    </row>
    <row r="3074" spans="1:5" ht="15" x14ac:dyDescent="0.35">
      <c r="A3074" s="58" t="s">
        <v>358</v>
      </c>
      <c r="B3074" s="58" t="s">
        <v>180</v>
      </c>
      <c r="C3074" s="58">
        <v>10</v>
      </c>
      <c r="D3074" s="58">
        <v>113</v>
      </c>
      <c r="E3074" s="59">
        <v>332.37130000000002</v>
      </c>
    </row>
    <row r="3075" spans="1:5" ht="15" x14ac:dyDescent="0.35">
      <c r="A3075" s="58" t="s">
        <v>358</v>
      </c>
      <c r="B3075" s="58" t="s">
        <v>180</v>
      </c>
      <c r="C3075" s="58">
        <v>11</v>
      </c>
      <c r="D3075" s="58">
        <v>114</v>
      </c>
      <c r="E3075" s="59">
        <v>332.37130000000002</v>
      </c>
    </row>
    <row r="3076" spans="1:5" ht="15" x14ac:dyDescent="0.35">
      <c r="A3076" s="58" t="s">
        <v>358</v>
      </c>
      <c r="B3076" s="58" t="s">
        <v>180</v>
      </c>
      <c r="C3076" s="58">
        <v>12</v>
      </c>
      <c r="D3076" s="58">
        <v>115</v>
      </c>
      <c r="E3076" s="59">
        <v>332.37130000000002</v>
      </c>
    </row>
    <row r="3077" spans="1:5" ht="15" x14ac:dyDescent="0.35">
      <c r="A3077" s="58" t="s">
        <v>352</v>
      </c>
      <c r="B3077" s="58" t="s">
        <v>182</v>
      </c>
      <c r="C3077" s="58">
        <v>1</v>
      </c>
      <c r="D3077" s="58">
        <v>104</v>
      </c>
      <c r="E3077" s="59">
        <v>31.902100000000001</v>
      </c>
    </row>
    <row r="3078" spans="1:5" ht="15" x14ac:dyDescent="0.35">
      <c r="A3078" s="58" t="s">
        <v>352</v>
      </c>
      <c r="B3078" s="58" t="s">
        <v>182</v>
      </c>
      <c r="C3078" s="58">
        <v>2</v>
      </c>
      <c r="D3078" s="58">
        <v>105</v>
      </c>
      <c r="E3078" s="59">
        <v>7.9687000000000001</v>
      </c>
    </row>
    <row r="3079" spans="1:5" ht="15" x14ac:dyDescent="0.35">
      <c r="A3079" s="58" t="s">
        <v>352</v>
      </c>
      <c r="B3079" s="58" t="s">
        <v>182</v>
      </c>
      <c r="C3079" s="58">
        <v>3</v>
      </c>
      <c r="D3079" s="58">
        <v>106</v>
      </c>
      <c r="E3079" s="59">
        <v>8.0686999999999998</v>
      </c>
    </row>
    <row r="3080" spans="1:5" ht="15" x14ac:dyDescent="0.35">
      <c r="A3080" s="58" t="s">
        <v>352</v>
      </c>
      <c r="B3080" s="58" t="s">
        <v>182</v>
      </c>
      <c r="C3080" s="58">
        <v>4</v>
      </c>
      <c r="D3080" s="58">
        <v>107</v>
      </c>
      <c r="E3080" s="59">
        <v>8.1402000000000001</v>
      </c>
    </row>
    <row r="3081" spans="1:5" ht="15" x14ac:dyDescent="0.35">
      <c r="A3081" s="58" t="s">
        <v>352</v>
      </c>
      <c r="B3081" s="58" t="s">
        <v>182</v>
      </c>
      <c r="C3081" s="58">
        <v>5</v>
      </c>
      <c r="D3081" s="58">
        <v>108</v>
      </c>
      <c r="E3081" s="59">
        <v>8.9436999999999998</v>
      </c>
    </row>
    <row r="3082" spans="1:5" ht="15" x14ac:dyDescent="0.35">
      <c r="A3082" s="58" t="s">
        <v>352</v>
      </c>
      <c r="B3082" s="58" t="s">
        <v>182</v>
      </c>
      <c r="C3082" s="58">
        <v>6</v>
      </c>
      <c r="D3082" s="58">
        <v>109</v>
      </c>
      <c r="E3082" s="59">
        <v>9.1242999999999999</v>
      </c>
    </row>
    <row r="3083" spans="1:5" ht="15" x14ac:dyDescent="0.35">
      <c r="A3083" s="58" t="s">
        <v>352</v>
      </c>
      <c r="B3083" s="58" t="s">
        <v>182</v>
      </c>
      <c r="C3083" s="58">
        <v>7</v>
      </c>
      <c r="D3083" s="58">
        <v>110</v>
      </c>
      <c r="E3083" s="59">
        <v>7.3464999999999998</v>
      </c>
    </row>
    <row r="3084" spans="1:5" ht="15" x14ac:dyDescent="0.35">
      <c r="A3084" s="58" t="s">
        <v>352</v>
      </c>
      <c r="B3084" s="58" t="s">
        <v>182</v>
      </c>
      <c r="C3084" s="58">
        <v>8</v>
      </c>
      <c r="D3084" s="58">
        <v>111</v>
      </c>
      <c r="E3084" s="59">
        <v>7.7908999999999997</v>
      </c>
    </row>
    <row r="3085" spans="1:5" ht="15" x14ac:dyDescent="0.35">
      <c r="A3085" s="58" t="s">
        <v>352</v>
      </c>
      <c r="B3085" s="58" t="s">
        <v>182</v>
      </c>
      <c r="C3085" s="58">
        <v>9</v>
      </c>
      <c r="D3085" s="58">
        <v>112</v>
      </c>
      <c r="E3085" s="59">
        <v>8.5686999999999998</v>
      </c>
    </row>
    <row r="3086" spans="1:5" ht="15" x14ac:dyDescent="0.35">
      <c r="A3086" s="58" t="s">
        <v>352</v>
      </c>
      <c r="B3086" s="58" t="s">
        <v>182</v>
      </c>
      <c r="C3086" s="58">
        <v>10</v>
      </c>
      <c r="D3086" s="58">
        <v>113</v>
      </c>
      <c r="E3086" s="59">
        <v>9.7909000000000006</v>
      </c>
    </row>
    <row r="3087" spans="1:5" ht="15" x14ac:dyDescent="0.35">
      <c r="A3087" s="58" t="s">
        <v>352</v>
      </c>
      <c r="B3087" s="58" t="s">
        <v>182</v>
      </c>
      <c r="C3087" s="58">
        <v>11</v>
      </c>
      <c r="D3087" s="58">
        <v>114</v>
      </c>
      <c r="E3087" s="59">
        <v>11.5687</v>
      </c>
    </row>
    <row r="3088" spans="1:5" ht="15" x14ac:dyDescent="0.35">
      <c r="A3088" s="58" t="s">
        <v>352</v>
      </c>
      <c r="B3088" s="58" t="s">
        <v>182</v>
      </c>
      <c r="C3088" s="58">
        <v>12</v>
      </c>
      <c r="D3088" s="58">
        <v>115</v>
      </c>
      <c r="E3088" s="59">
        <v>11.1243</v>
      </c>
    </row>
    <row r="3089" spans="1:5" ht="15" x14ac:dyDescent="0.35">
      <c r="A3089" s="58" t="s">
        <v>352</v>
      </c>
      <c r="B3089" s="58" t="s">
        <v>176</v>
      </c>
      <c r="C3089" s="58">
        <v>1</v>
      </c>
      <c r="D3089" s="58">
        <v>104</v>
      </c>
      <c r="E3089" s="59">
        <v>12.875</v>
      </c>
    </row>
    <row r="3090" spans="1:5" ht="15" x14ac:dyDescent="0.35">
      <c r="A3090" s="58" t="s">
        <v>352</v>
      </c>
      <c r="B3090" s="58" t="s">
        <v>176</v>
      </c>
      <c r="C3090" s="58">
        <v>2</v>
      </c>
      <c r="D3090" s="58">
        <v>105</v>
      </c>
      <c r="E3090" s="59">
        <v>12.875</v>
      </c>
    </row>
    <row r="3091" spans="1:5" ht="15" x14ac:dyDescent="0.35">
      <c r="A3091" s="58" t="s">
        <v>352</v>
      </c>
      <c r="B3091" s="58" t="s">
        <v>176</v>
      </c>
      <c r="C3091" s="58">
        <v>3</v>
      </c>
      <c r="D3091" s="58">
        <v>106</v>
      </c>
      <c r="E3091" s="59">
        <v>12.875</v>
      </c>
    </row>
    <row r="3092" spans="1:5" ht="15" x14ac:dyDescent="0.35">
      <c r="A3092" s="58" t="s">
        <v>352</v>
      </c>
      <c r="B3092" s="58" t="s">
        <v>176</v>
      </c>
      <c r="C3092" s="58">
        <v>4</v>
      </c>
      <c r="D3092" s="58">
        <v>107</v>
      </c>
      <c r="E3092" s="59">
        <v>12.875</v>
      </c>
    </row>
    <row r="3093" spans="1:5" ht="15" x14ac:dyDescent="0.35">
      <c r="A3093" s="58" t="s">
        <v>352</v>
      </c>
      <c r="B3093" s="58" t="s">
        <v>176</v>
      </c>
      <c r="C3093" s="58">
        <v>5</v>
      </c>
      <c r="D3093" s="58">
        <v>108</v>
      </c>
      <c r="E3093" s="59">
        <v>12.875</v>
      </c>
    </row>
    <row r="3094" spans="1:5" ht="15" x14ac:dyDescent="0.35">
      <c r="A3094" s="58" t="s">
        <v>352</v>
      </c>
      <c r="B3094" s="58" t="s">
        <v>176</v>
      </c>
      <c r="C3094" s="58">
        <v>6</v>
      </c>
      <c r="D3094" s="58">
        <v>109</v>
      </c>
      <c r="E3094" s="59">
        <v>12.875</v>
      </c>
    </row>
    <row r="3095" spans="1:5" ht="15" x14ac:dyDescent="0.35">
      <c r="A3095" s="58" t="s">
        <v>352</v>
      </c>
      <c r="B3095" s="58" t="s">
        <v>176</v>
      </c>
      <c r="C3095" s="58">
        <v>7</v>
      </c>
      <c r="D3095" s="58">
        <v>110</v>
      </c>
      <c r="E3095" s="59">
        <v>12.875</v>
      </c>
    </row>
    <row r="3096" spans="1:5" ht="15" x14ac:dyDescent="0.35">
      <c r="A3096" s="58" t="s">
        <v>352</v>
      </c>
      <c r="B3096" s="58" t="s">
        <v>176</v>
      </c>
      <c r="C3096" s="58">
        <v>8</v>
      </c>
      <c r="D3096" s="58">
        <v>111</v>
      </c>
      <c r="E3096" s="59">
        <v>12.875</v>
      </c>
    </row>
    <row r="3097" spans="1:5" ht="15" x14ac:dyDescent="0.35">
      <c r="A3097" s="58" t="s">
        <v>352</v>
      </c>
      <c r="B3097" s="58" t="s">
        <v>176</v>
      </c>
      <c r="C3097" s="58">
        <v>9</v>
      </c>
      <c r="D3097" s="58">
        <v>112</v>
      </c>
      <c r="E3097" s="59">
        <v>12.875</v>
      </c>
    </row>
    <row r="3098" spans="1:5" ht="15" x14ac:dyDescent="0.35">
      <c r="A3098" s="58" t="s">
        <v>352</v>
      </c>
      <c r="B3098" s="58" t="s">
        <v>176</v>
      </c>
      <c r="C3098" s="58">
        <v>10</v>
      </c>
      <c r="D3098" s="58">
        <v>113</v>
      </c>
      <c r="E3098" s="59">
        <v>12.875</v>
      </c>
    </row>
    <row r="3099" spans="1:5" ht="15" x14ac:dyDescent="0.35">
      <c r="A3099" s="58" t="s">
        <v>352</v>
      </c>
      <c r="B3099" s="58" t="s">
        <v>176</v>
      </c>
      <c r="C3099" s="58">
        <v>11</v>
      </c>
      <c r="D3099" s="58">
        <v>114</v>
      </c>
      <c r="E3099" s="59">
        <v>12.875</v>
      </c>
    </row>
    <row r="3100" spans="1:5" ht="15" x14ac:dyDescent="0.35">
      <c r="A3100" s="58" t="s">
        <v>352</v>
      </c>
      <c r="B3100" s="58" t="s">
        <v>176</v>
      </c>
      <c r="C3100" s="58">
        <v>12</v>
      </c>
      <c r="D3100" s="58">
        <v>115</v>
      </c>
      <c r="E3100" s="59">
        <v>12.875</v>
      </c>
    </row>
    <row r="3101" spans="1:5" ht="15" x14ac:dyDescent="0.35">
      <c r="A3101" s="58" t="s">
        <v>352</v>
      </c>
      <c r="B3101" s="58" t="s">
        <v>172</v>
      </c>
      <c r="C3101" s="58">
        <v>1</v>
      </c>
      <c r="D3101" s="58">
        <v>104</v>
      </c>
      <c r="E3101" s="59">
        <v>27</v>
      </c>
    </row>
    <row r="3102" spans="1:5" ht="15" x14ac:dyDescent="0.35">
      <c r="A3102" s="58" t="s">
        <v>352</v>
      </c>
      <c r="B3102" s="58" t="s">
        <v>172</v>
      </c>
      <c r="C3102" s="58">
        <v>2</v>
      </c>
      <c r="D3102" s="58">
        <v>105</v>
      </c>
      <c r="E3102" s="59">
        <v>27</v>
      </c>
    </row>
    <row r="3103" spans="1:5" ht="15" x14ac:dyDescent="0.35">
      <c r="A3103" s="58" t="s">
        <v>352</v>
      </c>
      <c r="B3103" s="58" t="s">
        <v>172</v>
      </c>
      <c r="C3103" s="58">
        <v>3</v>
      </c>
      <c r="D3103" s="58">
        <v>106</v>
      </c>
      <c r="E3103" s="59">
        <v>27</v>
      </c>
    </row>
    <row r="3104" spans="1:5" ht="15" x14ac:dyDescent="0.35">
      <c r="A3104" s="58" t="s">
        <v>352</v>
      </c>
      <c r="B3104" s="58" t="s">
        <v>172</v>
      </c>
      <c r="C3104" s="58">
        <v>4</v>
      </c>
      <c r="D3104" s="58">
        <v>107</v>
      </c>
      <c r="E3104" s="59">
        <v>27</v>
      </c>
    </row>
    <row r="3105" spans="1:5" ht="15" x14ac:dyDescent="0.35">
      <c r="A3105" s="58" t="s">
        <v>352</v>
      </c>
      <c r="B3105" s="58" t="s">
        <v>172</v>
      </c>
      <c r="C3105" s="58">
        <v>5</v>
      </c>
      <c r="D3105" s="58">
        <v>108</v>
      </c>
      <c r="E3105" s="59">
        <v>27</v>
      </c>
    </row>
    <row r="3106" spans="1:5" ht="15" x14ac:dyDescent="0.35">
      <c r="A3106" s="58" t="s">
        <v>352</v>
      </c>
      <c r="B3106" s="58" t="s">
        <v>172</v>
      </c>
      <c r="C3106" s="58">
        <v>6</v>
      </c>
      <c r="D3106" s="58">
        <v>109</v>
      </c>
      <c r="E3106" s="59">
        <v>27</v>
      </c>
    </row>
    <row r="3107" spans="1:5" ht="15" x14ac:dyDescent="0.35">
      <c r="A3107" s="58" t="s">
        <v>352</v>
      </c>
      <c r="B3107" s="58" t="s">
        <v>172</v>
      </c>
      <c r="C3107" s="58">
        <v>7</v>
      </c>
      <c r="D3107" s="58">
        <v>110</v>
      </c>
      <c r="E3107" s="59">
        <v>27</v>
      </c>
    </row>
    <row r="3108" spans="1:5" ht="15" x14ac:dyDescent="0.35">
      <c r="A3108" s="58" t="s">
        <v>352</v>
      </c>
      <c r="B3108" s="58" t="s">
        <v>172</v>
      </c>
      <c r="C3108" s="58">
        <v>8</v>
      </c>
      <c r="D3108" s="58">
        <v>111</v>
      </c>
      <c r="E3108" s="59">
        <v>27</v>
      </c>
    </row>
    <row r="3109" spans="1:5" ht="15" x14ac:dyDescent="0.35">
      <c r="A3109" s="58" t="s">
        <v>352</v>
      </c>
      <c r="B3109" s="58" t="s">
        <v>172</v>
      </c>
      <c r="C3109" s="58">
        <v>9</v>
      </c>
      <c r="D3109" s="58">
        <v>112</v>
      </c>
      <c r="E3109" s="59">
        <v>27</v>
      </c>
    </row>
    <row r="3110" spans="1:5" ht="15" x14ac:dyDescent="0.35">
      <c r="A3110" s="58" t="s">
        <v>352</v>
      </c>
      <c r="B3110" s="58" t="s">
        <v>172</v>
      </c>
      <c r="C3110" s="58">
        <v>10</v>
      </c>
      <c r="D3110" s="58">
        <v>113</v>
      </c>
      <c r="E3110" s="59">
        <v>27</v>
      </c>
    </row>
    <row r="3111" spans="1:5" ht="15" x14ac:dyDescent="0.35">
      <c r="A3111" s="58" t="s">
        <v>352</v>
      </c>
      <c r="B3111" s="58" t="s">
        <v>172</v>
      </c>
      <c r="C3111" s="58">
        <v>11</v>
      </c>
      <c r="D3111" s="58">
        <v>114</v>
      </c>
      <c r="E3111" s="59">
        <v>27</v>
      </c>
    </row>
    <row r="3112" spans="1:5" ht="15" x14ac:dyDescent="0.35">
      <c r="A3112" s="58" t="s">
        <v>352</v>
      </c>
      <c r="B3112" s="58" t="s">
        <v>172</v>
      </c>
      <c r="C3112" s="58">
        <v>12</v>
      </c>
      <c r="D3112" s="58">
        <v>115</v>
      </c>
      <c r="E3112" s="59">
        <v>27</v>
      </c>
    </row>
    <row r="3113" spans="1:5" ht="15" x14ac:dyDescent="0.35">
      <c r="A3113" s="58" t="s">
        <v>352</v>
      </c>
      <c r="B3113" s="58" t="s">
        <v>180</v>
      </c>
      <c r="C3113" s="58">
        <v>1</v>
      </c>
      <c r="D3113" s="58">
        <v>104</v>
      </c>
      <c r="E3113" s="59">
        <v>29.3368</v>
      </c>
    </row>
    <row r="3114" spans="1:5" ht="15" x14ac:dyDescent="0.35">
      <c r="A3114" s="58" t="s">
        <v>352</v>
      </c>
      <c r="B3114" s="58" t="s">
        <v>180</v>
      </c>
      <c r="C3114" s="58">
        <v>2</v>
      </c>
      <c r="D3114" s="58">
        <v>105</v>
      </c>
      <c r="E3114" s="59">
        <v>29.3368</v>
      </c>
    </row>
    <row r="3115" spans="1:5" ht="15" x14ac:dyDescent="0.35">
      <c r="A3115" s="58" t="s">
        <v>352</v>
      </c>
      <c r="B3115" s="58" t="s">
        <v>180</v>
      </c>
      <c r="C3115" s="58">
        <v>3</v>
      </c>
      <c r="D3115" s="58">
        <v>106</v>
      </c>
      <c r="E3115" s="59">
        <v>29.3368</v>
      </c>
    </row>
    <row r="3116" spans="1:5" ht="15" x14ac:dyDescent="0.35">
      <c r="A3116" s="58" t="s">
        <v>352</v>
      </c>
      <c r="B3116" s="58" t="s">
        <v>180</v>
      </c>
      <c r="C3116" s="58">
        <v>4</v>
      </c>
      <c r="D3116" s="58">
        <v>107</v>
      </c>
      <c r="E3116" s="59">
        <v>29.3368</v>
      </c>
    </row>
    <row r="3117" spans="1:5" ht="15" x14ac:dyDescent="0.35">
      <c r="A3117" s="58" t="s">
        <v>352</v>
      </c>
      <c r="B3117" s="58" t="s">
        <v>180</v>
      </c>
      <c r="C3117" s="58">
        <v>5</v>
      </c>
      <c r="D3117" s="58">
        <v>108</v>
      </c>
      <c r="E3117" s="59">
        <v>29.3368</v>
      </c>
    </row>
    <row r="3118" spans="1:5" ht="15" x14ac:dyDescent="0.35">
      <c r="A3118" s="58" t="s">
        <v>352</v>
      </c>
      <c r="B3118" s="58" t="s">
        <v>180</v>
      </c>
      <c r="C3118" s="58">
        <v>6</v>
      </c>
      <c r="D3118" s="58">
        <v>109</v>
      </c>
      <c r="E3118" s="59">
        <v>29.3368</v>
      </c>
    </row>
    <row r="3119" spans="1:5" ht="15" x14ac:dyDescent="0.35">
      <c r="A3119" s="58" t="s">
        <v>352</v>
      </c>
      <c r="B3119" s="58" t="s">
        <v>180</v>
      </c>
      <c r="C3119" s="58">
        <v>7</v>
      </c>
      <c r="D3119" s="58">
        <v>110</v>
      </c>
      <c r="E3119" s="59">
        <v>29.3368</v>
      </c>
    </row>
    <row r="3120" spans="1:5" ht="15" x14ac:dyDescent="0.35">
      <c r="A3120" s="58" t="s">
        <v>352</v>
      </c>
      <c r="B3120" s="58" t="s">
        <v>180</v>
      </c>
      <c r="C3120" s="58">
        <v>8</v>
      </c>
      <c r="D3120" s="58">
        <v>111</v>
      </c>
      <c r="E3120" s="59">
        <v>29.3368</v>
      </c>
    </row>
    <row r="3121" spans="1:5" ht="15" x14ac:dyDescent="0.35">
      <c r="A3121" s="58" t="s">
        <v>352</v>
      </c>
      <c r="B3121" s="58" t="s">
        <v>180</v>
      </c>
      <c r="C3121" s="58">
        <v>9</v>
      </c>
      <c r="D3121" s="58">
        <v>112</v>
      </c>
      <c r="E3121" s="59">
        <v>29.3368</v>
      </c>
    </row>
    <row r="3122" spans="1:5" ht="15" x14ac:dyDescent="0.35">
      <c r="A3122" s="58" t="s">
        <v>352</v>
      </c>
      <c r="B3122" s="58" t="s">
        <v>180</v>
      </c>
      <c r="C3122" s="58">
        <v>10</v>
      </c>
      <c r="D3122" s="58">
        <v>113</v>
      </c>
      <c r="E3122" s="59">
        <v>29.3368</v>
      </c>
    </row>
    <row r="3123" spans="1:5" ht="15" x14ac:dyDescent="0.35">
      <c r="A3123" s="58" t="s">
        <v>352</v>
      </c>
      <c r="B3123" s="58" t="s">
        <v>180</v>
      </c>
      <c r="C3123" s="58">
        <v>11</v>
      </c>
      <c r="D3123" s="58">
        <v>114</v>
      </c>
      <c r="E3123" s="59">
        <v>29.3368</v>
      </c>
    </row>
    <row r="3124" spans="1:5" ht="15" x14ac:dyDescent="0.35">
      <c r="A3124" s="58" t="s">
        <v>352</v>
      </c>
      <c r="B3124" s="58" t="s">
        <v>180</v>
      </c>
      <c r="C3124" s="58">
        <v>12</v>
      </c>
      <c r="D3124" s="58">
        <v>115</v>
      </c>
      <c r="E3124" s="59">
        <v>29.3368</v>
      </c>
    </row>
    <row r="3125" spans="1:5" ht="15" x14ac:dyDescent="0.35">
      <c r="A3125" s="58" t="s">
        <v>261</v>
      </c>
      <c r="B3125" s="58" t="s">
        <v>182</v>
      </c>
      <c r="C3125" s="58">
        <v>1</v>
      </c>
      <c r="D3125" s="58">
        <v>104</v>
      </c>
      <c r="E3125" s="59">
        <v>487.06920000000002</v>
      </c>
    </row>
    <row r="3126" spans="1:5" ht="15" x14ac:dyDescent="0.35">
      <c r="A3126" s="58" t="s">
        <v>261</v>
      </c>
      <c r="B3126" s="58" t="s">
        <v>182</v>
      </c>
      <c r="C3126" s="58">
        <v>2</v>
      </c>
      <c r="D3126" s="58">
        <v>105</v>
      </c>
      <c r="E3126" s="59">
        <v>10.2692</v>
      </c>
    </row>
    <row r="3127" spans="1:5" ht="15" x14ac:dyDescent="0.35">
      <c r="A3127" s="58" t="s">
        <v>261</v>
      </c>
      <c r="B3127" s="58" t="s">
        <v>182</v>
      </c>
      <c r="C3127" s="58">
        <v>3</v>
      </c>
      <c r="D3127" s="58">
        <v>106</v>
      </c>
      <c r="E3127" s="59">
        <v>1.7359</v>
      </c>
    </row>
    <row r="3128" spans="1:5" ht="15" x14ac:dyDescent="0.35">
      <c r="A3128" s="58" t="s">
        <v>261</v>
      </c>
      <c r="B3128" s="58" t="s">
        <v>182</v>
      </c>
      <c r="C3128" s="58">
        <v>4</v>
      </c>
      <c r="D3128" s="58">
        <v>107</v>
      </c>
      <c r="E3128" s="59">
        <v>0</v>
      </c>
    </row>
    <row r="3129" spans="1:5" ht="15" x14ac:dyDescent="0.35">
      <c r="A3129" s="58" t="s">
        <v>261</v>
      </c>
      <c r="B3129" s="58" t="s">
        <v>182</v>
      </c>
      <c r="C3129" s="58">
        <v>5</v>
      </c>
      <c r="D3129" s="58">
        <v>108</v>
      </c>
      <c r="E3129" s="59">
        <v>10.4442</v>
      </c>
    </row>
    <row r="3130" spans="1:5" ht="15" x14ac:dyDescent="0.35">
      <c r="A3130" s="58" t="s">
        <v>261</v>
      </c>
      <c r="B3130" s="58" t="s">
        <v>182</v>
      </c>
      <c r="C3130" s="58">
        <v>6</v>
      </c>
      <c r="D3130" s="58">
        <v>109</v>
      </c>
      <c r="E3130" s="59">
        <v>2.5137</v>
      </c>
    </row>
    <row r="3131" spans="1:5" ht="15" x14ac:dyDescent="0.35">
      <c r="A3131" s="58" t="s">
        <v>261</v>
      </c>
      <c r="B3131" s="58" t="s">
        <v>182</v>
      </c>
      <c r="C3131" s="58">
        <v>7</v>
      </c>
      <c r="D3131" s="58">
        <v>110</v>
      </c>
      <c r="E3131" s="59">
        <v>0</v>
      </c>
    </row>
    <row r="3132" spans="1:5" ht="15" x14ac:dyDescent="0.35">
      <c r="A3132" s="58" t="s">
        <v>261</v>
      </c>
      <c r="B3132" s="58" t="s">
        <v>182</v>
      </c>
      <c r="C3132" s="58">
        <v>8</v>
      </c>
      <c r="D3132" s="58">
        <v>111</v>
      </c>
      <c r="E3132" s="59">
        <v>0</v>
      </c>
    </row>
    <row r="3133" spans="1:5" ht="15" x14ac:dyDescent="0.35">
      <c r="A3133" s="58" t="s">
        <v>261</v>
      </c>
      <c r="B3133" s="58" t="s">
        <v>182</v>
      </c>
      <c r="C3133" s="58">
        <v>9</v>
      </c>
      <c r="D3133" s="58">
        <v>112</v>
      </c>
      <c r="E3133" s="59">
        <v>0</v>
      </c>
    </row>
    <row r="3134" spans="1:5" ht="15" x14ac:dyDescent="0.35">
      <c r="A3134" s="58" t="s">
        <v>261</v>
      </c>
      <c r="B3134" s="58" t="s">
        <v>182</v>
      </c>
      <c r="C3134" s="58">
        <v>10</v>
      </c>
      <c r="D3134" s="58">
        <v>113</v>
      </c>
      <c r="E3134" s="59">
        <v>0</v>
      </c>
    </row>
    <row r="3135" spans="1:5" ht="15" x14ac:dyDescent="0.35">
      <c r="A3135" s="58" t="s">
        <v>261</v>
      </c>
      <c r="B3135" s="58" t="s">
        <v>182</v>
      </c>
      <c r="C3135" s="58">
        <v>11</v>
      </c>
      <c r="D3135" s="58">
        <v>114</v>
      </c>
      <c r="E3135" s="59">
        <v>22.6248</v>
      </c>
    </row>
    <row r="3136" spans="1:5" ht="15" x14ac:dyDescent="0.35">
      <c r="A3136" s="58" t="s">
        <v>261</v>
      </c>
      <c r="B3136" s="58" t="s">
        <v>182</v>
      </c>
      <c r="C3136" s="58">
        <v>12</v>
      </c>
      <c r="D3136" s="58">
        <v>115</v>
      </c>
      <c r="E3136" s="59">
        <v>28.847000000000001</v>
      </c>
    </row>
    <row r="3137" spans="1:5" ht="15" x14ac:dyDescent="0.35">
      <c r="A3137" s="58" t="s">
        <v>261</v>
      </c>
      <c r="B3137" s="58" t="s">
        <v>176</v>
      </c>
      <c r="C3137" s="58">
        <v>1</v>
      </c>
      <c r="D3137" s="58">
        <v>104</v>
      </c>
      <c r="E3137" s="59">
        <v>587.375</v>
      </c>
    </row>
    <row r="3138" spans="1:5" ht="15" x14ac:dyDescent="0.35">
      <c r="A3138" s="58" t="s">
        <v>261</v>
      </c>
      <c r="B3138" s="58" t="s">
        <v>176</v>
      </c>
      <c r="C3138" s="58">
        <v>2</v>
      </c>
      <c r="D3138" s="58">
        <v>105</v>
      </c>
      <c r="E3138" s="59">
        <v>587.375</v>
      </c>
    </row>
    <row r="3139" spans="1:5" ht="15" x14ac:dyDescent="0.35">
      <c r="A3139" s="58" t="s">
        <v>261</v>
      </c>
      <c r="B3139" s="58" t="s">
        <v>176</v>
      </c>
      <c r="C3139" s="58">
        <v>3</v>
      </c>
      <c r="D3139" s="58">
        <v>106</v>
      </c>
      <c r="E3139" s="59">
        <v>587.375</v>
      </c>
    </row>
    <row r="3140" spans="1:5" ht="15" x14ac:dyDescent="0.35">
      <c r="A3140" s="58" t="s">
        <v>261</v>
      </c>
      <c r="B3140" s="58" t="s">
        <v>176</v>
      </c>
      <c r="C3140" s="58">
        <v>4</v>
      </c>
      <c r="D3140" s="58">
        <v>107</v>
      </c>
      <c r="E3140" s="59">
        <v>587.375</v>
      </c>
    </row>
    <row r="3141" spans="1:5" ht="15" x14ac:dyDescent="0.35">
      <c r="A3141" s="58" t="s">
        <v>261</v>
      </c>
      <c r="B3141" s="58" t="s">
        <v>176</v>
      </c>
      <c r="C3141" s="58">
        <v>5</v>
      </c>
      <c r="D3141" s="58">
        <v>108</v>
      </c>
      <c r="E3141" s="59">
        <v>587.375</v>
      </c>
    </row>
    <row r="3142" spans="1:5" ht="15" x14ac:dyDescent="0.35">
      <c r="A3142" s="58" t="s">
        <v>261</v>
      </c>
      <c r="B3142" s="58" t="s">
        <v>176</v>
      </c>
      <c r="C3142" s="58">
        <v>6</v>
      </c>
      <c r="D3142" s="58">
        <v>109</v>
      </c>
      <c r="E3142" s="59">
        <v>587.375</v>
      </c>
    </row>
    <row r="3143" spans="1:5" ht="15" x14ac:dyDescent="0.35">
      <c r="A3143" s="58" t="s">
        <v>261</v>
      </c>
      <c r="B3143" s="58" t="s">
        <v>176</v>
      </c>
      <c r="C3143" s="58">
        <v>7</v>
      </c>
      <c r="D3143" s="58">
        <v>110</v>
      </c>
      <c r="E3143" s="59">
        <v>587.375</v>
      </c>
    </row>
    <row r="3144" spans="1:5" ht="15" x14ac:dyDescent="0.35">
      <c r="A3144" s="58" t="s">
        <v>261</v>
      </c>
      <c r="B3144" s="58" t="s">
        <v>176</v>
      </c>
      <c r="C3144" s="58">
        <v>8</v>
      </c>
      <c r="D3144" s="58">
        <v>111</v>
      </c>
      <c r="E3144" s="59">
        <v>587.375</v>
      </c>
    </row>
    <row r="3145" spans="1:5" ht="15" x14ac:dyDescent="0.35">
      <c r="A3145" s="58" t="s">
        <v>261</v>
      </c>
      <c r="B3145" s="58" t="s">
        <v>176</v>
      </c>
      <c r="C3145" s="58">
        <v>9</v>
      </c>
      <c r="D3145" s="58">
        <v>112</v>
      </c>
      <c r="E3145" s="59">
        <v>587.375</v>
      </c>
    </row>
    <row r="3146" spans="1:5" ht="15" x14ac:dyDescent="0.35">
      <c r="A3146" s="58" t="s">
        <v>261</v>
      </c>
      <c r="B3146" s="58" t="s">
        <v>176</v>
      </c>
      <c r="C3146" s="58">
        <v>10</v>
      </c>
      <c r="D3146" s="58">
        <v>113</v>
      </c>
      <c r="E3146" s="59">
        <v>587.375</v>
      </c>
    </row>
    <row r="3147" spans="1:5" ht="15" x14ac:dyDescent="0.35">
      <c r="A3147" s="58" t="s">
        <v>261</v>
      </c>
      <c r="B3147" s="58" t="s">
        <v>176</v>
      </c>
      <c r="C3147" s="58">
        <v>11</v>
      </c>
      <c r="D3147" s="58">
        <v>114</v>
      </c>
      <c r="E3147" s="59">
        <v>587.375</v>
      </c>
    </row>
    <row r="3148" spans="1:5" ht="15" x14ac:dyDescent="0.35">
      <c r="A3148" s="58" t="s">
        <v>261</v>
      </c>
      <c r="B3148" s="58" t="s">
        <v>176</v>
      </c>
      <c r="C3148" s="58">
        <v>12</v>
      </c>
      <c r="D3148" s="58">
        <v>115</v>
      </c>
      <c r="E3148" s="59">
        <v>587.375</v>
      </c>
    </row>
    <row r="3149" spans="1:5" ht="15" x14ac:dyDescent="0.35">
      <c r="A3149" s="58" t="s">
        <v>261</v>
      </c>
      <c r="B3149" s="58" t="s">
        <v>172</v>
      </c>
      <c r="C3149" s="58">
        <v>1</v>
      </c>
      <c r="D3149" s="58">
        <v>104</v>
      </c>
      <c r="E3149" s="59">
        <v>369</v>
      </c>
    </row>
    <row r="3150" spans="1:5" ht="15" x14ac:dyDescent="0.35">
      <c r="A3150" s="58" t="s">
        <v>261</v>
      </c>
      <c r="B3150" s="58" t="s">
        <v>172</v>
      </c>
      <c r="C3150" s="58">
        <v>2</v>
      </c>
      <c r="D3150" s="58">
        <v>105</v>
      </c>
      <c r="E3150" s="59">
        <v>369</v>
      </c>
    </row>
    <row r="3151" spans="1:5" ht="15" x14ac:dyDescent="0.35">
      <c r="A3151" s="58" t="s">
        <v>261</v>
      </c>
      <c r="B3151" s="58" t="s">
        <v>172</v>
      </c>
      <c r="C3151" s="58">
        <v>3</v>
      </c>
      <c r="D3151" s="58">
        <v>106</v>
      </c>
      <c r="E3151" s="59">
        <v>369</v>
      </c>
    </row>
    <row r="3152" spans="1:5" ht="15" x14ac:dyDescent="0.35">
      <c r="A3152" s="58" t="s">
        <v>261</v>
      </c>
      <c r="B3152" s="58" t="s">
        <v>172</v>
      </c>
      <c r="C3152" s="58">
        <v>4</v>
      </c>
      <c r="D3152" s="58">
        <v>107</v>
      </c>
      <c r="E3152" s="59">
        <v>369</v>
      </c>
    </row>
    <row r="3153" spans="1:5" ht="15" x14ac:dyDescent="0.35">
      <c r="A3153" s="58" t="s">
        <v>261</v>
      </c>
      <c r="B3153" s="58" t="s">
        <v>172</v>
      </c>
      <c r="C3153" s="58">
        <v>5</v>
      </c>
      <c r="D3153" s="58">
        <v>108</v>
      </c>
      <c r="E3153" s="59">
        <v>369</v>
      </c>
    </row>
    <row r="3154" spans="1:5" ht="15" x14ac:dyDescent="0.35">
      <c r="A3154" s="58" t="s">
        <v>261</v>
      </c>
      <c r="B3154" s="58" t="s">
        <v>172</v>
      </c>
      <c r="C3154" s="58">
        <v>6</v>
      </c>
      <c r="D3154" s="58">
        <v>109</v>
      </c>
      <c r="E3154" s="59">
        <v>369</v>
      </c>
    </row>
    <row r="3155" spans="1:5" ht="15" x14ac:dyDescent="0.35">
      <c r="A3155" s="58" t="s">
        <v>261</v>
      </c>
      <c r="B3155" s="58" t="s">
        <v>172</v>
      </c>
      <c r="C3155" s="58">
        <v>7</v>
      </c>
      <c r="D3155" s="58">
        <v>110</v>
      </c>
      <c r="E3155" s="59">
        <v>369</v>
      </c>
    </row>
    <row r="3156" spans="1:5" ht="15" x14ac:dyDescent="0.35">
      <c r="A3156" s="58" t="s">
        <v>261</v>
      </c>
      <c r="B3156" s="58" t="s">
        <v>172</v>
      </c>
      <c r="C3156" s="58">
        <v>8</v>
      </c>
      <c r="D3156" s="58">
        <v>111</v>
      </c>
      <c r="E3156" s="59">
        <v>369</v>
      </c>
    </row>
    <row r="3157" spans="1:5" ht="15" x14ac:dyDescent="0.35">
      <c r="A3157" s="58" t="s">
        <v>261</v>
      </c>
      <c r="B3157" s="58" t="s">
        <v>172</v>
      </c>
      <c r="C3157" s="58">
        <v>9</v>
      </c>
      <c r="D3157" s="58">
        <v>112</v>
      </c>
      <c r="E3157" s="59">
        <v>369</v>
      </c>
    </row>
    <row r="3158" spans="1:5" ht="15" x14ac:dyDescent="0.35">
      <c r="A3158" s="58" t="s">
        <v>261</v>
      </c>
      <c r="B3158" s="58" t="s">
        <v>172</v>
      </c>
      <c r="C3158" s="58">
        <v>10</v>
      </c>
      <c r="D3158" s="58">
        <v>113</v>
      </c>
      <c r="E3158" s="59">
        <v>369</v>
      </c>
    </row>
    <row r="3159" spans="1:5" ht="15" x14ac:dyDescent="0.35">
      <c r="A3159" s="58" t="s">
        <v>261</v>
      </c>
      <c r="B3159" s="58" t="s">
        <v>172</v>
      </c>
      <c r="C3159" s="58">
        <v>11</v>
      </c>
      <c r="D3159" s="58">
        <v>114</v>
      </c>
      <c r="E3159" s="59">
        <v>369</v>
      </c>
    </row>
    <row r="3160" spans="1:5" ht="15" x14ac:dyDescent="0.35">
      <c r="A3160" s="58" t="s">
        <v>261</v>
      </c>
      <c r="B3160" s="58" t="s">
        <v>172</v>
      </c>
      <c r="C3160" s="58">
        <v>12</v>
      </c>
      <c r="D3160" s="58">
        <v>115</v>
      </c>
      <c r="E3160" s="59">
        <v>369</v>
      </c>
    </row>
    <row r="3161" spans="1:5" ht="15" x14ac:dyDescent="0.35">
      <c r="A3161" s="58" t="s">
        <v>261</v>
      </c>
      <c r="B3161" s="58" t="s">
        <v>180</v>
      </c>
      <c r="C3161" s="58">
        <v>1</v>
      </c>
      <c r="D3161" s="58">
        <v>104</v>
      </c>
      <c r="E3161" s="59">
        <v>445.10680000000002</v>
      </c>
    </row>
    <row r="3162" spans="1:5" ht="15" x14ac:dyDescent="0.35">
      <c r="A3162" s="58" t="s">
        <v>261</v>
      </c>
      <c r="B3162" s="58" t="s">
        <v>180</v>
      </c>
      <c r="C3162" s="58">
        <v>2</v>
      </c>
      <c r="D3162" s="58">
        <v>105</v>
      </c>
      <c r="E3162" s="59">
        <v>445.10680000000002</v>
      </c>
    </row>
    <row r="3163" spans="1:5" ht="15" x14ac:dyDescent="0.35">
      <c r="A3163" s="58" t="s">
        <v>261</v>
      </c>
      <c r="B3163" s="58" t="s">
        <v>180</v>
      </c>
      <c r="C3163" s="58">
        <v>3</v>
      </c>
      <c r="D3163" s="58">
        <v>106</v>
      </c>
      <c r="E3163" s="59">
        <v>445.10680000000002</v>
      </c>
    </row>
    <row r="3164" spans="1:5" ht="15" x14ac:dyDescent="0.35">
      <c r="A3164" s="58" t="s">
        <v>261</v>
      </c>
      <c r="B3164" s="58" t="s">
        <v>180</v>
      </c>
      <c r="C3164" s="58">
        <v>4</v>
      </c>
      <c r="D3164" s="58">
        <v>107</v>
      </c>
      <c r="E3164" s="59">
        <v>445.10680000000002</v>
      </c>
    </row>
    <row r="3165" spans="1:5" ht="15" x14ac:dyDescent="0.35">
      <c r="A3165" s="58" t="s">
        <v>261</v>
      </c>
      <c r="B3165" s="58" t="s">
        <v>180</v>
      </c>
      <c r="C3165" s="58">
        <v>5</v>
      </c>
      <c r="D3165" s="58">
        <v>108</v>
      </c>
      <c r="E3165" s="59">
        <v>445.10680000000002</v>
      </c>
    </row>
    <row r="3166" spans="1:5" ht="15" x14ac:dyDescent="0.35">
      <c r="A3166" s="58" t="s">
        <v>261</v>
      </c>
      <c r="B3166" s="58" t="s">
        <v>180</v>
      </c>
      <c r="C3166" s="58">
        <v>6</v>
      </c>
      <c r="D3166" s="58">
        <v>109</v>
      </c>
      <c r="E3166" s="59">
        <v>445.10680000000002</v>
      </c>
    </row>
    <row r="3167" spans="1:5" ht="15" x14ac:dyDescent="0.35">
      <c r="A3167" s="58" t="s">
        <v>261</v>
      </c>
      <c r="B3167" s="58" t="s">
        <v>180</v>
      </c>
      <c r="C3167" s="58">
        <v>7</v>
      </c>
      <c r="D3167" s="58">
        <v>110</v>
      </c>
      <c r="E3167" s="59">
        <v>445.10680000000002</v>
      </c>
    </row>
    <row r="3168" spans="1:5" ht="15" x14ac:dyDescent="0.35">
      <c r="A3168" s="58" t="s">
        <v>261</v>
      </c>
      <c r="B3168" s="58" t="s">
        <v>180</v>
      </c>
      <c r="C3168" s="58">
        <v>8</v>
      </c>
      <c r="D3168" s="58">
        <v>111</v>
      </c>
      <c r="E3168" s="59">
        <v>445.10680000000002</v>
      </c>
    </row>
    <row r="3169" spans="1:5" ht="15" x14ac:dyDescent="0.35">
      <c r="A3169" s="58" t="s">
        <v>261</v>
      </c>
      <c r="B3169" s="58" t="s">
        <v>180</v>
      </c>
      <c r="C3169" s="58">
        <v>9</v>
      </c>
      <c r="D3169" s="58">
        <v>112</v>
      </c>
      <c r="E3169" s="59">
        <v>445.10680000000002</v>
      </c>
    </row>
    <row r="3170" spans="1:5" ht="15" x14ac:dyDescent="0.35">
      <c r="A3170" s="58" t="s">
        <v>261</v>
      </c>
      <c r="B3170" s="58" t="s">
        <v>180</v>
      </c>
      <c r="C3170" s="58">
        <v>10</v>
      </c>
      <c r="D3170" s="58">
        <v>113</v>
      </c>
      <c r="E3170" s="59">
        <v>445.10680000000002</v>
      </c>
    </row>
    <row r="3171" spans="1:5" ht="15" x14ac:dyDescent="0.35">
      <c r="A3171" s="58" t="s">
        <v>261</v>
      </c>
      <c r="B3171" s="58" t="s">
        <v>180</v>
      </c>
      <c r="C3171" s="58">
        <v>11</v>
      </c>
      <c r="D3171" s="58">
        <v>114</v>
      </c>
      <c r="E3171" s="59">
        <v>445.10680000000002</v>
      </c>
    </row>
    <row r="3172" spans="1:5" ht="15" x14ac:dyDescent="0.35">
      <c r="A3172" s="58" t="s">
        <v>261</v>
      </c>
      <c r="B3172" s="58" t="s">
        <v>180</v>
      </c>
      <c r="C3172" s="58">
        <v>12</v>
      </c>
      <c r="D3172" s="58">
        <v>115</v>
      </c>
      <c r="E3172" s="59">
        <v>445.10680000000002</v>
      </c>
    </row>
    <row r="3173" spans="1:5" ht="15" x14ac:dyDescent="0.35">
      <c r="A3173" s="58" t="s">
        <v>368</v>
      </c>
      <c r="B3173" s="58" t="s">
        <v>182</v>
      </c>
      <c r="C3173" s="58">
        <v>1</v>
      </c>
      <c r="D3173" s="58">
        <v>104</v>
      </c>
      <c r="E3173" s="59">
        <v>230.63570000000001</v>
      </c>
    </row>
    <row r="3174" spans="1:5" ht="15" x14ac:dyDescent="0.35">
      <c r="A3174" s="58" t="s">
        <v>368</v>
      </c>
      <c r="B3174" s="58" t="s">
        <v>182</v>
      </c>
      <c r="C3174" s="58">
        <v>2</v>
      </c>
      <c r="D3174" s="58">
        <v>105</v>
      </c>
      <c r="E3174" s="59">
        <v>0</v>
      </c>
    </row>
    <row r="3175" spans="1:5" ht="15" x14ac:dyDescent="0.35">
      <c r="A3175" s="58" t="s">
        <v>368</v>
      </c>
      <c r="B3175" s="58" t="s">
        <v>182</v>
      </c>
      <c r="C3175" s="58">
        <v>3</v>
      </c>
      <c r="D3175" s="58">
        <v>106</v>
      </c>
      <c r="E3175" s="59">
        <v>0</v>
      </c>
    </row>
    <row r="3176" spans="1:5" ht="15" x14ac:dyDescent="0.35">
      <c r="A3176" s="58" t="s">
        <v>368</v>
      </c>
      <c r="B3176" s="58" t="s">
        <v>182</v>
      </c>
      <c r="C3176" s="58">
        <v>4</v>
      </c>
      <c r="D3176" s="58">
        <v>107</v>
      </c>
      <c r="E3176" s="59">
        <v>0</v>
      </c>
    </row>
    <row r="3177" spans="1:5" ht="15" x14ac:dyDescent="0.35">
      <c r="A3177" s="58" t="s">
        <v>368</v>
      </c>
      <c r="B3177" s="58" t="s">
        <v>182</v>
      </c>
      <c r="C3177" s="58">
        <v>5</v>
      </c>
      <c r="D3177" s="58">
        <v>108</v>
      </c>
      <c r="E3177" s="59">
        <v>0</v>
      </c>
    </row>
    <row r="3178" spans="1:5" ht="15" x14ac:dyDescent="0.35">
      <c r="A3178" s="58" t="s">
        <v>368</v>
      </c>
      <c r="B3178" s="58" t="s">
        <v>182</v>
      </c>
      <c r="C3178" s="58">
        <v>6</v>
      </c>
      <c r="D3178" s="58">
        <v>109</v>
      </c>
      <c r="E3178" s="59">
        <v>0</v>
      </c>
    </row>
    <row r="3179" spans="1:5" ht="15" x14ac:dyDescent="0.35">
      <c r="A3179" s="58" t="s">
        <v>368</v>
      </c>
      <c r="B3179" s="58" t="s">
        <v>182</v>
      </c>
      <c r="C3179" s="58">
        <v>7</v>
      </c>
      <c r="D3179" s="58">
        <v>110</v>
      </c>
      <c r="E3179" s="59">
        <v>0</v>
      </c>
    </row>
    <row r="3180" spans="1:5" ht="15" x14ac:dyDescent="0.35">
      <c r="A3180" s="58" t="s">
        <v>368</v>
      </c>
      <c r="B3180" s="58" t="s">
        <v>182</v>
      </c>
      <c r="C3180" s="58">
        <v>8</v>
      </c>
      <c r="D3180" s="58">
        <v>111</v>
      </c>
      <c r="E3180" s="59">
        <v>0</v>
      </c>
    </row>
    <row r="3181" spans="1:5" ht="15" x14ac:dyDescent="0.35">
      <c r="A3181" s="58" t="s">
        <v>368</v>
      </c>
      <c r="B3181" s="58" t="s">
        <v>182</v>
      </c>
      <c r="C3181" s="58">
        <v>9</v>
      </c>
      <c r="D3181" s="58">
        <v>112</v>
      </c>
      <c r="E3181" s="59">
        <v>0</v>
      </c>
    </row>
    <row r="3182" spans="1:5" ht="15" x14ac:dyDescent="0.35">
      <c r="A3182" s="58" t="s">
        <v>368</v>
      </c>
      <c r="B3182" s="58" t="s">
        <v>182</v>
      </c>
      <c r="C3182" s="58">
        <v>10</v>
      </c>
      <c r="D3182" s="58">
        <v>113</v>
      </c>
      <c r="E3182" s="59">
        <v>0</v>
      </c>
    </row>
    <row r="3183" spans="1:5" ht="15" x14ac:dyDescent="0.35">
      <c r="A3183" s="58" t="s">
        <v>368</v>
      </c>
      <c r="B3183" s="58" t="s">
        <v>182</v>
      </c>
      <c r="C3183" s="58">
        <v>11</v>
      </c>
      <c r="D3183" s="58">
        <v>114</v>
      </c>
      <c r="E3183" s="59">
        <v>0</v>
      </c>
    </row>
    <row r="3184" spans="1:5" ht="15" x14ac:dyDescent="0.35">
      <c r="A3184" s="58" t="s">
        <v>368</v>
      </c>
      <c r="B3184" s="58" t="s">
        <v>182</v>
      </c>
      <c r="C3184" s="58">
        <v>12</v>
      </c>
      <c r="D3184" s="58">
        <v>115</v>
      </c>
      <c r="E3184" s="59">
        <v>0</v>
      </c>
    </row>
    <row r="3185" spans="1:5" ht="15" x14ac:dyDescent="0.35">
      <c r="A3185" s="58" t="s">
        <v>368</v>
      </c>
      <c r="B3185" s="58" t="s">
        <v>176</v>
      </c>
      <c r="C3185" s="58">
        <v>1</v>
      </c>
      <c r="D3185" s="58">
        <v>104</v>
      </c>
      <c r="E3185" s="59">
        <v>48.125</v>
      </c>
    </row>
    <row r="3186" spans="1:5" ht="15" x14ac:dyDescent="0.35">
      <c r="A3186" s="58" t="s">
        <v>368</v>
      </c>
      <c r="B3186" s="58" t="s">
        <v>176</v>
      </c>
      <c r="C3186" s="58">
        <v>2</v>
      </c>
      <c r="D3186" s="58">
        <v>105</v>
      </c>
      <c r="E3186" s="59">
        <v>48.125</v>
      </c>
    </row>
    <row r="3187" spans="1:5" ht="15" x14ac:dyDescent="0.35">
      <c r="A3187" s="58" t="s">
        <v>368</v>
      </c>
      <c r="B3187" s="58" t="s">
        <v>176</v>
      </c>
      <c r="C3187" s="58">
        <v>3</v>
      </c>
      <c r="D3187" s="58">
        <v>106</v>
      </c>
      <c r="E3187" s="59">
        <v>48.125</v>
      </c>
    </row>
    <row r="3188" spans="1:5" ht="15" x14ac:dyDescent="0.35">
      <c r="A3188" s="58" t="s">
        <v>368</v>
      </c>
      <c r="B3188" s="58" t="s">
        <v>176</v>
      </c>
      <c r="C3188" s="58">
        <v>4</v>
      </c>
      <c r="D3188" s="58">
        <v>107</v>
      </c>
      <c r="E3188" s="59">
        <v>48.125</v>
      </c>
    </row>
    <row r="3189" spans="1:5" ht="15" x14ac:dyDescent="0.35">
      <c r="A3189" s="58" t="s">
        <v>368</v>
      </c>
      <c r="B3189" s="58" t="s">
        <v>176</v>
      </c>
      <c r="C3189" s="58">
        <v>5</v>
      </c>
      <c r="D3189" s="58">
        <v>108</v>
      </c>
      <c r="E3189" s="59">
        <v>48.125</v>
      </c>
    </row>
    <row r="3190" spans="1:5" ht="15" x14ac:dyDescent="0.35">
      <c r="A3190" s="58" t="s">
        <v>368</v>
      </c>
      <c r="B3190" s="58" t="s">
        <v>176</v>
      </c>
      <c r="C3190" s="58">
        <v>6</v>
      </c>
      <c r="D3190" s="58">
        <v>109</v>
      </c>
      <c r="E3190" s="59">
        <v>48.125</v>
      </c>
    </row>
    <row r="3191" spans="1:5" ht="15" x14ac:dyDescent="0.35">
      <c r="A3191" s="58" t="s">
        <v>368</v>
      </c>
      <c r="B3191" s="58" t="s">
        <v>176</v>
      </c>
      <c r="C3191" s="58">
        <v>7</v>
      </c>
      <c r="D3191" s="58">
        <v>110</v>
      </c>
      <c r="E3191" s="59">
        <v>48.125</v>
      </c>
    </row>
    <row r="3192" spans="1:5" ht="15" x14ac:dyDescent="0.35">
      <c r="A3192" s="58" t="s">
        <v>368</v>
      </c>
      <c r="B3192" s="58" t="s">
        <v>176</v>
      </c>
      <c r="C3192" s="58">
        <v>8</v>
      </c>
      <c r="D3192" s="58">
        <v>111</v>
      </c>
      <c r="E3192" s="59">
        <v>48.125</v>
      </c>
    </row>
    <row r="3193" spans="1:5" ht="15" x14ac:dyDescent="0.35">
      <c r="A3193" s="58" t="s">
        <v>368</v>
      </c>
      <c r="B3193" s="58" t="s">
        <v>176</v>
      </c>
      <c r="C3193" s="58">
        <v>9</v>
      </c>
      <c r="D3193" s="58">
        <v>112</v>
      </c>
      <c r="E3193" s="59">
        <v>48.125</v>
      </c>
    </row>
    <row r="3194" spans="1:5" ht="15" x14ac:dyDescent="0.35">
      <c r="A3194" s="58" t="s">
        <v>368</v>
      </c>
      <c r="B3194" s="58" t="s">
        <v>176</v>
      </c>
      <c r="C3194" s="58">
        <v>10</v>
      </c>
      <c r="D3194" s="58">
        <v>113</v>
      </c>
      <c r="E3194" s="59">
        <v>48.125</v>
      </c>
    </row>
    <row r="3195" spans="1:5" ht="15" x14ac:dyDescent="0.35">
      <c r="A3195" s="58" t="s">
        <v>368</v>
      </c>
      <c r="B3195" s="58" t="s">
        <v>176</v>
      </c>
      <c r="C3195" s="58">
        <v>11</v>
      </c>
      <c r="D3195" s="58">
        <v>114</v>
      </c>
      <c r="E3195" s="59">
        <v>48.125</v>
      </c>
    </row>
    <row r="3196" spans="1:5" ht="15" x14ac:dyDescent="0.35">
      <c r="A3196" s="58" t="s">
        <v>368</v>
      </c>
      <c r="B3196" s="58" t="s">
        <v>176</v>
      </c>
      <c r="C3196" s="58">
        <v>12</v>
      </c>
      <c r="D3196" s="58">
        <v>115</v>
      </c>
      <c r="E3196" s="59">
        <v>48.125</v>
      </c>
    </row>
    <row r="3197" spans="1:5" ht="15" x14ac:dyDescent="0.35">
      <c r="A3197" s="58" t="s">
        <v>368</v>
      </c>
      <c r="B3197" s="58" t="s">
        <v>172</v>
      </c>
      <c r="C3197" s="58">
        <v>1</v>
      </c>
      <c r="D3197" s="58">
        <v>104</v>
      </c>
      <c r="E3197" s="59">
        <v>1</v>
      </c>
    </row>
    <row r="3198" spans="1:5" ht="15" x14ac:dyDescent="0.35">
      <c r="A3198" s="58" t="s">
        <v>368</v>
      </c>
      <c r="B3198" s="58" t="s">
        <v>172</v>
      </c>
      <c r="C3198" s="58">
        <v>2</v>
      </c>
      <c r="D3198" s="58">
        <v>105</v>
      </c>
      <c r="E3198" s="59">
        <v>1</v>
      </c>
    </row>
    <row r="3199" spans="1:5" ht="15" x14ac:dyDescent="0.35">
      <c r="A3199" s="58" t="s">
        <v>368</v>
      </c>
      <c r="B3199" s="58" t="s">
        <v>172</v>
      </c>
      <c r="C3199" s="58">
        <v>3</v>
      </c>
      <c r="D3199" s="58">
        <v>106</v>
      </c>
      <c r="E3199" s="59">
        <v>1</v>
      </c>
    </row>
    <row r="3200" spans="1:5" ht="15" x14ac:dyDescent="0.35">
      <c r="A3200" s="58" t="s">
        <v>368</v>
      </c>
      <c r="B3200" s="58" t="s">
        <v>172</v>
      </c>
      <c r="C3200" s="58">
        <v>4</v>
      </c>
      <c r="D3200" s="58">
        <v>107</v>
      </c>
      <c r="E3200" s="59">
        <v>1</v>
      </c>
    </row>
    <row r="3201" spans="1:5" ht="15" x14ac:dyDescent="0.35">
      <c r="A3201" s="58" t="s">
        <v>368</v>
      </c>
      <c r="B3201" s="58" t="s">
        <v>172</v>
      </c>
      <c r="C3201" s="58">
        <v>5</v>
      </c>
      <c r="D3201" s="58">
        <v>108</v>
      </c>
      <c r="E3201" s="59">
        <v>1</v>
      </c>
    </row>
    <row r="3202" spans="1:5" ht="15" x14ac:dyDescent="0.35">
      <c r="A3202" s="58" t="s">
        <v>368</v>
      </c>
      <c r="B3202" s="58" t="s">
        <v>172</v>
      </c>
      <c r="C3202" s="58">
        <v>6</v>
      </c>
      <c r="D3202" s="58">
        <v>109</v>
      </c>
      <c r="E3202" s="59">
        <v>1</v>
      </c>
    </row>
    <row r="3203" spans="1:5" ht="15" x14ac:dyDescent="0.35">
      <c r="A3203" s="58" t="s">
        <v>368</v>
      </c>
      <c r="B3203" s="58" t="s">
        <v>172</v>
      </c>
      <c r="C3203" s="58">
        <v>7</v>
      </c>
      <c r="D3203" s="58">
        <v>110</v>
      </c>
      <c r="E3203" s="59">
        <v>1</v>
      </c>
    </row>
    <row r="3204" spans="1:5" ht="15" x14ac:dyDescent="0.35">
      <c r="A3204" s="58" t="s">
        <v>368</v>
      </c>
      <c r="B3204" s="58" t="s">
        <v>172</v>
      </c>
      <c r="C3204" s="58">
        <v>8</v>
      </c>
      <c r="D3204" s="58">
        <v>111</v>
      </c>
      <c r="E3204" s="59">
        <v>1</v>
      </c>
    </row>
    <row r="3205" spans="1:5" ht="15" x14ac:dyDescent="0.35">
      <c r="A3205" s="58" t="s">
        <v>368</v>
      </c>
      <c r="B3205" s="58" t="s">
        <v>172</v>
      </c>
      <c r="C3205" s="58">
        <v>9</v>
      </c>
      <c r="D3205" s="58">
        <v>112</v>
      </c>
      <c r="E3205" s="59">
        <v>1</v>
      </c>
    </row>
    <row r="3206" spans="1:5" ht="15" x14ac:dyDescent="0.35">
      <c r="A3206" s="58" t="s">
        <v>368</v>
      </c>
      <c r="B3206" s="58" t="s">
        <v>172</v>
      </c>
      <c r="C3206" s="58">
        <v>10</v>
      </c>
      <c r="D3206" s="58">
        <v>113</v>
      </c>
      <c r="E3206" s="59">
        <v>1</v>
      </c>
    </row>
    <row r="3207" spans="1:5" ht="15" x14ac:dyDescent="0.35">
      <c r="A3207" s="58" t="s">
        <v>368</v>
      </c>
      <c r="B3207" s="58" t="s">
        <v>172</v>
      </c>
      <c r="C3207" s="58">
        <v>11</v>
      </c>
      <c r="D3207" s="58">
        <v>114</v>
      </c>
      <c r="E3207" s="59">
        <v>1</v>
      </c>
    </row>
    <row r="3208" spans="1:5" ht="15" x14ac:dyDescent="0.35">
      <c r="A3208" s="58" t="s">
        <v>368</v>
      </c>
      <c r="B3208" s="58" t="s">
        <v>172</v>
      </c>
      <c r="C3208" s="58">
        <v>12</v>
      </c>
      <c r="D3208" s="58">
        <v>115</v>
      </c>
      <c r="E3208" s="59">
        <v>1</v>
      </c>
    </row>
    <row r="3209" spans="1:5" ht="15" x14ac:dyDescent="0.35">
      <c r="A3209" s="58" t="s">
        <v>368</v>
      </c>
      <c r="B3209" s="58" t="s">
        <v>180</v>
      </c>
      <c r="C3209" s="58">
        <v>1</v>
      </c>
      <c r="D3209" s="58">
        <v>104</v>
      </c>
      <c r="E3209" s="59">
        <v>66.959900000000005</v>
      </c>
    </row>
    <row r="3210" spans="1:5" ht="15" x14ac:dyDescent="0.35">
      <c r="A3210" s="58" t="s">
        <v>368</v>
      </c>
      <c r="B3210" s="58" t="s">
        <v>180</v>
      </c>
      <c r="C3210" s="58">
        <v>2</v>
      </c>
      <c r="D3210" s="58">
        <v>105</v>
      </c>
      <c r="E3210" s="59">
        <v>66.959900000000005</v>
      </c>
    </row>
    <row r="3211" spans="1:5" ht="15" x14ac:dyDescent="0.35">
      <c r="A3211" s="58" t="s">
        <v>368</v>
      </c>
      <c r="B3211" s="58" t="s">
        <v>180</v>
      </c>
      <c r="C3211" s="58">
        <v>3</v>
      </c>
      <c r="D3211" s="58">
        <v>106</v>
      </c>
      <c r="E3211" s="59">
        <v>66.959900000000005</v>
      </c>
    </row>
    <row r="3212" spans="1:5" ht="15" x14ac:dyDescent="0.35">
      <c r="A3212" s="58" t="s">
        <v>368</v>
      </c>
      <c r="B3212" s="58" t="s">
        <v>180</v>
      </c>
      <c r="C3212" s="58">
        <v>4</v>
      </c>
      <c r="D3212" s="58">
        <v>107</v>
      </c>
      <c r="E3212" s="59">
        <v>66.959900000000005</v>
      </c>
    </row>
    <row r="3213" spans="1:5" ht="15" x14ac:dyDescent="0.35">
      <c r="A3213" s="58" t="s">
        <v>368</v>
      </c>
      <c r="B3213" s="58" t="s">
        <v>180</v>
      </c>
      <c r="C3213" s="58">
        <v>5</v>
      </c>
      <c r="D3213" s="58">
        <v>108</v>
      </c>
      <c r="E3213" s="59">
        <v>66.959900000000005</v>
      </c>
    </row>
    <row r="3214" spans="1:5" ht="15" x14ac:dyDescent="0.35">
      <c r="A3214" s="58" t="s">
        <v>368</v>
      </c>
      <c r="B3214" s="58" t="s">
        <v>180</v>
      </c>
      <c r="C3214" s="58">
        <v>6</v>
      </c>
      <c r="D3214" s="58">
        <v>109</v>
      </c>
      <c r="E3214" s="59">
        <v>66.959900000000005</v>
      </c>
    </row>
    <row r="3215" spans="1:5" ht="15" x14ac:dyDescent="0.35">
      <c r="A3215" s="58" t="s">
        <v>368</v>
      </c>
      <c r="B3215" s="58" t="s">
        <v>180</v>
      </c>
      <c r="C3215" s="58">
        <v>7</v>
      </c>
      <c r="D3215" s="58">
        <v>110</v>
      </c>
      <c r="E3215" s="59">
        <v>66.959900000000005</v>
      </c>
    </row>
    <row r="3216" spans="1:5" ht="15" x14ac:dyDescent="0.35">
      <c r="A3216" s="58" t="s">
        <v>368</v>
      </c>
      <c r="B3216" s="58" t="s">
        <v>180</v>
      </c>
      <c r="C3216" s="58">
        <v>8</v>
      </c>
      <c r="D3216" s="58">
        <v>111</v>
      </c>
      <c r="E3216" s="59">
        <v>66.959900000000005</v>
      </c>
    </row>
    <row r="3217" spans="1:5" ht="15" x14ac:dyDescent="0.35">
      <c r="A3217" s="58" t="s">
        <v>368</v>
      </c>
      <c r="B3217" s="58" t="s">
        <v>180</v>
      </c>
      <c r="C3217" s="58">
        <v>9</v>
      </c>
      <c r="D3217" s="58">
        <v>112</v>
      </c>
      <c r="E3217" s="59">
        <v>66.959900000000005</v>
      </c>
    </row>
    <row r="3218" spans="1:5" ht="15" x14ac:dyDescent="0.35">
      <c r="A3218" s="58" t="s">
        <v>368</v>
      </c>
      <c r="B3218" s="58" t="s">
        <v>180</v>
      </c>
      <c r="C3218" s="58">
        <v>10</v>
      </c>
      <c r="D3218" s="58">
        <v>113</v>
      </c>
      <c r="E3218" s="59">
        <v>66.959900000000005</v>
      </c>
    </row>
    <row r="3219" spans="1:5" ht="15" x14ac:dyDescent="0.35">
      <c r="A3219" s="58" t="s">
        <v>368</v>
      </c>
      <c r="B3219" s="58" t="s">
        <v>180</v>
      </c>
      <c r="C3219" s="58">
        <v>11</v>
      </c>
      <c r="D3219" s="58">
        <v>114</v>
      </c>
      <c r="E3219" s="59">
        <v>66.959900000000005</v>
      </c>
    </row>
    <row r="3220" spans="1:5" ht="15" x14ac:dyDescent="0.35">
      <c r="A3220" s="58" t="s">
        <v>368</v>
      </c>
      <c r="B3220" s="58" t="s">
        <v>180</v>
      </c>
      <c r="C3220" s="58">
        <v>12</v>
      </c>
      <c r="D3220" s="58">
        <v>115</v>
      </c>
      <c r="E3220" s="59">
        <v>66.959900000000005</v>
      </c>
    </row>
    <row r="3221" spans="1:5" ht="15" x14ac:dyDescent="0.35">
      <c r="A3221" s="58" t="s">
        <v>288</v>
      </c>
      <c r="B3221" s="58" t="s">
        <v>182</v>
      </c>
      <c r="C3221" s="58">
        <v>1</v>
      </c>
      <c r="D3221" s="58">
        <v>104</v>
      </c>
      <c r="E3221" s="59">
        <v>288.17469999999997</v>
      </c>
    </row>
    <row r="3222" spans="1:5" ht="15" x14ac:dyDescent="0.35">
      <c r="A3222" s="58" t="s">
        <v>288</v>
      </c>
      <c r="B3222" s="58" t="s">
        <v>182</v>
      </c>
      <c r="C3222" s="58">
        <v>2</v>
      </c>
      <c r="D3222" s="58">
        <v>105</v>
      </c>
      <c r="E3222" s="59">
        <v>31.641400000000001</v>
      </c>
    </row>
    <row r="3223" spans="1:5" ht="15" x14ac:dyDescent="0.35">
      <c r="A3223" s="58" t="s">
        <v>288</v>
      </c>
      <c r="B3223" s="58" t="s">
        <v>182</v>
      </c>
      <c r="C3223" s="58">
        <v>3</v>
      </c>
      <c r="D3223" s="58">
        <v>106</v>
      </c>
      <c r="E3223" s="59">
        <v>48.174700000000001</v>
      </c>
    </row>
    <row r="3224" spans="1:5" ht="15" x14ac:dyDescent="0.35">
      <c r="A3224" s="58" t="s">
        <v>288</v>
      </c>
      <c r="B3224" s="58" t="s">
        <v>182</v>
      </c>
      <c r="C3224" s="58">
        <v>4</v>
      </c>
      <c r="D3224" s="58">
        <v>107</v>
      </c>
      <c r="E3224" s="59">
        <v>45.127099999999999</v>
      </c>
    </row>
    <row r="3225" spans="1:5" ht="15" x14ac:dyDescent="0.35">
      <c r="A3225" s="58" t="s">
        <v>288</v>
      </c>
      <c r="B3225" s="58" t="s">
        <v>182</v>
      </c>
      <c r="C3225" s="58">
        <v>5</v>
      </c>
      <c r="D3225" s="58">
        <v>108</v>
      </c>
      <c r="E3225" s="59">
        <v>43.0914</v>
      </c>
    </row>
    <row r="3226" spans="1:5" ht="15" x14ac:dyDescent="0.35">
      <c r="A3226" s="58" t="s">
        <v>288</v>
      </c>
      <c r="B3226" s="58" t="s">
        <v>182</v>
      </c>
      <c r="C3226" s="58">
        <v>6</v>
      </c>
      <c r="D3226" s="58">
        <v>109</v>
      </c>
      <c r="E3226" s="59">
        <v>48.396999999999998</v>
      </c>
    </row>
    <row r="3227" spans="1:5" ht="15" x14ac:dyDescent="0.35">
      <c r="A3227" s="58" t="s">
        <v>288</v>
      </c>
      <c r="B3227" s="58" t="s">
        <v>182</v>
      </c>
      <c r="C3227" s="58">
        <v>7</v>
      </c>
      <c r="D3227" s="58">
        <v>110</v>
      </c>
      <c r="E3227" s="59">
        <v>39.396999999999998</v>
      </c>
    </row>
    <row r="3228" spans="1:5" ht="15" x14ac:dyDescent="0.35">
      <c r="A3228" s="58" t="s">
        <v>288</v>
      </c>
      <c r="B3228" s="58" t="s">
        <v>182</v>
      </c>
      <c r="C3228" s="58">
        <v>8</v>
      </c>
      <c r="D3228" s="58">
        <v>111</v>
      </c>
      <c r="E3228" s="59">
        <v>21.7303</v>
      </c>
    </row>
    <row r="3229" spans="1:5" ht="15" x14ac:dyDescent="0.35">
      <c r="A3229" s="58" t="s">
        <v>288</v>
      </c>
      <c r="B3229" s="58" t="s">
        <v>182</v>
      </c>
      <c r="C3229" s="58">
        <v>9</v>
      </c>
      <c r="D3229" s="58">
        <v>112</v>
      </c>
      <c r="E3229" s="59">
        <v>29.7303</v>
      </c>
    </row>
    <row r="3230" spans="1:5" ht="15" x14ac:dyDescent="0.35">
      <c r="A3230" s="58" t="s">
        <v>288</v>
      </c>
      <c r="B3230" s="58" t="s">
        <v>182</v>
      </c>
      <c r="C3230" s="58">
        <v>10</v>
      </c>
      <c r="D3230" s="58">
        <v>113</v>
      </c>
      <c r="E3230" s="59">
        <v>37.396999999999998</v>
      </c>
    </row>
    <row r="3231" spans="1:5" ht="15" x14ac:dyDescent="0.35">
      <c r="A3231" s="58" t="s">
        <v>288</v>
      </c>
      <c r="B3231" s="58" t="s">
        <v>182</v>
      </c>
      <c r="C3231" s="58">
        <v>11</v>
      </c>
      <c r="D3231" s="58">
        <v>114</v>
      </c>
      <c r="E3231" s="59">
        <v>33.952500000000001</v>
      </c>
    </row>
    <row r="3232" spans="1:5" ht="15" x14ac:dyDescent="0.35">
      <c r="A3232" s="58" t="s">
        <v>288</v>
      </c>
      <c r="B3232" s="58" t="s">
        <v>182</v>
      </c>
      <c r="C3232" s="58">
        <v>12</v>
      </c>
      <c r="D3232" s="58">
        <v>115</v>
      </c>
      <c r="E3232" s="59">
        <v>23.063600000000001</v>
      </c>
    </row>
    <row r="3233" spans="1:5" ht="15" x14ac:dyDescent="0.35">
      <c r="A3233" s="58" t="s">
        <v>288</v>
      </c>
      <c r="B3233" s="58" t="s">
        <v>176</v>
      </c>
      <c r="C3233" s="58">
        <v>1</v>
      </c>
      <c r="D3233" s="58">
        <v>104</v>
      </c>
      <c r="E3233" s="59">
        <v>128.75</v>
      </c>
    </row>
    <row r="3234" spans="1:5" ht="15" x14ac:dyDescent="0.35">
      <c r="A3234" s="58" t="s">
        <v>288</v>
      </c>
      <c r="B3234" s="58" t="s">
        <v>176</v>
      </c>
      <c r="C3234" s="58">
        <v>2</v>
      </c>
      <c r="D3234" s="58">
        <v>105</v>
      </c>
      <c r="E3234" s="59">
        <v>128.75</v>
      </c>
    </row>
    <row r="3235" spans="1:5" ht="15" x14ac:dyDescent="0.35">
      <c r="A3235" s="58" t="s">
        <v>288</v>
      </c>
      <c r="B3235" s="58" t="s">
        <v>176</v>
      </c>
      <c r="C3235" s="58">
        <v>3</v>
      </c>
      <c r="D3235" s="58">
        <v>106</v>
      </c>
      <c r="E3235" s="59">
        <v>128.75</v>
      </c>
    </row>
    <row r="3236" spans="1:5" ht="15" x14ac:dyDescent="0.35">
      <c r="A3236" s="58" t="s">
        <v>288</v>
      </c>
      <c r="B3236" s="58" t="s">
        <v>176</v>
      </c>
      <c r="C3236" s="58">
        <v>4</v>
      </c>
      <c r="D3236" s="58">
        <v>107</v>
      </c>
      <c r="E3236" s="59">
        <v>128.75</v>
      </c>
    </row>
    <row r="3237" spans="1:5" ht="15" x14ac:dyDescent="0.35">
      <c r="A3237" s="58" t="s">
        <v>288</v>
      </c>
      <c r="B3237" s="58" t="s">
        <v>176</v>
      </c>
      <c r="C3237" s="58">
        <v>5</v>
      </c>
      <c r="D3237" s="58">
        <v>108</v>
      </c>
      <c r="E3237" s="59">
        <v>128.75</v>
      </c>
    </row>
    <row r="3238" spans="1:5" ht="15" x14ac:dyDescent="0.35">
      <c r="A3238" s="58" t="s">
        <v>288</v>
      </c>
      <c r="B3238" s="58" t="s">
        <v>176</v>
      </c>
      <c r="C3238" s="58">
        <v>6</v>
      </c>
      <c r="D3238" s="58">
        <v>109</v>
      </c>
      <c r="E3238" s="59">
        <v>128.75</v>
      </c>
    </row>
    <row r="3239" spans="1:5" ht="15" x14ac:dyDescent="0.35">
      <c r="A3239" s="58" t="s">
        <v>288</v>
      </c>
      <c r="B3239" s="58" t="s">
        <v>176</v>
      </c>
      <c r="C3239" s="58">
        <v>7</v>
      </c>
      <c r="D3239" s="58">
        <v>110</v>
      </c>
      <c r="E3239" s="59">
        <v>128.75</v>
      </c>
    </row>
    <row r="3240" spans="1:5" ht="15" x14ac:dyDescent="0.35">
      <c r="A3240" s="58" t="s">
        <v>288</v>
      </c>
      <c r="B3240" s="58" t="s">
        <v>176</v>
      </c>
      <c r="C3240" s="58">
        <v>8</v>
      </c>
      <c r="D3240" s="58">
        <v>111</v>
      </c>
      <c r="E3240" s="59">
        <v>128.75</v>
      </c>
    </row>
    <row r="3241" spans="1:5" ht="15" x14ac:dyDescent="0.35">
      <c r="A3241" s="58" t="s">
        <v>288</v>
      </c>
      <c r="B3241" s="58" t="s">
        <v>176</v>
      </c>
      <c r="C3241" s="58">
        <v>9</v>
      </c>
      <c r="D3241" s="58">
        <v>112</v>
      </c>
      <c r="E3241" s="59">
        <v>128.75</v>
      </c>
    </row>
    <row r="3242" spans="1:5" ht="15" x14ac:dyDescent="0.35">
      <c r="A3242" s="58" t="s">
        <v>288</v>
      </c>
      <c r="B3242" s="58" t="s">
        <v>176</v>
      </c>
      <c r="C3242" s="58">
        <v>10</v>
      </c>
      <c r="D3242" s="58">
        <v>113</v>
      </c>
      <c r="E3242" s="59">
        <v>128.75</v>
      </c>
    </row>
    <row r="3243" spans="1:5" ht="15" x14ac:dyDescent="0.35">
      <c r="A3243" s="58" t="s">
        <v>288</v>
      </c>
      <c r="B3243" s="58" t="s">
        <v>176</v>
      </c>
      <c r="C3243" s="58">
        <v>11</v>
      </c>
      <c r="D3243" s="58">
        <v>114</v>
      </c>
      <c r="E3243" s="59">
        <v>128.75</v>
      </c>
    </row>
    <row r="3244" spans="1:5" ht="15" x14ac:dyDescent="0.35">
      <c r="A3244" s="58" t="s">
        <v>288</v>
      </c>
      <c r="B3244" s="58" t="s">
        <v>176</v>
      </c>
      <c r="C3244" s="58">
        <v>12</v>
      </c>
      <c r="D3244" s="58">
        <v>115</v>
      </c>
      <c r="E3244" s="59">
        <v>128.75</v>
      </c>
    </row>
    <row r="3245" spans="1:5" ht="15" x14ac:dyDescent="0.35">
      <c r="A3245" s="58" t="s">
        <v>288</v>
      </c>
      <c r="B3245" s="58" t="s">
        <v>172</v>
      </c>
      <c r="C3245" s="58">
        <v>1</v>
      </c>
      <c r="D3245" s="58">
        <v>104</v>
      </c>
      <c r="E3245" s="59">
        <v>33</v>
      </c>
    </row>
    <row r="3246" spans="1:5" ht="15" x14ac:dyDescent="0.35">
      <c r="A3246" s="58" t="s">
        <v>288</v>
      </c>
      <c r="B3246" s="58" t="s">
        <v>172</v>
      </c>
      <c r="C3246" s="58">
        <v>2</v>
      </c>
      <c r="D3246" s="58">
        <v>105</v>
      </c>
      <c r="E3246" s="59">
        <v>33</v>
      </c>
    </row>
    <row r="3247" spans="1:5" ht="15" x14ac:dyDescent="0.35">
      <c r="A3247" s="58" t="s">
        <v>288</v>
      </c>
      <c r="B3247" s="58" t="s">
        <v>172</v>
      </c>
      <c r="C3247" s="58">
        <v>3</v>
      </c>
      <c r="D3247" s="58">
        <v>106</v>
      </c>
      <c r="E3247" s="59">
        <v>33</v>
      </c>
    </row>
    <row r="3248" spans="1:5" ht="15" x14ac:dyDescent="0.35">
      <c r="A3248" s="58" t="s">
        <v>288</v>
      </c>
      <c r="B3248" s="58" t="s">
        <v>172</v>
      </c>
      <c r="C3248" s="58">
        <v>4</v>
      </c>
      <c r="D3248" s="58">
        <v>107</v>
      </c>
      <c r="E3248" s="59">
        <v>33</v>
      </c>
    </row>
    <row r="3249" spans="1:5" ht="15" x14ac:dyDescent="0.35">
      <c r="A3249" s="58" t="s">
        <v>288</v>
      </c>
      <c r="B3249" s="58" t="s">
        <v>172</v>
      </c>
      <c r="C3249" s="58">
        <v>5</v>
      </c>
      <c r="D3249" s="58">
        <v>108</v>
      </c>
      <c r="E3249" s="59">
        <v>33</v>
      </c>
    </row>
    <row r="3250" spans="1:5" ht="15" x14ac:dyDescent="0.35">
      <c r="A3250" s="58" t="s">
        <v>288</v>
      </c>
      <c r="B3250" s="58" t="s">
        <v>172</v>
      </c>
      <c r="C3250" s="58">
        <v>6</v>
      </c>
      <c r="D3250" s="58">
        <v>109</v>
      </c>
      <c r="E3250" s="59">
        <v>33</v>
      </c>
    </row>
    <row r="3251" spans="1:5" ht="15" x14ac:dyDescent="0.35">
      <c r="A3251" s="58" t="s">
        <v>288</v>
      </c>
      <c r="B3251" s="58" t="s">
        <v>172</v>
      </c>
      <c r="C3251" s="58">
        <v>7</v>
      </c>
      <c r="D3251" s="58">
        <v>110</v>
      </c>
      <c r="E3251" s="59">
        <v>33</v>
      </c>
    </row>
    <row r="3252" spans="1:5" ht="15" x14ac:dyDescent="0.35">
      <c r="A3252" s="58" t="s">
        <v>288</v>
      </c>
      <c r="B3252" s="58" t="s">
        <v>172</v>
      </c>
      <c r="C3252" s="58">
        <v>8</v>
      </c>
      <c r="D3252" s="58">
        <v>111</v>
      </c>
      <c r="E3252" s="59">
        <v>33</v>
      </c>
    </row>
    <row r="3253" spans="1:5" ht="15" x14ac:dyDescent="0.35">
      <c r="A3253" s="58" t="s">
        <v>288</v>
      </c>
      <c r="B3253" s="58" t="s">
        <v>172</v>
      </c>
      <c r="C3253" s="58">
        <v>9</v>
      </c>
      <c r="D3253" s="58">
        <v>112</v>
      </c>
      <c r="E3253" s="59">
        <v>33</v>
      </c>
    </row>
    <row r="3254" spans="1:5" ht="15" x14ac:dyDescent="0.35">
      <c r="A3254" s="58" t="s">
        <v>288</v>
      </c>
      <c r="B3254" s="58" t="s">
        <v>172</v>
      </c>
      <c r="C3254" s="58">
        <v>10</v>
      </c>
      <c r="D3254" s="58">
        <v>113</v>
      </c>
      <c r="E3254" s="59">
        <v>33</v>
      </c>
    </row>
    <row r="3255" spans="1:5" ht="15" x14ac:dyDescent="0.35">
      <c r="A3255" s="58" t="s">
        <v>288</v>
      </c>
      <c r="B3255" s="58" t="s">
        <v>172</v>
      </c>
      <c r="C3255" s="58">
        <v>11</v>
      </c>
      <c r="D3255" s="58">
        <v>114</v>
      </c>
      <c r="E3255" s="59">
        <v>33</v>
      </c>
    </row>
    <row r="3256" spans="1:5" ht="15" x14ac:dyDescent="0.35">
      <c r="A3256" s="58" t="s">
        <v>288</v>
      </c>
      <c r="B3256" s="58" t="s">
        <v>172</v>
      </c>
      <c r="C3256" s="58">
        <v>12</v>
      </c>
      <c r="D3256" s="58">
        <v>115</v>
      </c>
      <c r="E3256" s="59">
        <v>33</v>
      </c>
    </row>
    <row r="3257" spans="1:5" ht="15" x14ac:dyDescent="0.35">
      <c r="A3257" s="58" t="s">
        <v>288</v>
      </c>
      <c r="B3257" s="58" t="s">
        <v>180</v>
      </c>
      <c r="C3257" s="58">
        <v>1</v>
      </c>
      <c r="D3257" s="58">
        <v>104</v>
      </c>
      <c r="E3257" s="59">
        <v>124.15649999999999</v>
      </c>
    </row>
    <row r="3258" spans="1:5" ht="15" x14ac:dyDescent="0.35">
      <c r="A3258" s="58" t="s">
        <v>288</v>
      </c>
      <c r="B3258" s="58" t="s">
        <v>180</v>
      </c>
      <c r="C3258" s="58">
        <v>2</v>
      </c>
      <c r="D3258" s="58">
        <v>105</v>
      </c>
      <c r="E3258" s="59">
        <v>124.15649999999999</v>
      </c>
    </row>
    <row r="3259" spans="1:5" ht="15" x14ac:dyDescent="0.35">
      <c r="A3259" s="58" t="s">
        <v>288</v>
      </c>
      <c r="B3259" s="58" t="s">
        <v>180</v>
      </c>
      <c r="C3259" s="58">
        <v>3</v>
      </c>
      <c r="D3259" s="58">
        <v>106</v>
      </c>
      <c r="E3259" s="59">
        <v>124.15649999999999</v>
      </c>
    </row>
    <row r="3260" spans="1:5" ht="15" x14ac:dyDescent="0.35">
      <c r="A3260" s="58" t="s">
        <v>288</v>
      </c>
      <c r="B3260" s="58" t="s">
        <v>180</v>
      </c>
      <c r="C3260" s="58">
        <v>4</v>
      </c>
      <c r="D3260" s="58">
        <v>107</v>
      </c>
      <c r="E3260" s="59">
        <v>124.15649999999999</v>
      </c>
    </row>
    <row r="3261" spans="1:5" ht="15" x14ac:dyDescent="0.35">
      <c r="A3261" s="58" t="s">
        <v>288</v>
      </c>
      <c r="B3261" s="58" t="s">
        <v>180</v>
      </c>
      <c r="C3261" s="58">
        <v>5</v>
      </c>
      <c r="D3261" s="58">
        <v>108</v>
      </c>
      <c r="E3261" s="59">
        <v>124.15649999999999</v>
      </c>
    </row>
    <row r="3262" spans="1:5" ht="15" x14ac:dyDescent="0.35">
      <c r="A3262" s="58" t="s">
        <v>288</v>
      </c>
      <c r="B3262" s="58" t="s">
        <v>180</v>
      </c>
      <c r="C3262" s="58">
        <v>6</v>
      </c>
      <c r="D3262" s="58">
        <v>109</v>
      </c>
      <c r="E3262" s="59">
        <v>124.15649999999999</v>
      </c>
    </row>
    <row r="3263" spans="1:5" ht="15" x14ac:dyDescent="0.35">
      <c r="A3263" s="58" t="s">
        <v>288</v>
      </c>
      <c r="B3263" s="58" t="s">
        <v>180</v>
      </c>
      <c r="C3263" s="58">
        <v>7</v>
      </c>
      <c r="D3263" s="58">
        <v>110</v>
      </c>
      <c r="E3263" s="59">
        <v>124.15649999999999</v>
      </c>
    </row>
    <row r="3264" spans="1:5" ht="15" x14ac:dyDescent="0.35">
      <c r="A3264" s="58" t="s">
        <v>288</v>
      </c>
      <c r="B3264" s="58" t="s">
        <v>180</v>
      </c>
      <c r="C3264" s="58">
        <v>8</v>
      </c>
      <c r="D3264" s="58">
        <v>111</v>
      </c>
      <c r="E3264" s="59">
        <v>124.15649999999999</v>
      </c>
    </row>
    <row r="3265" spans="1:5" ht="15" x14ac:dyDescent="0.35">
      <c r="A3265" s="58" t="s">
        <v>288</v>
      </c>
      <c r="B3265" s="58" t="s">
        <v>180</v>
      </c>
      <c r="C3265" s="58">
        <v>9</v>
      </c>
      <c r="D3265" s="58">
        <v>112</v>
      </c>
      <c r="E3265" s="59">
        <v>124.15649999999999</v>
      </c>
    </row>
    <row r="3266" spans="1:5" ht="15" x14ac:dyDescent="0.35">
      <c r="A3266" s="58" t="s">
        <v>288</v>
      </c>
      <c r="B3266" s="58" t="s">
        <v>180</v>
      </c>
      <c r="C3266" s="58">
        <v>10</v>
      </c>
      <c r="D3266" s="58">
        <v>113</v>
      </c>
      <c r="E3266" s="59">
        <v>124.15649999999999</v>
      </c>
    </row>
    <row r="3267" spans="1:5" ht="15" x14ac:dyDescent="0.35">
      <c r="A3267" s="58" t="s">
        <v>288</v>
      </c>
      <c r="B3267" s="58" t="s">
        <v>180</v>
      </c>
      <c r="C3267" s="58">
        <v>11</v>
      </c>
      <c r="D3267" s="58">
        <v>114</v>
      </c>
      <c r="E3267" s="59">
        <v>124.15649999999999</v>
      </c>
    </row>
    <row r="3268" spans="1:5" ht="15" x14ac:dyDescent="0.35">
      <c r="A3268" s="58" t="s">
        <v>288</v>
      </c>
      <c r="B3268" s="58" t="s">
        <v>180</v>
      </c>
      <c r="C3268" s="58">
        <v>12</v>
      </c>
      <c r="D3268" s="58">
        <v>115</v>
      </c>
      <c r="E3268" s="59">
        <v>124.15649999999999</v>
      </c>
    </row>
    <row r="3269" spans="1:5" ht="15" x14ac:dyDescent="0.35">
      <c r="A3269" s="58" t="s">
        <v>380</v>
      </c>
      <c r="B3269" s="58" t="s">
        <v>182</v>
      </c>
      <c r="C3269" s="58">
        <v>1</v>
      </c>
      <c r="D3269" s="58">
        <v>104</v>
      </c>
      <c r="E3269" s="59">
        <v>26.493099999999998</v>
      </c>
    </row>
    <row r="3270" spans="1:5" ht="15" x14ac:dyDescent="0.35">
      <c r="A3270" s="58" t="s">
        <v>380</v>
      </c>
      <c r="B3270" s="58" t="s">
        <v>182</v>
      </c>
      <c r="C3270" s="58">
        <v>2</v>
      </c>
      <c r="D3270" s="58">
        <v>105</v>
      </c>
      <c r="E3270" s="59">
        <v>31.715299999999999</v>
      </c>
    </row>
    <row r="3271" spans="1:5" ht="15" x14ac:dyDescent="0.35">
      <c r="A3271" s="58" t="s">
        <v>380</v>
      </c>
      <c r="B3271" s="58" t="s">
        <v>182</v>
      </c>
      <c r="C3271" s="58">
        <v>3</v>
      </c>
      <c r="D3271" s="58">
        <v>106</v>
      </c>
      <c r="E3271" s="59">
        <v>29.382000000000001</v>
      </c>
    </row>
    <row r="3272" spans="1:5" ht="15" x14ac:dyDescent="0.35">
      <c r="A3272" s="58" t="s">
        <v>380</v>
      </c>
      <c r="B3272" s="58" t="s">
        <v>182</v>
      </c>
      <c r="C3272" s="58">
        <v>4</v>
      </c>
      <c r="D3272" s="58">
        <v>107</v>
      </c>
      <c r="E3272" s="59">
        <v>29.001000000000001</v>
      </c>
    </row>
    <row r="3273" spans="1:5" ht="15" x14ac:dyDescent="0.35">
      <c r="A3273" s="58" t="s">
        <v>380</v>
      </c>
      <c r="B3273" s="58" t="s">
        <v>182</v>
      </c>
      <c r="C3273" s="58">
        <v>5</v>
      </c>
      <c r="D3273" s="58">
        <v>108</v>
      </c>
      <c r="E3273" s="59">
        <v>28.465299999999999</v>
      </c>
    </row>
    <row r="3274" spans="1:5" ht="15" x14ac:dyDescent="0.35">
      <c r="A3274" s="58" t="s">
        <v>380</v>
      </c>
      <c r="B3274" s="58" t="s">
        <v>182</v>
      </c>
      <c r="C3274" s="58">
        <v>6</v>
      </c>
      <c r="D3274" s="58">
        <v>109</v>
      </c>
      <c r="E3274" s="59">
        <v>27.604199999999999</v>
      </c>
    </row>
    <row r="3275" spans="1:5" ht="15" x14ac:dyDescent="0.35">
      <c r="A3275" s="58" t="s">
        <v>380</v>
      </c>
      <c r="B3275" s="58" t="s">
        <v>182</v>
      </c>
      <c r="C3275" s="58">
        <v>7</v>
      </c>
      <c r="D3275" s="58">
        <v>110</v>
      </c>
      <c r="E3275" s="59">
        <v>27.159800000000001</v>
      </c>
    </row>
    <row r="3276" spans="1:5" ht="15" x14ac:dyDescent="0.35">
      <c r="A3276" s="58" t="s">
        <v>380</v>
      </c>
      <c r="B3276" s="58" t="s">
        <v>182</v>
      </c>
      <c r="C3276" s="58">
        <v>8</v>
      </c>
      <c r="D3276" s="58">
        <v>111</v>
      </c>
      <c r="E3276" s="59">
        <v>36.493099999999998</v>
      </c>
    </row>
    <row r="3277" spans="1:5" ht="15" x14ac:dyDescent="0.35">
      <c r="A3277" s="58" t="s">
        <v>380</v>
      </c>
      <c r="B3277" s="58" t="s">
        <v>182</v>
      </c>
      <c r="C3277" s="58">
        <v>9</v>
      </c>
      <c r="D3277" s="58">
        <v>112</v>
      </c>
      <c r="E3277" s="59">
        <v>37.604199999999999</v>
      </c>
    </row>
    <row r="3278" spans="1:5" ht="15" x14ac:dyDescent="0.35">
      <c r="A3278" s="58" t="s">
        <v>380</v>
      </c>
      <c r="B3278" s="58" t="s">
        <v>182</v>
      </c>
      <c r="C3278" s="58">
        <v>10</v>
      </c>
      <c r="D3278" s="58">
        <v>113</v>
      </c>
      <c r="E3278" s="59">
        <v>38.937600000000003</v>
      </c>
    </row>
    <row r="3279" spans="1:5" ht="15" x14ac:dyDescent="0.35">
      <c r="A3279" s="58" t="s">
        <v>380</v>
      </c>
      <c r="B3279" s="58" t="s">
        <v>182</v>
      </c>
      <c r="C3279" s="58">
        <v>11</v>
      </c>
      <c r="D3279" s="58">
        <v>114</v>
      </c>
      <c r="E3279" s="59">
        <v>33.381999999999998</v>
      </c>
    </row>
    <row r="3280" spans="1:5" ht="15" x14ac:dyDescent="0.35">
      <c r="A3280" s="58" t="s">
        <v>380</v>
      </c>
      <c r="B3280" s="58" t="s">
        <v>182</v>
      </c>
      <c r="C3280" s="58">
        <v>12</v>
      </c>
      <c r="D3280" s="58">
        <v>115</v>
      </c>
      <c r="E3280" s="59">
        <v>34.159799999999997</v>
      </c>
    </row>
    <row r="3281" spans="1:5" ht="15" x14ac:dyDescent="0.35">
      <c r="A3281" s="58" t="s">
        <v>380</v>
      </c>
      <c r="B3281" s="58" t="s">
        <v>176</v>
      </c>
      <c r="C3281" s="58">
        <v>1</v>
      </c>
      <c r="D3281" s="58">
        <v>104</v>
      </c>
      <c r="E3281" s="59">
        <v>32.625</v>
      </c>
    </row>
    <row r="3282" spans="1:5" ht="15" x14ac:dyDescent="0.35">
      <c r="A3282" s="58" t="s">
        <v>380</v>
      </c>
      <c r="B3282" s="58" t="s">
        <v>176</v>
      </c>
      <c r="C3282" s="58">
        <v>2</v>
      </c>
      <c r="D3282" s="58">
        <v>105</v>
      </c>
      <c r="E3282" s="59">
        <v>32.625</v>
      </c>
    </row>
    <row r="3283" spans="1:5" ht="15" x14ac:dyDescent="0.35">
      <c r="A3283" s="58" t="s">
        <v>380</v>
      </c>
      <c r="B3283" s="58" t="s">
        <v>176</v>
      </c>
      <c r="C3283" s="58">
        <v>3</v>
      </c>
      <c r="D3283" s="58">
        <v>106</v>
      </c>
      <c r="E3283" s="59">
        <v>32.625</v>
      </c>
    </row>
    <row r="3284" spans="1:5" ht="15" x14ac:dyDescent="0.35">
      <c r="A3284" s="58" t="s">
        <v>380</v>
      </c>
      <c r="B3284" s="58" t="s">
        <v>176</v>
      </c>
      <c r="C3284" s="58">
        <v>4</v>
      </c>
      <c r="D3284" s="58">
        <v>107</v>
      </c>
      <c r="E3284" s="59">
        <v>32.625</v>
      </c>
    </row>
    <row r="3285" spans="1:5" ht="15" x14ac:dyDescent="0.35">
      <c r="A3285" s="58" t="s">
        <v>380</v>
      </c>
      <c r="B3285" s="58" t="s">
        <v>176</v>
      </c>
      <c r="C3285" s="58">
        <v>5</v>
      </c>
      <c r="D3285" s="58">
        <v>108</v>
      </c>
      <c r="E3285" s="59">
        <v>32.625</v>
      </c>
    </row>
    <row r="3286" spans="1:5" ht="15" x14ac:dyDescent="0.35">
      <c r="A3286" s="58" t="s">
        <v>380</v>
      </c>
      <c r="B3286" s="58" t="s">
        <v>176</v>
      </c>
      <c r="C3286" s="58">
        <v>6</v>
      </c>
      <c r="D3286" s="58">
        <v>109</v>
      </c>
      <c r="E3286" s="59">
        <v>32.625</v>
      </c>
    </row>
    <row r="3287" spans="1:5" ht="15" x14ac:dyDescent="0.35">
      <c r="A3287" s="58" t="s">
        <v>380</v>
      </c>
      <c r="B3287" s="58" t="s">
        <v>176</v>
      </c>
      <c r="C3287" s="58">
        <v>7</v>
      </c>
      <c r="D3287" s="58">
        <v>110</v>
      </c>
      <c r="E3287" s="59">
        <v>32.625</v>
      </c>
    </row>
    <row r="3288" spans="1:5" ht="15" x14ac:dyDescent="0.35">
      <c r="A3288" s="58" t="s">
        <v>380</v>
      </c>
      <c r="B3288" s="58" t="s">
        <v>176</v>
      </c>
      <c r="C3288" s="58">
        <v>8</v>
      </c>
      <c r="D3288" s="58">
        <v>111</v>
      </c>
      <c r="E3288" s="59">
        <v>32.625</v>
      </c>
    </row>
    <row r="3289" spans="1:5" ht="15" x14ac:dyDescent="0.35">
      <c r="A3289" s="58" t="s">
        <v>380</v>
      </c>
      <c r="B3289" s="58" t="s">
        <v>176</v>
      </c>
      <c r="C3289" s="58">
        <v>9</v>
      </c>
      <c r="D3289" s="58">
        <v>112</v>
      </c>
      <c r="E3289" s="59">
        <v>32.625</v>
      </c>
    </row>
    <row r="3290" spans="1:5" ht="15" x14ac:dyDescent="0.35">
      <c r="A3290" s="58" t="s">
        <v>380</v>
      </c>
      <c r="B3290" s="58" t="s">
        <v>176</v>
      </c>
      <c r="C3290" s="58">
        <v>10</v>
      </c>
      <c r="D3290" s="58">
        <v>113</v>
      </c>
      <c r="E3290" s="59">
        <v>32.625</v>
      </c>
    </row>
    <row r="3291" spans="1:5" ht="15" x14ac:dyDescent="0.35">
      <c r="A3291" s="58" t="s">
        <v>380</v>
      </c>
      <c r="B3291" s="58" t="s">
        <v>176</v>
      </c>
      <c r="C3291" s="58">
        <v>11</v>
      </c>
      <c r="D3291" s="58">
        <v>114</v>
      </c>
      <c r="E3291" s="59">
        <v>32.625</v>
      </c>
    </row>
    <row r="3292" spans="1:5" ht="15" x14ac:dyDescent="0.35">
      <c r="A3292" s="58" t="s">
        <v>380</v>
      </c>
      <c r="B3292" s="58" t="s">
        <v>176</v>
      </c>
      <c r="C3292" s="58">
        <v>12</v>
      </c>
      <c r="D3292" s="58">
        <v>115</v>
      </c>
      <c r="E3292" s="59">
        <v>32.625</v>
      </c>
    </row>
    <row r="3293" spans="1:5" ht="15" x14ac:dyDescent="0.35">
      <c r="A3293" s="58" t="s">
        <v>380</v>
      </c>
      <c r="B3293" s="58" t="s">
        <v>172</v>
      </c>
      <c r="C3293" s="58">
        <v>1</v>
      </c>
      <c r="D3293" s="58">
        <v>104</v>
      </c>
      <c r="E3293" s="59">
        <v>22</v>
      </c>
    </row>
    <row r="3294" spans="1:5" ht="15" x14ac:dyDescent="0.35">
      <c r="A3294" s="58" t="s">
        <v>380</v>
      </c>
      <c r="B3294" s="58" t="s">
        <v>172</v>
      </c>
      <c r="C3294" s="58">
        <v>2</v>
      </c>
      <c r="D3294" s="58">
        <v>105</v>
      </c>
      <c r="E3294" s="59">
        <v>22</v>
      </c>
    </row>
    <row r="3295" spans="1:5" ht="15" x14ac:dyDescent="0.35">
      <c r="A3295" s="58" t="s">
        <v>380</v>
      </c>
      <c r="B3295" s="58" t="s">
        <v>172</v>
      </c>
      <c r="C3295" s="58">
        <v>3</v>
      </c>
      <c r="D3295" s="58">
        <v>106</v>
      </c>
      <c r="E3295" s="59">
        <v>22</v>
      </c>
    </row>
    <row r="3296" spans="1:5" ht="15" x14ac:dyDescent="0.35">
      <c r="A3296" s="58" t="s">
        <v>380</v>
      </c>
      <c r="B3296" s="58" t="s">
        <v>172</v>
      </c>
      <c r="C3296" s="58">
        <v>4</v>
      </c>
      <c r="D3296" s="58">
        <v>107</v>
      </c>
      <c r="E3296" s="59">
        <v>22</v>
      </c>
    </row>
    <row r="3297" spans="1:5" ht="15" x14ac:dyDescent="0.35">
      <c r="A3297" s="58" t="s">
        <v>380</v>
      </c>
      <c r="B3297" s="58" t="s">
        <v>172</v>
      </c>
      <c r="C3297" s="58">
        <v>5</v>
      </c>
      <c r="D3297" s="58">
        <v>108</v>
      </c>
      <c r="E3297" s="59">
        <v>22</v>
      </c>
    </row>
    <row r="3298" spans="1:5" ht="15" x14ac:dyDescent="0.35">
      <c r="A3298" s="58" t="s">
        <v>380</v>
      </c>
      <c r="B3298" s="58" t="s">
        <v>172</v>
      </c>
      <c r="C3298" s="58">
        <v>6</v>
      </c>
      <c r="D3298" s="58">
        <v>109</v>
      </c>
      <c r="E3298" s="59">
        <v>22</v>
      </c>
    </row>
    <row r="3299" spans="1:5" ht="15" x14ac:dyDescent="0.35">
      <c r="A3299" s="58" t="s">
        <v>380</v>
      </c>
      <c r="B3299" s="58" t="s">
        <v>172</v>
      </c>
      <c r="C3299" s="58">
        <v>7</v>
      </c>
      <c r="D3299" s="58">
        <v>110</v>
      </c>
      <c r="E3299" s="59">
        <v>22</v>
      </c>
    </row>
    <row r="3300" spans="1:5" ht="15" x14ac:dyDescent="0.35">
      <c r="A3300" s="58" t="s">
        <v>380</v>
      </c>
      <c r="B3300" s="58" t="s">
        <v>172</v>
      </c>
      <c r="C3300" s="58">
        <v>8</v>
      </c>
      <c r="D3300" s="58">
        <v>111</v>
      </c>
      <c r="E3300" s="59">
        <v>22</v>
      </c>
    </row>
    <row r="3301" spans="1:5" ht="15" x14ac:dyDescent="0.35">
      <c r="A3301" s="58" t="s">
        <v>380</v>
      </c>
      <c r="B3301" s="58" t="s">
        <v>172</v>
      </c>
      <c r="C3301" s="58">
        <v>9</v>
      </c>
      <c r="D3301" s="58">
        <v>112</v>
      </c>
      <c r="E3301" s="59">
        <v>22</v>
      </c>
    </row>
    <row r="3302" spans="1:5" ht="15" x14ac:dyDescent="0.35">
      <c r="A3302" s="58" t="s">
        <v>380</v>
      </c>
      <c r="B3302" s="58" t="s">
        <v>172</v>
      </c>
      <c r="C3302" s="58">
        <v>10</v>
      </c>
      <c r="D3302" s="58">
        <v>113</v>
      </c>
      <c r="E3302" s="59">
        <v>22</v>
      </c>
    </row>
    <row r="3303" spans="1:5" ht="15" x14ac:dyDescent="0.35">
      <c r="A3303" s="58" t="s">
        <v>380</v>
      </c>
      <c r="B3303" s="58" t="s">
        <v>172</v>
      </c>
      <c r="C3303" s="58">
        <v>11</v>
      </c>
      <c r="D3303" s="58">
        <v>114</v>
      </c>
      <c r="E3303" s="59">
        <v>22</v>
      </c>
    </row>
    <row r="3304" spans="1:5" ht="15" x14ac:dyDescent="0.35">
      <c r="A3304" s="58" t="s">
        <v>380</v>
      </c>
      <c r="B3304" s="58" t="s">
        <v>172</v>
      </c>
      <c r="C3304" s="58">
        <v>12</v>
      </c>
      <c r="D3304" s="58">
        <v>115</v>
      </c>
      <c r="E3304" s="59">
        <v>22</v>
      </c>
    </row>
    <row r="3305" spans="1:5" ht="15" x14ac:dyDescent="0.35">
      <c r="A3305" s="58" t="s">
        <v>380</v>
      </c>
      <c r="B3305" s="58" t="s">
        <v>180</v>
      </c>
      <c r="C3305" s="58">
        <v>1</v>
      </c>
      <c r="D3305" s="58">
        <v>104</v>
      </c>
      <c r="E3305" s="59">
        <v>35.155299999999997</v>
      </c>
    </row>
    <row r="3306" spans="1:5" ht="15" x14ac:dyDescent="0.35">
      <c r="A3306" s="58" t="s">
        <v>380</v>
      </c>
      <c r="B3306" s="58" t="s">
        <v>180</v>
      </c>
      <c r="C3306" s="58">
        <v>2</v>
      </c>
      <c r="D3306" s="58">
        <v>105</v>
      </c>
      <c r="E3306" s="59">
        <v>35.155299999999997</v>
      </c>
    </row>
    <row r="3307" spans="1:5" ht="15" x14ac:dyDescent="0.35">
      <c r="A3307" s="58" t="s">
        <v>380</v>
      </c>
      <c r="B3307" s="58" t="s">
        <v>180</v>
      </c>
      <c r="C3307" s="58">
        <v>3</v>
      </c>
      <c r="D3307" s="58">
        <v>106</v>
      </c>
      <c r="E3307" s="59">
        <v>35.155299999999997</v>
      </c>
    </row>
    <row r="3308" spans="1:5" ht="15" x14ac:dyDescent="0.35">
      <c r="A3308" s="58" t="s">
        <v>380</v>
      </c>
      <c r="B3308" s="58" t="s">
        <v>180</v>
      </c>
      <c r="C3308" s="58">
        <v>4</v>
      </c>
      <c r="D3308" s="58">
        <v>107</v>
      </c>
      <c r="E3308" s="59">
        <v>35.155299999999997</v>
      </c>
    </row>
    <row r="3309" spans="1:5" ht="15" x14ac:dyDescent="0.35">
      <c r="A3309" s="58" t="s">
        <v>380</v>
      </c>
      <c r="B3309" s="58" t="s">
        <v>180</v>
      </c>
      <c r="C3309" s="58">
        <v>5</v>
      </c>
      <c r="D3309" s="58">
        <v>108</v>
      </c>
      <c r="E3309" s="59">
        <v>35.155299999999997</v>
      </c>
    </row>
    <row r="3310" spans="1:5" ht="15" x14ac:dyDescent="0.35">
      <c r="A3310" s="58" t="s">
        <v>380</v>
      </c>
      <c r="B3310" s="58" t="s">
        <v>180</v>
      </c>
      <c r="C3310" s="58">
        <v>6</v>
      </c>
      <c r="D3310" s="58">
        <v>109</v>
      </c>
      <c r="E3310" s="59">
        <v>35.155299999999997</v>
      </c>
    </row>
    <row r="3311" spans="1:5" ht="15" x14ac:dyDescent="0.35">
      <c r="A3311" s="58" t="s">
        <v>380</v>
      </c>
      <c r="B3311" s="58" t="s">
        <v>180</v>
      </c>
      <c r="C3311" s="58">
        <v>7</v>
      </c>
      <c r="D3311" s="58">
        <v>110</v>
      </c>
      <c r="E3311" s="59">
        <v>35.155299999999997</v>
      </c>
    </row>
    <row r="3312" spans="1:5" ht="15" x14ac:dyDescent="0.35">
      <c r="A3312" s="58" t="s">
        <v>380</v>
      </c>
      <c r="B3312" s="58" t="s">
        <v>180</v>
      </c>
      <c r="C3312" s="58">
        <v>8</v>
      </c>
      <c r="D3312" s="58">
        <v>111</v>
      </c>
      <c r="E3312" s="59">
        <v>35.155299999999997</v>
      </c>
    </row>
    <row r="3313" spans="1:5" ht="15" x14ac:dyDescent="0.35">
      <c r="A3313" s="58" t="s">
        <v>380</v>
      </c>
      <c r="B3313" s="58" t="s">
        <v>180</v>
      </c>
      <c r="C3313" s="58">
        <v>9</v>
      </c>
      <c r="D3313" s="58">
        <v>112</v>
      </c>
      <c r="E3313" s="59">
        <v>35.155299999999997</v>
      </c>
    </row>
    <row r="3314" spans="1:5" ht="15" x14ac:dyDescent="0.35">
      <c r="A3314" s="58" t="s">
        <v>380</v>
      </c>
      <c r="B3314" s="58" t="s">
        <v>180</v>
      </c>
      <c r="C3314" s="58">
        <v>10</v>
      </c>
      <c r="D3314" s="58">
        <v>113</v>
      </c>
      <c r="E3314" s="59">
        <v>35.155299999999997</v>
      </c>
    </row>
    <row r="3315" spans="1:5" ht="15" x14ac:dyDescent="0.35">
      <c r="A3315" s="58" t="s">
        <v>380</v>
      </c>
      <c r="B3315" s="58" t="s">
        <v>180</v>
      </c>
      <c r="C3315" s="58">
        <v>11</v>
      </c>
      <c r="D3315" s="58">
        <v>114</v>
      </c>
      <c r="E3315" s="59">
        <v>35.155299999999997</v>
      </c>
    </row>
    <row r="3316" spans="1:5" ht="15" x14ac:dyDescent="0.35">
      <c r="A3316" s="58" t="s">
        <v>380</v>
      </c>
      <c r="B3316" s="58" t="s">
        <v>180</v>
      </c>
      <c r="C3316" s="58">
        <v>12</v>
      </c>
      <c r="D3316" s="58">
        <v>115</v>
      </c>
      <c r="E3316" s="59">
        <v>35.155299999999997</v>
      </c>
    </row>
    <row r="3317" spans="1:5" ht="15" x14ac:dyDescent="0.35">
      <c r="A3317" s="58" t="s">
        <v>254</v>
      </c>
      <c r="B3317" s="58" t="s">
        <v>182</v>
      </c>
      <c r="C3317" s="58">
        <v>1</v>
      </c>
      <c r="D3317" s="58">
        <v>104</v>
      </c>
      <c r="E3317" s="59">
        <v>1864.8957</v>
      </c>
    </row>
    <row r="3318" spans="1:5" ht="15" x14ac:dyDescent="0.35">
      <c r="A3318" s="58" t="s">
        <v>254</v>
      </c>
      <c r="B3318" s="58" t="s">
        <v>182</v>
      </c>
      <c r="C3318" s="58">
        <v>2</v>
      </c>
      <c r="D3318" s="58">
        <v>105</v>
      </c>
      <c r="E3318" s="59">
        <v>718.32619999999997</v>
      </c>
    </row>
    <row r="3319" spans="1:5" ht="15" x14ac:dyDescent="0.35">
      <c r="A3319" s="58" t="s">
        <v>254</v>
      </c>
      <c r="B3319" s="58" t="s">
        <v>182</v>
      </c>
      <c r="C3319" s="58">
        <v>3</v>
      </c>
      <c r="D3319" s="58">
        <v>106</v>
      </c>
      <c r="E3319" s="59">
        <v>711.43439999999998</v>
      </c>
    </row>
    <row r="3320" spans="1:5" ht="15" x14ac:dyDescent="0.35">
      <c r="A3320" s="58" t="s">
        <v>254</v>
      </c>
      <c r="B3320" s="58" t="s">
        <v>182</v>
      </c>
      <c r="C3320" s="58">
        <v>4</v>
      </c>
      <c r="D3320" s="58">
        <v>107</v>
      </c>
      <c r="E3320" s="59">
        <v>702.29510000000005</v>
      </c>
    </row>
    <row r="3321" spans="1:5" ht="15" x14ac:dyDescent="0.35">
      <c r="A3321" s="58" t="s">
        <v>254</v>
      </c>
      <c r="B3321" s="58" t="s">
        <v>182</v>
      </c>
      <c r="C3321" s="58">
        <v>5</v>
      </c>
      <c r="D3321" s="58">
        <v>108</v>
      </c>
      <c r="E3321" s="59">
        <v>772.12599999999998</v>
      </c>
    </row>
    <row r="3322" spans="1:5" ht="15" x14ac:dyDescent="0.35">
      <c r="A3322" s="58" t="s">
        <v>254</v>
      </c>
      <c r="B3322" s="58" t="s">
        <v>182</v>
      </c>
      <c r="C3322" s="58">
        <v>6</v>
      </c>
      <c r="D3322" s="58">
        <v>109</v>
      </c>
      <c r="E3322" s="59">
        <v>768.6037</v>
      </c>
    </row>
    <row r="3323" spans="1:5" ht="15" x14ac:dyDescent="0.35">
      <c r="A3323" s="58" t="s">
        <v>254</v>
      </c>
      <c r="B3323" s="58" t="s">
        <v>182</v>
      </c>
      <c r="C3323" s="58">
        <v>7</v>
      </c>
      <c r="D3323" s="58">
        <v>110</v>
      </c>
      <c r="E3323" s="59">
        <v>767.67859999999996</v>
      </c>
    </row>
    <row r="3324" spans="1:5" ht="15" x14ac:dyDescent="0.35">
      <c r="A3324" s="58" t="s">
        <v>254</v>
      </c>
      <c r="B3324" s="58" t="s">
        <v>182</v>
      </c>
      <c r="C3324" s="58">
        <v>8</v>
      </c>
      <c r="D3324" s="58">
        <v>111</v>
      </c>
      <c r="E3324" s="59">
        <v>706.30909999999994</v>
      </c>
    </row>
    <row r="3325" spans="1:5" ht="15" x14ac:dyDescent="0.35">
      <c r="A3325" s="58" t="s">
        <v>254</v>
      </c>
      <c r="B3325" s="58" t="s">
        <v>182</v>
      </c>
      <c r="C3325" s="58">
        <v>9</v>
      </c>
      <c r="D3325" s="58">
        <v>112</v>
      </c>
      <c r="E3325" s="59">
        <v>871.16179999999997</v>
      </c>
    </row>
    <row r="3326" spans="1:5" ht="15" x14ac:dyDescent="0.35">
      <c r="A3326" s="58" t="s">
        <v>254</v>
      </c>
      <c r="B3326" s="58" t="s">
        <v>182</v>
      </c>
      <c r="C3326" s="58">
        <v>10</v>
      </c>
      <c r="D3326" s="58">
        <v>113</v>
      </c>
      <c r="E3326" s="59">
        <v>894.68119999999999</v>
      </c>
    </row>
    <row r="3327" spans="1:5" ht="15" x14ac:dyDescent="0.35">
      <c r="A3327" s="58" t="s">
        <v>254</v>
      </c>
      <c r="B3327" s="58" t="s">
        <v>182</v>
      </c>
      <c r="C3327" s="58">
        <v>11</v>
      </c>
      <c r="D3327" s="58">
        <v>114</v>
      </c>
      <c r="E3327" s="59">
        <v>906.08950000000004</v>
      </c>
    </row>
    <row r="3328" spans="1:5" ht="15" x14ac:dyDescent="0.35">
      <c r="A3328" s="58" t="s">
        <v>254</v>
      </c>
      <c r="B3328" s="58" t="s">
        <v>182</v>
      </c>
      <c r="C3328" s="58">
        <v>12</v>
      </c>
      <c r="D3328" s="58">
        <v>115</v>
      </c>
      <c r="E3328" s="59">
        <v>997.05330000000004</v>
      </c>
    </row>
    <row r="3329" spans="1:5" ht="15" x14ac:dyDescent="0.35">
      <c r="A3329" s="58" t="s">
        <v>254</v>
      </c>
      <c r="B3329" s="58" t="s">
        <v>176</v>
      </c>
      <c r="C3329" s="58">
        <v>1</v>
      </c>
      <c r="D3329" s="58">
        <v>104</v>
      </c>
      <c r="E3329" s="59">
        <v>2058</v>
      </c>
    </row>
    <row r="3330" spans="1:5" ht="15" x14ac:dyDescent="0.35">
      <c r="A3330" s="58" t="s">
        <v>254</v>
      </c>
      <c r="B3330" s="58" t="s">
        <v>176</v>
      </c>
      <c r="C3330" s="58">
        <v>2</v>
      </c>
      <c r="D3330" s="58">
        <v>105</v>
      </c>
      <c r="E3330" s="59">
        <v>2058</v>
      </c>
    </row>
    <row r="3331" spans="1:5" ht="15" x14ac:dyDescent="0.35">
      <c r="A3331" s="58" t="s">
        <v>254</v>
      </c>
      <c r="B3331" s="58" t="s">
        <v>176</v>
      </c>
      <c r="C3331" s="58">
        <v>3</v>
      </c>
      <c r="D3331" s="58">
        <v>106</v>
      </c>
      <c r="E3331" s="59">
        <v>2058</v>
      </c>
    </row>
    <row r="3332" spans="1:5" ht="15" x14ac:dyDescent="0.35">
      <c r="A3332" s="58" t="s">
        <v>254</v>
      </c>
      <c r="B3332" s="58" t="s">
        <v>176</v>
      </c>
      <c r="C3332" s="58">
        <v>4</v>
      </c>
      <c r="D3332" s="58">
        <v>107</v>
      </c>
      <c r="E3332" s="59">
        <v>2058</v>
      </c>
    </row>
    <row r="3333" spans="1:5" ht="15" x14ac:dyDescent="0.35">
      <c r="A3333" s="58" t="s">
        <v>254</v>
      </c>
      <c r="B3333" s="58" t="s">
        <v>176</v>
      </c>
      <c r="C3333" s="58">
        <v>5</v>
      </c>
      <c r="D3333" s="58">
        <v>108</v>
      </c>
      <c r="E3333" s="59">
        <v>2058</v>
      </c>
    </row>
    <row r="3334" spans="1:5" ht="15" x14ac:dyDescent="0.35">
      <c r="A3334" s="58" t="s">
        <v>254</v>
      </c>
      <c r="B3334" s="58" t="s">
        <v>176</v>
      </c>
      <c r="C3334" s="58">
        <v>6</v>
      </c>
      <c r="D3334" s="58">
        <v>109</v>
      </c>
      <c r="E3334" s="59">
        <v>2058</v>
      </c>
    </row>
    <row r="3335" spans="1:5" ht="15" x14ac:dyDescent="0.35">
      <c r="A3335" s="58" t="s">
        <v>254</v>
      </c>
      <c r="B3335" s="58" t="s">
        <v>176</v>
      </c>
      <c r="C3335" s="58">
        <v>7</v>
      </c>
      <c r="D3335" s="58">
        <v>110</v>
      </c>
      <c r="E3335" s="59">
        <v>2058</v>
      </c>
    </row>
    <row r="3336" spans="1:5" ht="15" x14ac:dyDescent="0.35">
      <c r="A3336" s="58" t="s">
        <v>254</v>
      </c>
      <c r="B3336" s="58" t="s">
        <v>176</v>
      </c>
      <c r="C3336" s="58">
        <v>8</v>
      </c>
      <c r="D3336" s="58">
        <v>111</v>
      </c>
      <c r="E3336" s="59">
        <v>2058</v>
      </c>
    </row>
    <row r="3337" spans="1:5" ht="15" x14ac:dyDescent="0.35">
      <c r="A3337" s="58" t="s">
        <v>254</v>
      </c>
      <c r="B3337" s="58" t="s">
        <v>176</v>
      </c>
      <c r="C3337" s="58">
        <v>9</v>
      </c>
      <c r="D3337" s="58">
        <v>112</v>
      </c>
      <c r="E3337" s="59">
        <v>2058</v>
      </c>
    </row>
    <row r="3338" spans="1:5" ht="15" x14ac:dyDescent="0.35">
      <c r="A3338" s="58" t="s">
        <v>254</v>
      </c>
      <c r="B3338" s="58" t="s">
        <v>176</v>
      </c>
      <c r="C3338" s="58">
        <v>10</v>
      </c>
      <c r="D3338" s="58">
        <v>113</v>
      </c>
      <c r="E3338" s="59">
        <v>2058</v>
      </c>
    </row>
    <row r="3339" spans="1:5" ht="15" x14ac:dyDescent="0.35">
      <c r="A3339" s="58" t="s">
        <v>254</v>
      </c>
      <c r="B3339" s="58" t="s">
        <v>176</v>
      </c>
      <c r="C3339" s="58">
        <v>11</v>
      </c>
      <c r="D3339" s="58">
        <v>114</v>
      </c>
      <c r="E3339" s="59">
        <v>2058</v>
      </c>
    </row>
    <row r="3340" spans="1:5" ht="15" x14ac:dyDescent="0.35">
      <c r="A3340" s="58" t="s">
        <v>254</v>
      </c>
      <c r="B3340" s="58" t="s">
        <v>176</v>
      </c>
      <c r="C3340" s="58">
        <v>12</v>
      </c>
      <c r="D3340" s="58">
        <v>115</v>
      </c>
      <c r="E3340" s="59">
        <v>2058</v>
      </c>
    </row>
    <row r="3341" spans="1:5" ht="15" x14ac:dyDescent="0.35">
      <c r="A3341" s="58" t="s">
        <v>254</v>
      </c>
      <c r="B3341" s="58" t="s">
        <v>172</v>
      </c>
      <c r="C3341" s="58">
        <v>1</v>
      </c>
      <c r="D3341" s="58">
        <v>104</v>
      </c>
      <c r="E3341" s="59">
        <v>2754</v>
      </c>
    </row>
    <row r="3342" spans="1:5" ht="15" x14ac:dyDescent="0.35">
      <c r="A3342" s="58" t="s">
        <v>254</v>
      </c>
      <c r="B3342" s="58" t="s">
        <v>172</v>
      </c>
      <c r="C3342" s="58">
        <v>2</v>
      </c>
      <c r="D3342" s="58">
        <v>105</v>
      </c>
      <c r="E3342" s="59">
        <v>2754</v>
      </c>
    </row>
    <row r="3343" spans="1:5" ht="15" x14ac:dyDescent="0.35">
      <c r="A3343" s="58" t="s">
        <v>254</v>
      </c>
      <c r="B3343" s="58" t="s">
        <v>172</v>
      </c>
      <c r="C3343" s="58">
        <v>3</v>
      </c>
      <c r="D3343" s="58">
        <v>106</v>
      </c>
      <c r="E3343" s="59">
        <v>2754</v>
      </c>
    </row>
    <row r="3344" spans="1:5" ht="15" x14ac:dyDescent="0.35">
      <c r="A3344" s="58" t="s">
        <v>254</v>
      </c>
      <c r="B3344" s="58" t="s">
        <v>172</v>
      </c>
      <c r="C3344" s="58">
        <v>4</v>
      </c>
      <c r="D3344" s="58">
        <v>107</v>
      </c>
      <c r="E3344" s="59">
        <v>2754</v>
      </c>
    </row>
    <row r="3345" spans="1:5" ht="15" x14ac:dyDescent="0.35">
      <c r="A3345" s="58" t="s">
        <v>254</v>
      </c>
      <c r="B3345" s="58" t="s">
        <v>172</v>
      </c>
      <c r="C3345" s="58">
        <v>5</v>
      </c>
      <c r="D3345" s="58">
        <v>108</v>
      </c>
      <c r="E3345" s="59">
        <v>2754</v>
      </c>
    </row>
    <row r="3346" spans="1:5" ht="15" x14ac:dyDescent="0.35">
      <c r="A3346" s="58" t="s">
        <v>254</v>
      </c>
      <c r="B3346" s="58" t="s">
        <v>172</v>
      </c>
      <c r="C3346" s="58">
        <v>6</v>
      </c>
      <c r="D3346" s="58">
        <v>109</v>
      </c>
      <c r="E3346" s="59">
        <v>2754</v>
      </c>
    </row>
    <row r="3347" spans="1:5" ht="15" x14ac:dyDescent="0.35">
      <c r="A3347" s="58" t="s">
        <v>254</v>
      </c>
      <c r="B3347" s="58" t="s">
        <v>172</v>
      </c>
      <c r="C3347" s="58">
        <v>7</v>
      </c>
      <c r="D3347" s="58">
        <v>110</v>
      </c>
      <c r="E3347" s="59">
        <v>2754</v>
      </c>
    </row>
    <row r="3348" spans="1:5" ht="15" x14ac:dyDescent="0.35">
      <c r="A3348" s="58" t="s">
        <v>254</v>
      </c>
      <c r="B3348" s="58" t="s">
        <v>172</v>
      </c>
      <c r="C3348" s="58">
        <v>8</v>
      </c>
      <c r="D3348" s="58">
        <v>111</v>
      </c>
      <c r="E3348" s="59">
        <v>2754</v>
      </c>
    </row>
    <row r="3349" spans="1:5" ht="15" x14ac:dyDescent="0.35">
      <c r="A3349" s="58" t="s">
        <v>254</v>
      </c>
      <c r="B3349" s="58" t="s">
        <v>172</v>
      </c>
      <c r="C3349" s="58">
        <v>9</v>
      </c>
      <c r="D3349" s="58">
        <v>112</v>
      </c>
      <c r="E3349" s="59">
        <v>2754</v>
      </c>
    </row>
    <row r="3350" spans="1:5" ht="15" x14ac:dyDescent="0.35">
      <c r="A3350" s="58" t="s">
        <v>254</v>
      </c>
      <c r="B3350" s="58" t="s">
        <v>172</v>
      </c>
      <c r="C3350" s="58">
        <v>10</v>
      </c>
      <c r="D3350" s="58">
        <v>113</v>
      </c>
      <c r="E3350" s="59">
        <v>2754</v>
      </c>
    </row>
    <row r="3351" spans="1:5" ht="15" x14ac:dyDescent="0.35">
      <c r="A3351" s="58" t="s">
        <v>254</v>
      </c>
      <c r="B3351" s="58" t="s">
        <v>172</v>
      </c>
      <c r="C3351" s="58">
        <v>11</v>
      </c>
      <c r="D3351" s="58">
        <v>114</v>
      </c>
      <c r="E3351" s="59">
        <v>2754</v>
      </c>
    </row>
    <row r="3352" spans="1:5" ht="15" x14ac:dyDescent="0.35">
      <c r="A3352" s="58" t="s">
        <v>254</v>
      </c>
      <c r="B3352" s="58" t="s">
        <v>172</v>
      </c>
      <c r="C3352" s="58">
        <v>12</v>
      </c>
      <c r="D3352" s="58">
        <v>115</v>
      </c>
      <c r="E3352" s="59">
        <v>2754</v>
      </c>
    </row>
    <row r="3353" spans="1:5" ht="15" x14ac:dyDescent="0.35">
      <c r="A3353" s="58" t="s">
        <v>254</v>
      </c>
      <c r="B3353" s="58" t="s">
        <v>180</v>
      </c>
      <c r="C3353" s="58">
        <v>1</v>
      </c>
      <c r="D3353" s="58">
        <v>104</v>
      </c>
      <c r="E3353" s="59">
        <v>1963.6876999999999</v>
      </c>
    </row>
    <row r="3354" spans="1:5" ht="15" x14ac:dyDescent="0.35">
      <c r="A3354" s="58" t="s">
        <v>254</v>
      </c>
      <c r="B3354" s="58" t="s">
        <v>180</v>
      </c>
      <c r="C3354" s="58">
        <v>2</v>
      </c>
      <c r="D3354" s="58">
        <v>105</v>
      </c>
      <c r="E3354" s="59">
        <v>1963.6876999999999</v>
      </c>
    </row>
    <row r="3355" spans="1:5" ht="15" x14ac:dyDescent="0.35">
      <c r="A3355" s="58" t="s">
        <v>254</v>
      </c>
      <c r="B3355" s="58" t="s">
        <v>180</v>
      </c>
      <c r="C3355" s="58">
        <v>3</v>
      </c>
      <c r="D3355" s="58">
        <v>106</v>
      </c>
      <c r="E3355" s="59">
        <v>1963.6876999999999</v>
      </c>
    </row>
    <row r="3356" spans="1:5" ht="15" x14ac:dyDescent="0.35">
      <c r="A3356" s="58" t="s">
        <v>254</v>
      </c>
      <c r="B3356" s="58" t="s">
        <v>180</v>
      </c>
      <c r="C3356" s="58">
        <v>4</v>
      </c>
      <c r="D3356" s="58">
        <v>107</v>
      </c>
      <c r="E3356" s="59">
        <v>1963.6876999999999</v>
      </c>
    </row>
    <row r="3357" spans="1:5" ht="15" x14ac:dyDescent="0.35">
      <c r="A3357" s="58" t="s">
        <v>254</v>
      </c>
      <c r="B3357" s="58" t="s">
        <v>180</v>
      </c>
      <c r="C3357" s="58">
        <v>5</v>
      </c>
      <c r="D3357" s="58">
        <v>108</v>
      </c>
      <c r="E3357" s="59">
        <v>1963.6876999999999</v>
      </c>
    </row>
    <row r="3358" spans="1:5" ht="15" x14ac:dyDescent="0.35">
      <c r="A3358" s="58" t="s">
        <v>254</v>
      </c>
      <c r="B3358" s="58" t="s">
        <v>180</v>
      </c>
      <c r="C3358" s="58">
        <v>6</v>
      </c>
      <c r="D3358" s="58">
        <v>109</v>
      </c>
      <c r="E3358" s="59">
        <v>1963.6876999999999</v>
      </c>
    </row>
    <row r="3359" spans="1:5" ht="15" x14ac:dyDescent="0.35">
      <c r="A3359" s="58" t="s">
        <v>254</v>
      </c>
      <c r="B3359" s="58" t="s">
        <v>180</v>
      </c>
      <c r="C3359" s="58">
        <v>7</v>
      </c>
      <c r="D3359" s="58">
        <v>110</v>
      </c>
      <c r="E3359" s="59">
        <v>1963.6876999999999</v>
      </c>
    </row>
    <row r="3360" spans="1:5" ht="15" x14ac:dyDescent="0.35">
      <c r="A3360" s="58" t="s">
        <v>254</v>
      </c>
      <c r="B3360" s="58" t="s">
        <v>180</v>
      </c>
      <c r="C3360" s="58">
        <v>8</v>
      </c>
      <c r="D3360" s="58">
        <v>111</v>
      </c>
      <c r="E3360" s="59">
        <v>1963.6876999999999</v>
      </c>
    </row>
    <row r="3361" spans="1:5" ht="15" x14ac:dyDescent="0.35">
      <c r="A3361" s="58" t="s">
        <v>254</v>
      </c>
      <c r="B3361" s="58" t="s">
        <v>180</v>
      </c>
      <c r="C3361" s="58">
        <v>9</v>
      </c>
      <c r="D3361" s="58">
        <v>112</v>
      </c>
      <c r="E3361" s="59">
        <v>1963.6876999999999</v>
      </c>
    </row>
    <row r="3362" spans="1:5" ht="15" x14ac:dyDescent="0.35">
      <c r="A3362" s="58" t="s">
        <v>254</v>
      </c>
      <c r="B3362" s="58" t="s">
        <v>180</v>
      </c>
      <c r="C3362" s="58">
        <v>10</v>
      </c>
      <c r="D3362" s="58">
        <v>113</v>
      </c>
      <c r="E3362" s="59">
        <v>1963.6876999999999</v>
      </c>
    </row>
    <row r="3363" spans="1:5" ht="15" x14ac:dyDescent="0.35">
      <c r="A3363" s="58" t="s">
        <v>254</v>
      </c>
      <c r="B3363" s="58" t="s">
        <v>180</v>
      </c>
      <c r="C3363" s="58">
        <v>11</v>
      </c>
      <c r="D3363" s="58">
        <v>114</v>
      </c>
      <c r="E3363" s="59">
        <v>1963.6876999999999</v>
      </c>
    </row>
    <row r="3364" spans="1:5" ht="15" x14ac:dyDescent="0.35">
      <c r="A3364" s="58" t="s">
        <v>254</v>
      </c>
      <c r="B3364" s="58" t="s">
        <v>180</v>
      </c>
      <c r="C3364" s="58">
        <v>12</v>
      </c>
      <c r="D3364" s="58">
        <v>115</v>
      </c>
      <c r="E3364" s="59">
        <v>1963.6876999999999</v>
      </c>
    </row>
    <row r="3365" spans="1:5" ht="15" x14ac:dyDescent="0.35">
      <c r="A3365" s="58" t="s">
        <v>275</v>
      </c>
      <c r="B3365" s="58" t="s">
        <v>182</v>
      </c>
      <c r="C3365" s="58">
        <v>1</v>
      </c>
      <c r="D3365" s="58">
        <v>104</v>
      </c>
      <c r="E3365" s="59">
        <v>228.209</v>
      </c>
    </row>
    <row r="3366" spans="1:5" ht="15" x14ac:dyDescent="0.35">
      <c r="A3366" s="58" t="s">
        <v>275</v>
      </c>
      <c r="B3366" s="58" t="s">
        <v>182</v>
      </c>
      <c r="C3366" s="58">
        <v>2</v>
      </c>
      <c r="D3366" s="58">
        <v>105</v>
      </c>
      <c r="E3366" s="59">
        <v>45.031199999999998</v>
      </c>
    </row>
    <row r="3367" spans="1:5" ht="15" x14ac:dyDescent="0.35">
      <c r="A3367" s="58" t="s">
        <v>275</v>
      </c>
      <c r="B3367" s="58" t="s">
        <v>182</v>
      </c>
      <c r="C3367" s="58">
        <v>3</v>
      </c>
      <c r="D3367" s="58">
        <v>106</v>
      </c>
      <c r="E3367" s="59">
        <v>62.597900000000003</v>
      </c>
    </row>
    <row r="3368" spans="1:5" ht="15" x14ac:dyDescent="0.35">
      <c r="A3368" s="58" t="s">
        <v>275</v>
      </c>
      <c r="B3368" s="58" t="s">
        <v>182</v>
      </c>
      <c r="C3368" s="58">
        <v>4</v>
      </c>
      <c r="D3368" s="58">
        <v>107</v>
      </c>
      <c r="E3368" s="59">
        <v>93.002700000000004</v>
      </c>
    </row>
    <row r="3369" spans="1:5" ht="15" x14ac:dyDescent="0.35">
      <c r="A3369" s="58" t="s">
        <v>275</v>
      </c>
      <c r="B3369" s="58" t="s">
        <v>182</v>
      </c>
      <c r="C3369" s="58">
        <v>5</v>
      </c>
      <c r="D3369" s="58">
        <v>108</v>
      </c>
      <c r="E3369" s="59">
        <v>106.0562</v>
      </c>
    </row>
    <row r="3370" spans="1:5" ht="15" x14ac:dyDescent="0.35">
      <c r="A3370" s="58" t="s">
        <v>275</v>
      </c>
      <c r="B3370" s="58" t="s">
        <v>182</v>
      </c>
      <c r="C3370" s="58">
        <v>6</v>
      </c>
      <c r="D3370" s="58">
        <v>109</v>
      </c>
      <c r="E3370" s="59">
        <v>115.7646</v>
      </c>
    </row>
    <row r="3371" spans="1:5" ht="15" x14ac:dyDescent="0.35">
      <c r="A3371" s="58" t="s">
        <v>275</v>
      </c>
      <c r="B3371" s="58" t="s">
        <v>182</v>
      </c>
      <c r="C3371" s="58">
        <v>7</v>
      </c>
      <c r="D3371" s="58">
        <v>110</v>
      </c>
      <c r="E3371" s="59">
        <v>132.98679999999999</v>
      </c>
    </row>
    <row r="3372" spans="1:5" ht="15" x14ac:dyDescent="0.35">
      <c r="A3372" s="58" t="s">
        <v>275</v>
      </c>
      <c r="B3372" s="58" t="s">
        <v>182</v>
      </c>
      <c r="C3372" s="58">
        <v>8</v>
      </c>
      <c r="D3372" s="58">
        <v>111</v>
      </c>
      <c r="E3372" s="59">
        <v>190.7646</v>
      </c>
    </row>
    <row r="3373" spans="1:5" ht="15" x14ac:dyDescent="0.35">
      <c r="A3373" s="58" t="s">
        <v>275</v>
      </c>
      <c r="B3373" s="58" t="s">
        <v>182</v>
      </c>
      <c r="C3373" s="58">
        <v>9</v>
      </c>
      <c r="D3373" s="58">
        <v>112</v>
      </c>
      <c r="E3373" s="59">
        <v>202.54230000000001</v>
      </c>
    </row>
    <row r="3374" spans="1:5" ht="15" x14ac:dyDescent="0.35">
      <c r="A3374" s="58" t="s">
        <v>275</v>
      </c>
      <c r="B3374" s="58" t="s">
        <v>182</v>
      </c>
      <c r="C3374" s="58">
        <v>10</v>
      </c>
      <c r="D3374" s="58">
        <v>113</v>
      </c>
      <c r="E3374" s="59">
        <v>216.43119999999999</v>
      </c>
    </row>
    <row r="3375" spans="1:5" ht="15" x14ac:dyDescent="0.35">
      <c r="A3375" s="58" t="s">
        <v>275</v>
      </c>
      <c r="B3375" s="58" t="s">
        <v>182</v>
      </c>
      <c r="C3375" s="58">
        <v>11</v>
      </c>
      <c r="D3375" s="58">
        <v>114</v>
      </c>
      <c r="E3375" s="59">
        <v>229.65350000000001</v>
      </c>
    </row>
    <row r="3376" spans="1:5" ht="15" x14ac:dyDescent="0.35">
      <c r="A3376" s="58" t="s">
        <v>275</v>
      </c>
      <c r="B3376" s="58" t="s">
        <v>182</v>
      </c>
      <c r="C3376" s="58">
        <v>12</v>
      </c>
      <c r="D3376" s="58">
        <v>115</v>
      </c>
      <c r="E3376" s="59">
        <v>222.98679999999999</v>
      </c>
    </row>
    <row r="3377" spans="1:5" ht="15" x14ac:dyDescent="0.35">
      <c r="A3377" s="58" t="s">
        <v>275</v>
      </c>
      <c r="B3377" s="58" t="s">
        <v>176</v>
      </c>
      <c r="C3377" s="58">
        <v>1</v>
      </c>
      <c r="D3377" s="58">
        <v>104</v>
      </c>
      <c r="E3377" s="59">
        <v>217.25</v>
      </c>
    </row>
    <row r="3378" spans="1:5" ht="15" x14ac:dyDescent="0.35">
      <c r="A3378" s="58" t="s">
        <v>275</v>
      </c>
      <c r="B3378" s="58" t="s">
        <v>176</v>
      </c>
      <c r="C3378" s="58">
        <v>2</v>
      </c>
      <c r="D3378" s="58">
        <v>105</v>
      </c>
      <c r="E3378" s="59">
        <v>217.25</v>
      </c>
    </row>
    <row r="3379" spans="1:5" ht="15" x14ac:dyDescent="0.35">
      <c r="A3379" s="58" t="s">
        <v>275</v>
      </c>
      <c r="B3379" s="58" t="s">
        <v>176</v>
      </c>
      <c r="C3379" s="58">
        <v>3</v>
      </c>
      <c r="D3379" s="58">
        <v>106</v>
      </c>
      <c r="E3379" s="59">
        <v>217.25</v>
      </c>
    </row>
    <row r="3380" spans="1:5" ht="15" x14ac:dyDescent="0.35">
      <c r="A3380" s="58" t="s">
        <v>275</v>
      </c>
      <c r="B3380" s="58" t="s">
        <v>176</v>
      </c>
      <c r="C3380" s="58">
        <v>4</v>
      </c>
      <c r="D3380" s="58">
        <v>107</v>
      </c>
      <c r="E3380" s="59">
        <v>217.25</v>
      </c>
    </row>
    <row r="3381" spans="1:5" ht="15" x14ac:dyDescent="0.35">
      <c r="A3381" s="58" t="s">
        <v>275</v>
      </c>
      <c r="B3381" s="58" t="s">
        <v>176</v>
      </c>
      <c r="C3381" s="58">
        <v>5</v>
      </c>
      <c r="D3381" s="58">
        <v>108</v>
      </c>
      <c r="E3381" s="59">
        <v>217.25</v>
      </c>
    </row>
    <row r="3382" spans="1:5" ht="15" x14ac:dyDescent="0.35">
      <c r="A3382" s="58" t="s">
        <v>275</v>
      </c>
      <c r="B3382" s="58" t="s">
        <v>176</v>
      </c>
      <c r="C3382" s="58">
        <v>6</v>
      </c>
      <c r="D3382" s="58">
        <v>109</v>
      </c>
      <c r="E3382" s="59">
        <v>217.25</v>
      </c>
    </row>
    <row r="3383" spans="1:5" ht="15" x14ac:dyDescent="0.35">
      <c r="A3383" s="58" t="s">
        <v>275</v>
      </c>
      <c r="B3383" s="58" t="s">
        <v>176</v>
      </c>
      <c r="C3383" s="58">
        <v>7</v>
      </c>
      <c r="D3383" s="58">
        <v>110</v>
      </c>
      <c r="E3383" s="59">
        <v>217.25</v>
      </c>
    </row>
    <row r="3384" spans="1:5" ht="15" x14ac:dyDescent="0.35">
      <c r="A3384" s="58" t="s">
        <v>275</v>
      </c>
      <c r="B3384" s="58" t="s">
        <v>176</v>
      </c>
      <c r="C3384" s="58">
        <v>8</v>
      </c>
      <c r="D3384" s="58">
        <v>111</v>
      </c>
      <c r="E3384" s="59">
        <v>217.25</v>
      </c>
    </row>
    <row r="3385" spans="1:5" ht="15" x14ac:dyDescent="0.35">
      <c r="A3385" s="58" t="s">
        <v>275</v>
      </c>
      <c r="B3385" s="58" t="s">
        <v>176</v>
      </c>
      <c r="C3385" s="58">
        <v>9</v>
      </c>
      <c r="D3385" s="58">
        <v>112</v>
      </c>
      <c r="E3385" s="59">
        <v>217.25</v>
      </c>
    </row>
    <row r="3386" spans="1:5" ht="15" x14ac:dyDescent="0.35">
      <c r="A3386" s="58" t="s">
        <v>275</v>
      </c>
      <c r="B3386" s="58" t="s">
        <v>176</v>
      </c>
      <c r="C3386" s="58">
        <v>10</v>
      </c>
      <c r="D3386" s="58">
        <v>113</v>
      </c>
      <c r="E3386" s="59">
        <v>217.25</v>
      </c>
    </row>
    <row r="3387" spans="1:5" ht="15" x14ac:dyDescent="0.35">
      <c r="A3387" s="58" t="s">
        <v>275</v>
      </c>
      <c r="B3387" s="58" t="s">
        <v>176</v>
      </c>
      <c r="C3387" s="58">
        <v>11</v>
      </c>
      <c r="D3387" s="58">
        <v>114</v>
      </c>
      <c r="E3387" s="59">
        <v>217.25</v>
      </c>
    </row>
    <row r="3388" spans="1:5" ht="15" x14ac:dyDescent="0.35">
      <c r="A3388" s="58" t="s">
        <v>275</v>
      </c>
      <c r="B3388" s="58" t="s">
        <v>176</v>
      </c>
      <c r="C3388" s="58">
        <v>12</v>
      </c>
      <c r="D3388" s="58">
        <v>115</v>
      </c>
      <c r="E3388" s="59">
        <v>217.25</v>
      </c>
    </row>
    <row r="3389" spans="1:5" ht="15" x14ac:dyDescent="0.35">
      <c r="A3389" s="58" t="s">
        <v>275</v>
      </c>
      <c r="B3389" s="58" t="s">
        <v>172</v>
      </c>
      <c r="C3389" s="58">
        <v>1</v>
      </c>
      <c r="D3389" s="58">
        <v>104</v>
      </c>
      <c r="E3389" s="59">
        <v>258</v>
      </c>
    </row>
    <row r="3390" spans="1:5" ht="15" x14ac:dyDescent="0.35">
      <c r="A3390" s="58" t="s">
        <v>275</v>
      </c>
      <c r="B3390" s="58" t="s">
        <v>172</v>
      </c>
      <c r="C3390" s="58">
        <v>2</v>
      </c>
      <c r="D3390" s="58">
        <v>105</v>
      </c>
      <c r="E3390" s="59">
        <v>258</v>
      </c>
    </row>
    <row r="3391" spans="1:5" ht="15" x14ac:dyDescent="0.35">
      <c r="A3391" s="58" t="s">
        <v>275</v>
      </c>
      <c r="B3391" s="58" t="s">
        <v>172</v>
      </c>
      <c r="C3391" s="58">
        <v>3</v>
      </c>
      <c r="D3391" s="58">
        <v>106</v>
      </c>
      <c r="E3391" s="59">
        <v>258</v>
      </c>
    </row>
    <row r="3392" spans="1:5" ht="15" x14ac:dyDescent="0.35">
      <c r="A3392" s="58" t="s">
        <v>275</v>
      </c>
      <c r="B3392" s="58" t="s">
        <v>172</v>
      </c>
      <c r="C3392" s="58">
        <v>4</v>
      </c>
      <c r="D3392" s="58">
        <v>107</v>
      </c>
      <c r="E3392" s="59">
        <v>258</v>
      </c>
    </row>
    <row r="3393" spans="1:5" ht="15" x14ac:dyDescent="0.35">
      <c r="A3393" s="58" t="s">
        <v>275</v>
      </c>
      <c r="B3393" s="58" t="s">
        <v>172</v>
      </c>
      <c r="C3393" s="58">
        <v>5</v>
      </c>
      <c r="D3393" s="58">
        <v>108</v>
      </c>
      <c r="E3393" s="59">
        <v>258</v>
      </c>
    </row>
    <row r="3394" spans="1:5" ht="15" x14ac:dyDescent="0.35">
      <c r="A3394" s="58" t="s">
        <v>275</v>
      </c>
      <c r="B3394" s="58" t="s">
        <v>172</v>
      </c>
      <c r="C3394" s="58">
        <v>6</v>
      </c>
      <c r="D3394" s="58">
        <v>109</v>
      </c>
      <c r="E3394" s="59">
        <v>258</v>
      </c>
    </row>
    <row r="3395" spans="1:5" ht="15" x14ac:dyDescent="0.35">
      <c r="A3395" s="58" t="s">
        <v>275</v>
      </c>
      <c r="B3395" s="58" t="s">
        <v>172</v>
      </c>
      <c r="C3395" s="58">
        <v>7</v>
      </c>
      <c r="D3395" s="58">
        <v>110</v>
      </c>
      <c r="E3395" s="59">
        <v>258</v>
      </c>
    </row>
    <row r="3396" spans="1:5" ht="15" x14ac:dyDescent="0.35">
      <c r="A3396" s="58" t="s">
        <v>275</v>
      </c>
      <c r="B3396" s="58" t="s">
        <v>172</v>
      </c>
      <c r="C3396" s="58">
        <v>8</v>
      </c>
      <c r="D3396" s="58">
        <v>111</v>
      </c>
      <c r="E3396" s="59">
        <v>258</v>
      </c>
    </row>
    <row r="3397" spans="1:5" ht="15" x14ac:dyDescent="0.35">
      <c r="A3397" s="58" t="s">
        <v>275</v>
      </c>
      <c r="B3397" s="58" t="s">
        <v>172</v>
      </c>
      <c r="C3397" s="58">
        <v>9</v>
      </c>
      <c r="D3397" s="58">
        <v>112</v>
      </c>
      <c r="E3397" s="59">
        <v>258</v>
      </c>
    </row>
    <row r="3398" spans="1:5" ht="15" x14ac:dyDescent="0.35">
      <c r="A3398" s="58" t="s">
        <v>275</v>
      </c>
      <c r="B3398" s="58" t="s">
        <v>172</v>
      </c>
      <c r="C3398" s="58">
        <v>10</v>
      </c>
      <c r="D3398" s="58">
        <v>113</v>
      </c>
      <c r="E3398" s="59">
        <v>258</v>
      </c>
    </row>
    <row r="3399" spans="1:5" ht="15" x14ac:dyDescent="0.35">
      <c r="A3399" s="58" t="s">
        <v>275</v>
      </c>
      <c r="B3399" s="58" t="s">
        <v>172</v>
      </c>
      <c r="C3399" s="58">
        <v>11</v>
      </c>
      <c r="D3399" s="58">
        <v>114</v>
      </c>
      <c r="E3399" s="59">
        <v>258</v>
      </c>
    </row>
    <row r="3400" spans="1:5" ht="15" x14ac:dyDescent="0.35">
      <c r="A3400" s="58" t="s">
        <v>275</v>
      </c>
      <c r="B3400" s="58" t="s">
        <v>172</v>
      </c>
      <c r="C3400" s="58">
        <v>12</v>
      </c>
      <c r="D3400" s="58">
        <v>115</v>
      </c>
      <c r="E3400" s="59">
        <v>258</v>
      </c>
    </row>
    <row r="3401" spans="1:5" ht="15" x14ac:dyDescent="0.35">
      <c r="A3401" s="58" t="s">
        <v>275</v>
      </c>
      <c r="B3401" s="58" t="s">
        <v>180</v>
      </c>
      <c r="C3401" s="58">
        <v>1</v>
      </c>
      <c r="D3401" s="58">
        <v>104</v>
      </c>
      <c r="E3401" s="59">
        <v>215.10249999999999</v>
      </c>
    </row>
    <row r="3402" spans="1:5" ht="15" x14ac:dyDescent="0.35">
      <c r="A3402" s="58" t="s">
        <v>275</v>
      </c>
      <c r="B3402" s="58" t="s">
        <v>180</v>
      </c>
      <c r="C3402" s="58">
        <v>2</v>
      </c>
      <c r="D3402" s="58">
        <v>105</v>
      </c>
      <c r="E3402" s="59">
        <v>215.10249999999999</v>
      </c>
    </row>
    <row r="3403" spans="1:5" ht="15" x14ac:dyDescent="0.35">
      <c r="A3403" s="58" t="s">
        <v>275</v>
      </c>
      <c r="B3403" s="58" t="s">
        <v>180</v>
      </c>
      <c r="C3403" s="58">
        <v>3</v>
      </c>
      <c r="D3403" s="58">
        <v>106</v>
      </c>
      <c r="E3403" s="59">
        <v>215.10249999999999</v>
      </c>
    </row>
    <row r="3404" spans="1:5" ht="15" x14ac:dyDescent="0.35">
      <c r="A3404" s="58" t="s">
        <v>275</v>
      </c>
      <c r="B3404" s="58" t="s">
        <v>180</v>
      </c>
      <c r="C3404" s="58">
        <v>4</v>
      </c>
      <c r="D3404" s="58">
        <v>107</v>
      </c>
      <c r="E3404" s="59">
        <v>215.10249999999999</v>
      </c>
    </row>
    <row r="3405" spans="1:5" ht="15" x14ac:dyDescent="0.35">
      <c r="A3405" s="58" t="s">
        <v>275</v>
      </c>
      <c r="B3405" s="58" t="s">
        <v>180</v>
      </c>
      <c r="C3405" s="58">
        <v>5</v>
      </c>
      <c r="D3405" s="58">
        <v>108</v>
      </c>
      <c r="E3405" s="59">
        <v>215.10249999999999</v>
      </c>
    </row>
    <row r="3406" spans="1:5" ht="15" x14ac:dyDescent="0.35">
      <c r="A3406" s="58" t="s">
        <v>275</v>
      </c>
      <c r="B3406" s="58" t="s">
        <v>180</v>
      </c>
      <c r="C3406" s="58">
        <v>6</v>
      </c>
      <c r="D3406" s="58">
        <v>109</v>
      </c>
      <c r="E3406" s="59">
        <v>215.10249999999999</v>
      </c>
    </row>
    <row r="3407" spans="1:5" ht="15" x14ac:dyDescent="0.35">
      <c r="A3407" s="58" t="s">
        <v>275</v>
      </c>
      <c r="B3407" s="58" t="s">
        <v>180</v>
      </c>
      <c r="C3407" s="58">
        <v>7</v>
      </c>
      <c r="D3407" s="58">
        <v>110</v>
      </c>
      <c r="E3407" s="59">
        <v>215.10249999999999</v>
      </c>
    </row>
    <row r="3408" spans="1:5" ht="15" x14ac:dyDescent="0.35">
      <c r="A3408" s="58" t="s">
        <v>275</v>
      </c>
      <c r="B3408" s="58" t="s">
        <v>180</v>
      </c>
      <c r="C3408" s="58">
        <v>8</v>
      </c>
      <c r="D3408" s="58">
        <v>111</v>
      </c>
      <c r="E3408" s="59">
        <v>215.10249999999999</v>
      </c>
    </row>
    <row r="3409" spans="1:5" ht="15" x14ac:dyDescent="0.35">
      <c r="A3409" s="58" t="s">
        <v>275</v>
      </c>
      <c r="B3409" s="58" t="s">
        <v>180</v>
      </c>
      <c r="C3409" s="58">
        <v>9</v>
      </c>
      <c r="D3409" s="58">
        <v>112</v>
      </c>
      <c r="E3409" s="59">
        <v>215.10249999999999</v>
      </c>
    </row>
    <row r="3410" spans="1:5" ht="15" x14ac:dyDescent="0.35">
      <c r="A3410" s="58" t="s">
        <v>275</v>
      </c>
      <c r="B3410" s="58" t="s">
        <v>180</v>
      </c>
      <c r="C3410" s="58">
        <v>10</v>
      </c>
      <c r="D3410" s="58">
        <v>113</v>
      </c>
      <c r="E3410" s="59">
        <v>215.10249999999999</v>
      </c>
    </row>
    <row r="3411" spans="1:5" ht="15" x14ac:dyDescent="0.35">
      <c r="A3411" s="58" t="s">
        <v>275</v>
      </c>
      <c r="B3411" s="58" t="s">
        <v>180</v>
      </c>
      <c r="C3411" s="58">
        <v>11</v>
      </c>
      <c r="D3411" s="58">
        <v>114</v>
      </c>
      <c r="E3411" s="59">
        <v>215.10249999999999</v>
      </c>
    </row>
    <row r="3412" spans="1:5" ht="15" x14ac:dyDescent="0.35">
      <c r="A3412" s="58" t="s">
        <v>275</v>
      </c>
      <c r="B3412" s="58" t="s">
        <v>180</v>
      </c>
      <c r="C3412" s="58">
        <v>12</v>
      </c>
      <c r="D3412" s="58">
        <v>115</v>
      </c>
      <c r="E3412" s="59">
        <v>215.10249999999999</v>
      </c>
    </row>
    <row r="3413" spans="1:5" ht="15" x14ac:dyDescent="0.35">
      <c r="A3413" s="58" t="s">
        <v>319</v>
      </c>
      <c r="B3413" s="58" t="s">
        <v>182</v>
      </c>
      <c r="C3413" s="58">
        <v>1</v>
      </c>
      <c r="D3413" s="58">
        <v>104</v>
      </c>
      <c r="E3413" s="59">
        <v>254.2475</v>
      </c>
    </row>
    <row r="3414" spans="1:5" ht="15" x14ac:dyDescent="0.35">
      <c r="A3414" s="58" t="s">
        <v>319</v>
      </c>
      <c r="B3414" s="58" t="s">
        <v>182</v>
      </c>
      <c r="C3414" s="58">
        <v>2</v>
      </c>
      <c r="D3414" s="58">
        <v>105</v>
      </c>
      <c r="E3414" s="59">
        <v>0</v>
      </c>
    </row>
    <row r="3415" spans="1:5" ht="15" x14ac:dyDescent="0.35">
      <c r="A3415" s="58" t="s">
        <v>319</v>
      </c>
      <c r="B3415" s="58" t="s">
        <v>182</v>
      </c>
      <c r="C3415" s="58">
        <v>3</v>
      </c>
      <c r="D3415" s="58">
        <v>106</v>
      </c>
      <c r="E3415" s="59">
        <v>0</v>
      </c>
    </row>
    <row r="3416" spans="1:5" ht="15" x14ac:dyDescent="0.35">
      <c r="A3416" s="58" t="s">
        <v>319</v>
      </c>
      <c r="B3416" s="58" t="s">
        <v>182</v>
      </c>
      <c r="C3416" s="58">
        <v>4</v>
      </c>
      <c r="D3416" s="58">
        <v>107</v>
      </c>
      <c r="E3416" s="59">
        <v>11.0412</v>
      </c>
    </row>
    <row r="3417" spans="1:5" ht="15" x14ac:dyDescent="0.35">
      <c r="A3417" s="58" t="s">
        <v>319</v>
      </c>
      <c r="B3417" s="58" t="s">
        <v>182</v>
      </c>
      <c r="C3417" s="58">
        <v>5</v>
      </c>
      <c r="D3417" s="58">
        <v>108</v>
      </c>
      <c r="E3417" s="59">
        <v>15.4697</v>
      </c>
    </row>
    <row r="3418" spans="1:5" ht="15" x14ac:dyDescent="0.35">
      <c r="A3418" s="58" t="s">
        <v>319</v>
      </c>
      <c r="B3418" s="58" t="s">
        <v>182</v>
      </c>
      <c r="C3418" s="58">
        <v>6</v>
      </c>
      <c r="D3418" s="58">
        <v>109</v>
      </c>
      <c r="E3418" s="59">
        <v>19.914200000000001</v>
      </c>
    </row>
    <row r="3419" spans="1:5" ht="15" x14ac:dyDescent="0.35">
      <c r="A3419" s="58" t="s">
        <v>319</v>
      </c>
      <c r="B3419" s="58" t="s">
        <v>182</v>
      </c>
      <c r="C3419" s="58">
        <v>7</v>
      </c>
      <c r="D3419" s="58">
        <v>110</v>
      </c>
      <c r="E3419" s="59">
        <v>34.914200000000001</v>
      </c>
    </row>
    <row r="3420" spans="1:5" ht="15" x14ac:dyDescent="0.35">
      <c r="A3420" s="58" t="s">
        <v>319</v>
      </c>
      <c r="B3420" s="58" t="s">
        <v>182</v>
      </c>
      <c r="C3420" s="58">
        <v>8</v>
      </c>
      <c r="D3420" s="58">
        <v>111</v>
      </c>
      <c r="E3420" s="59">
        <v>71.580799999999996</v>
      </c>
    </row>
    <row r="3421" spans="1:5" ht="15" x14ac:dyDescent="0.35">
      <c r="A3421" s="58" t="s">
        <v>319</v>
      </c>
      <c r="B3421" s="58" t="s">
        <v>182</v>
      </c>
      <c r="C3421" s="58">
        <v>9</v>
      </c>
      <c r="D3421" s="58">
        <v>112</v>
      </c>
      <c r="E3421" s="59">
        <v>92.358599999999996</v>
      </c>
    </row>
    <row r="3422" spans="1:5" ht="15" x14ac:dyDescent="0.35">
      <c r="A3422" s="58" t="s">
        <v>319</v>
      </c>
      <c r="B3422" s="58" t="s">
        <v>182</v>
      </c>
      <c r="C3422" s="58">
        <v>10</v>
      </c>
      <c r="D3422" s="58">
        <v>113</v>
      </c>
      <c r="E3422" s="59">
        <v>98.025300000000001</v>
      </c>
    </row>
    <row r="3423" spans="1:5" ht="15" x14ac:dyDescent="0.35">
      <c r="A3423" s="58" t="s">
        <v>319</v>
      </c>
      <c r="B3423" s="58" t="s">
        <v>182</v>
      </c>
      <c r="C3423" s="58">
        <v>11</v>
      </c>
      <c r="D3423" s="58">
        <v>114</v>
      </c>
      <c r="E3423" s="59">
        <v>101.91419999999999</v>
      </c>
    </row>
    <row r="3424" spans="1:5" ht="15" x14ac:dyDescent="0.35">
      <c r="A3424" s="58" t="s">
        <v>319</v>
      </c>
      <c r="B3424" s="58" t="s">
        <v>182</v>
      </c>
      <c r="C3424" s="58">
        <v>12</v>
      </c>
      <c r="D3424" s="58">
        <v>115</v>
      </c>
      <c r="E3424" s="59">
        <v>92.025300000000001</v>
      </c>
    </row>
    <row r="3425" spans="1:5" ht="15" x14ac:dyDescent="0.35">
      <c r="A3425" s="58" t="s">
        <v>319</v>
      </c>
      <c r="B3425" s="58" t="s">
        <v>176</v>
      </c>
      <c r="C3425" s="58">
        <v>1</v>
      </c>
      <c r="D3425" s="58">
        <v>104</v>
      </c>
      <c r="E3425" s="59">
        <v>106.125</v>
      </c>
    </row>
    <row r="3426" spans="1:5" ht="15" x14ac:dyDescent="0.35">
      <c r="A3426" s="58" t="s">
        <v>319</v>
      </c>
      <c r="B3426" s="58" t="s">
        <v>176</v>
      </c>
      <c r="C3426" s="58">
        <v>2</v>
      </c>
      <c r="D3426" s="58">
        <v>105</v>
      </c>
      <c r="E3426" s="59">
        <v>106.125</v>
      </c>
    </row>
    <row r="3427" spans="1:5" ht="15" x14ac:dyDescent="0.35">
      <c r="A3427" s="58" t="s">
        <v>319</v>
      </c>
      <c r="B3427" s="58" t="s">
        <v>176</v>
      </c>
      <c r="C3427" s="58">
        <v>3</v>
      </c>
      <c r="D3427" s="58">
        <v>106</v>
      </c>
      <c r="E3427" s="59">
        <v>106.125</v>
      </c>
    </row>
    <row r="3428" spans="1:5" ht="15" x14ac:dyDescent="0.35">
      <c r="A3428" s="58" t="s">
        <v>319</v>
      </c>
      <c r="B3428" s="58" t="s">
        <v>176</v>
      </c>
      <c r="C3428" s="58">
        <v>4</v>
      </c>
      <c r="D3428" s="58">
        <v>107</v>
      </c>
      <c r="E3428" s="59">
        <v>106.125</v>
      </c>
    </row>
    <row r="3429" spans="1:5" ht="15" x14ac:dyDescent="0.35">
      <c r="A3429" s="58" t="s">
        <v>319</v>
      </c>
      <c r="B3429" s="58" t="s">
        <v>176</v>
      </c>
      <c r="C3429" s="58">
        <v>5</v>
      </c>
      <c r="D3429" s="58">
        <v>108</v>
      </c>
      <c r="E3429" s="59">
        <v>106.125</v>
      </c>
    </row>
    <row r="3430" spans="1:5" ht="15" x14ac:dyDescent="0.35">
      <c r="A3430" s="58" t="s">
        <v>319</v>
      </c>
      <c r="B3430" s="58" t="s">
        <v>176</v>
      </c>
      <c r="C3430" s="58">
        <v>6</v>
      </c>
      <c r="D3430" s="58">
        <v>109</v>
      </c>
      <c r="E3430" s="59">
        <v>106.125</v>
      </c>
    </row>
    <row r="3431" spans="1:5" ht="15" x14ac:dyDescent="0.35">
      <c r="A3431" s="58" t="s">
        <v>319</v>
      </c>
      <c r="B3431" s="58" t="s">
        <v>176</v>
      </c>
      <c r="C3431" s="58">
        <v>7</v>
      </c>
      <c r="D3431" s="58">
        <v>110</v>
      </c>
      <c r="E3431" s="59">
        <v>106.125</v>
      </c>
    </row>
    <row r="3432" spans="1:5" ht="15" x14ac:dyDescent="0.35">
      <c r="A3432" s="58" t="s">
        <v>319</v>
      </c>
      <c r="B3432" s="58" t="s">
        <v>176</v>
      </c>
      <c r="C3432" s="58">
        <v>8</v>
      </c>
      <c r="D3432" s="58">
        <v>111</v>
      </c>
      <c r="E3432" s="59">
        <v>106.125</v>
      </c>
    </row>
    <row r="3433" spans="1:5" ht="15" x14ac:dyDescent="0.35">
      <c r="A3433" s="58" t="s">
        <v>319</v>
      </c>
      <c r="B3433" s="58" t="s">
        <v>176</v>
      </c>
      <c r="C3433" s="58">
        <v>9</v>
      </c>
      <c r="D3433" s="58">
        <v>112</v>
      </c>
      <c r="E3433" s="59">
        <v>106.125</v>
      </c>
    </row>
    <row r="3434" spans="1:5" ht="15" x14ac:dyDescent="0.35">
      <c r="A3434" s="58" t="s">
        <v>319</v>
      </c>
      <c r="B3434" s="58" t="s">
        <v>176</v>
      </c>
      <c r="C3434" s="58">
        <v>10</v>
      </c>
      <c r="D3434" s="58">
        <v>113</v>
      </c>
      <c r="E3434" s="59">
        <v>106.125</v>
      </c>
    </row>
    <row r="3435" spans="1:5" ht="15" x14ac:dyDescent="0.35">
      <c r="A3435" s="58" t="s">
        <v>319</v>
      </c>
      <c r="B3435" s="58" t="s">
        <v>176</v>
      </c>
      <c r="C3435" s="58">
        <v>11</v>
      </c>
      <c r="D3435" s="58">
        <v>114</v>
      </c>
      <c r="E3435" s="59">
        <v>106.125</v>
      </c>
    </row>
    <row r="3436" spans="1:5" ht="15" x14ac:dyDescent="0.35">
      <c r="A3436" s="58" t="s">
        <v>319</v>
      </c>
      <c r="B3436" s="58" t="s">
        <v>176</v>
      </c>
      <c r="C3436" s="58">
        <v>12</v>
      </c>
      <c r="D3436" s="58">
        <v>115</v>
      </c>
      <c r="E3436" s="59">
        <v>106.125</v>
      </c>
    </row>
    <row r="3437" spans="1:5" ht="15" x14ac:dyDescent="0.35">
      <c r="A3437" s="58" t="s">
        <v>319</v>
      </c>
      <c r="B3437" s="58" t="s">
        <v>172</v>
      </c>
      <c r="C3437" s="58">
        <v>1</v>
      </c>
      <c r="D3437" s="58">
        <v>104</v>
      </c>
      <c r="E3437" s="59">
        <v>244</v>
      </c>
    </row>
    <row r="3438" spans="1:5" ht="15" x14ac:dyDescent="0.35">
      <c r="A3438" s="58" t="s">
        <v>319</v>
      </c>
      <c r="B3438" s="58" t="s">
        <v>172</v>
      </c>
      <c r="C3438" s="58">
        <v>2</v>
      </c>
      <c r="D3438" s="58">
        <v>105</v>
      </c>
      <c r="E3438" s="59">
        <v>244</v>
      </c>
    </row>
    <row r="3439" spans="1:5" ht="15" x14ac:dyDescent="0.35">
      <c r="A3439" s="58" t="s">
        <v>319</v>
      </c>
      <c r="B3439" s="58" t="s">
        <v>172</v>
      </c>
      <c r="C3439" s="58">
        <v>3</v>
      </c>
      <c r="D3439" s="58">
        <v>106</v>
      </c>
      <c r="E3439" s="59">
        <v>244</v>
      </c>
    </row>
    <row r="3440" spans="1:5" ht="15" x14ac:dyDescent="0.35">
      <c r="A3440" s="58" t="s">
        <v>319</v>
      </c>
      <c r="B3440" s="58" t="s">
        <v>172</v>
      </c>
      <c r="C3440" s="58">
        <v>4</v>
      </c>
      <c r="D3440" s="58">
        <v>107</v>
      </c>
      <c r="E3440" s="59">
        <v>244</v>
      </c>
    </row>
    <row r="3441" spans="1:5" ht="15" x14ac:dyDescent="0.35">
      <c r="A3441" s="58" t="s">
        <v>319</v>
      </c>
      <c r="B3441" s="58" t="s">
        <v>172</v>
      </c>
      <c r="C3441" s="58">
        <v>5</v>
      </c>
      <c r="D3441" s="58">
        <v>108</v>
      </c>
      <c r="E3441" s="59">
        <v>244</v>
      </c>
    </row>
    <row r="3442" spans="1:5" ht="15" x14ac:dyDescent="0.35">
      <c r="A3442" s="58" t="s">
        <v>319</v>
      </c>
      <c r="B3442" s="58" t="s">
        <v>172</v>
      </c>
      <c r="C3442" s="58">
        <v>6</v>
      </c>
      <c r="D3442" s="58">
        <v>109</v>
      </c>
      <c r="E3442" s="59">
        <v>244</v>
      </c>
    </row>
    <row r="3443" spans="1:5" ht="15" x14ac:dyDescent="0.35">
      <c r="A3443" s="58" t="s">
        <v>319</v>
      </c>
      <c r="B3443" s="58" t="s">
        <v>172</v>
      </c>
      <c r="C3443" s="58">
        <v>7</v>
      </c>
      <c r="D3443" s="58">
        <v>110</v>
      </c>
      <c r="E3443" s="59">
        <v>244</v>
      </c>
    </row>
    <row r="3444" spans="1:5" ht="15" x14ac:dyDescent="0.35">
      <c r="A3444" s="58" t="s">
        <v>319</v>
      </c>
      <c r="B3444" s="58" t="s">
        <v>172</v>
      </c>
      <c r="C3444" s="58">
        <v>8</v>
      </c>
      <c r="D3444" s="58">
        <v>111</v>
      </c>
      <c r="E3444" s="59">
        <v>244</v>
      </c>
    </row>
    <row r="3445" spans="1:5" ht="15" x14ac:dyDescent="0.35">
      <c r="A3445" s="58" t="s">
        <v>319</v>
      </c>
      <c r="B3445" s="58" t="s">
        <v>172</v>
      </c>
      <c r="C3445" s="58">
        <v>9</v>
      </c>
      <c r="D3445" s="58">
        <v>112</v>
      </c>
      <c r="E3445" s="59">
        <v>244</v>
      </c>
    </row>
    <row r="3446" spans="1:5" ht="15" x14ac:dyDescent="0.35">
      <c r="A3446" s="58" t="s">
        <v>319</v>
      </c>
      <c r="B3446" s="58" t="s">
        <v>172</v>
      </c>
      <c r="C3446" s="58">
        <v>10</v>
      </c>
      <c r="D3446" s="58">
        <v>113</v>
      </c>
      <c r="E3446" s="59">
        <v>244</v>
      </c>
    </row>
    <row r="3447" spans="1:5" ht="15" x14ac:dyDescent="0.35">
      <c r="A3447" s="58" t="s">
        <v>319</v>
      </c>
      <c r="B3447" s="58" t="s">
        <v>172</v>
      </c>
      <c r="C3447" s="58">
        <v>11</v>
      </c>
      <c r="D3447" s="58">
        <v>114</v>
      </c>
      <c r="E3447" s="59">
        <v>244</v>
      </c>
    </row>
    <row r="3448" spans="1:5" ht="15" x14ac:dyDescent="0.35">
      <c r="A3448" s="58" t="s">
        <v>319</v>
      </c>
      <c r="B3448" s="58" t="s">
        <v>172</v>
      </c>
      <c r="C3448" s="58">
        <v>12</v>
      </c>
      <c r="D3448" s="58">
        <v>115</v>
      </c>
      <c r="E3448" s="59">
        <v>244</v>
      </c>
    </row>
    <row r="3449" spans="1:5" ht="15" x14ac:dyDescent="0.35">
      <c r="A3449" s="58" t="s">
        <v>319</v>
      </c>
      <c r="B3449" s="58" t="s">
        <v>180</v>
      </c>
      <c r="C3449" s="58">
        <v>1</v>
      </c>
      <c r="D3449" s="58">
        <v>104</v>
      </c>
      <c r="E3449" s="59">
        <v>106.9177</v>
      </c>
    </row>
    <row r="3450" spans="1:5" ht="15" x14ac:dyDescent="0.35">
      <c r="A3450" s="58" t="s">
        <v>319</v>
      </c>
      <c r="B3450" s="58" t="s">
        <v>180</v>
      </c>
      <c r="C3450" s="58">
        <v>2</v>
      </c>
      <c r="D3450" s="58">
        <v>105</v>
      </c>
      <c r="E3450" s="59">
        <v>106.9177</v>
      </c>
    </row>
    <row r="3451" spans="1:5" ht="15" x14ac:dyDescent="0.35">
      <c r="A3451" s="58" t="s">
        <v>319</v>
      </c>
      <c r="B3451" s="58" t="s">
        <v>180</v>
      </c>
      <c r="C3451" s="58">
        <v>3</v>
      </c>
      <c r="D3451" s="58">
        <v>106</v>
      </c>
      <c r="E3451" s="59">
        <v>106.9177</v>
      </c>
    </row>
    <row r="3452" spans="1:5" ht="15" x14ac:dyDescent="0.35">
      <c r="A3452" s="58" t="s">
        <v>319</v>
      </c>
      <c r="B3452" s="58" t="s">
        <v>180</v>
      </c>
      <c r="C3452" s="58">
        <v>4</v>
      </c>
      <c r="D3452" s="58">
        <v>107</v>
      </c>
      <c r="E3452" s="59">
        <v>106.9177</v>
      </c>
    </row>
    <row r="3453" spans="1:5" ht="15" x14ac:dyDescent="0.35">
      <c r="A3453" s="58" t="s">
        <v>319</v>
      </c>
      <c r="B3453" s="58" t="s">
        <v>180</v>
      </c>
      <c r="C3453" s="58">
        <v>5</v>
      </c>
      <c r="D3453" s="58">
        <v>108</v>
      </c>
      <c r="E3453" s="59">
        <v>106.9177</v>
      </c>
    </row>
    <row r="3454" spans="1:5" ht="15" x14ac:dyDescent="0.35">
      <c r="A3454" s="58" t="s">
        <v>319</v>
      </c>
      <c r="B3454" s="58" t="s">
        <v>180</v>
      </c>
      <c r="C3454" s="58">
        <v>6</v>
      </c>
      <c r="D3454" s="58">
        <v>109</v>
      </c>
      <c r="E3454" s="59">
        <v>106.9177</v>
      </c>
    </row>
    <row r="3455" spans="1:5" ht="15" x14ac:dyDescent="0.35">
      <c r="A3455" s="58" t="s">
        <v>319</v>
      </c>
      <c r="B3455" s="58" t="s">
        <v>180</v>
      </c>
      <c r="C3455" s="58">
        <v>7</v>
      </c>
      <c r="D3455" s="58">
        <v>110</v>
      </c>
      <c r="E3455" s="59">
        <v>106.9177</v>
      </c>
    </row>
    <row r="3456" spans="1:5" ht="15" x14ac:dyDescent="0.35">
      <c r="A3456" s="58" t="s">
        <v>319</v>
      </c>
      <c r="B3456" s="58" t="s">
        <v>180</v>
      </c>
      <c r="C3456" s="58">
        <v>8</v>
      </c>
      <c r="D3456" s="58">
        <v>111</v>
      </c>
      <c r="E3456" s="59">
        <v>106.9177</v>
      </c>
    </row>
    <row r="3457" spans="1:5" ht="15" x14ac:dyDescent="0.35">
      <c r="A3457" s="58" t="s">
        <v>319</v>
      </c>
      <c r="B3457" s="58" t="s">
        <v>180</v>
      </c>
      <c r="C3457" s="58">
        <v>9</v>
      </c>
      <c r="D3457" s="58">
        <v>112</v>
      </c>
      <c r="E3457" s="59">
        <v>106.9177</v>
      </c>
    </row>
    <row r="3458" spans="1:5" ht="15" x14ac:dyDescent="0.35">
      <c r="A3458" s="58" t="s">
        <v>319</v>
      </c>
      <c r="B3458" s="58" t="s">
        <v>180</v>
      </c>
      <c r="C3458" s="58">
        <v>10</v>
      </c>
      <c r="D3458" s="58">
        <v>113</v>
      </c>
      <c r="E3458" s="59">
        <v>106.9177</v>
      </c>
    </row>
    <row r="3459" spans="1:5" ht="15" x14ac:dyDescent="0.35">
      <c r="A3459" s="58" t="s">
        <v>319</v>
      </c>
      <c r="B3459" s="58" t="s">
        <v>180</v>
      </c>
      <c r="C3459" s="58">
        <v>11</v>
      </c>
      <c r="D3459" s="58">
        <v>114</v>
      </c>
      <c r="E3459" s="59">
        <v>106.9177</v>
      </c>
    </row>
    <row r="3460" spans="1:5" ht="15" x14ac:dyDescent="0.35">
      <c r="A3460" s="58" t="s">
        <v>319</v>
      </c>
      <c r="B3460" s="58" t="s">
        <v>180</v>
      </c>
      <c r="C3460" s="58">
        <v>12</v>
      </c>
      <c r="D3460" s="58">
        <v>115</v>
      </c>
      <c r="E3460" s="59">
        <v>106.9177</v>
      </c>
    </row>
    <row r="3461" spans="1:5" ht="15" x14ac:dyDescent="0.35">
      <c r="A3461" s="58" t="s">
        <v>267</v>
      </c>
      <c r="B3461" s="58" t="s">
        <v>182</v>
      </c>
      <c r="C3461" s="58">
        <v>1</v>
      </c>
      <c r="D3461" s="58">
        <v>104</v>
      </c>
      <c r="E3461" s="59">
        <v>458.4341</v>
      </c>
    </row>
    <row r="3462" spans="1:5" ht="15" x14ac:dyDescent="0.35">
      <c r="A3462" s="58" t="s">
        <v>267</v>
      </c>
      <c r="B3462" s="58" t="s">
        <v>182</v>
      </c>
      <c r="C3462" s="58">
        <v>2</v>
      </c>
      <c r="D3462" s="58">
        <v>105</v>
      </c>
      <c r="E3462" s="59">
        <v>120.34520000000001</v>
      </c>
    </row>
    <row r="3463" spans="1:5" ht="15" x14ac:dyDescent="0.35">
      <c r="A3463" s="58" t="s">
        <v>267</v>
      </c>
      <c r="B3463" s="58" t="s">
        <v>182</v>
      </c>
      <c r="C3463" s="58">
        <v>3</v>
      </c>
      <c r="D3463" s="58">
        <v>106</v>
      </c>
      <c r="E3463" s="59">
        <v>109.87860000000001</v>
      </c>
    </row>
    <row r="3464" spans="1:5" ht="15" x14ac:dyDescent="0.35">
      <c r="A3464" s="58" t="s">
        <v>267</v>
      </c>
      <c r="B3464" s="58" t="s">
        <v>182</v>
      </c>
      <c r="C3464" s="58">
        <v>4</v>
      </c>
      <c r="D3464" s="58">
        <v>107</v>
      </c>
      <c r="E3464" s="59">
        <v>109.8309</v>
      </c>
    </row>
    <row r="3465" spans="1:5" ht="15" x14ac:dyDescent="0.35">
      <c r="A3465" s="58" t="s">
        <v>267</v>
      </c>
      <c r="B3465" s="58" t="s">
        <v>182</v>
      </c>
      <c r="C3465" s="58">
        <v>5</v>
      </c>
      <c r="D3465" s="58">
        <v>108</v>
      </c>
      <c r="E3465" s="59">
        <v>133.67019999999999</v>
      </c>
    </row>
    <row r="3466" spans="1:5" ht="15" x14ac:dyDescent="0.35">
      <c r="A3466" s="58" t="s">
        <v>267</v>
      </c>
      <c r="B3466" s="58" t="s">
        <v>182</v>
      </c>
      <c r="C3466" s="58">
        <v>6</v>
      </c>
      <c r="D3466" s="58">
        <v>109</v>
      </c>
      <c r="E3466" s="59">
        <v>138.54519999999999</v>
      </c>
    </row>
    <row r="3467" spans="1:5" ht="15" x14ac:dyDescent="0.35">
      <c r="A3467" s="58" t="s">
        <v>267</v>
      </c>
      <c r="B3467" s="58" t="s">
        <v>182</v>
      </c>
      <c r="C3467" s="58">
        <v>7</v>
      </c>
      <c r="D3467" s="58">
        <v>110</v>
      </c>
      <c r="E3467" s="59">
        <v>125.9897</v>
      </c>
    </row>
    <row r="3468" spans="1:5" ht="15" x14ac:dyDescent="0.35">
      <c r="A3468" s="58" t="s">
        <v>267</v>
      </c>
      <c r="B3468" s="58" t="s">
        <v>182</v>
      </c>
      <c r="C3468" s="58">
        <v>8</v>
      </c>
      <c r="D3468" s="58">
        <v>111</v>
      </c>
      <c r="E3468" s="59">
        <v>106.10080000000001</v>
      </c>
    </row>
    <row r="3469" spans="1:5" ht="15" x14ac:dyDescent="0.35">
      <c r="A3469" s="58" t="s">
        <v>267</v>
      </c>
      <c r="B3469" s="58" t="s">
        <v>182</v>
      </c>
      <c r="C3469" s="58">
        <v>9</v>
      </c>
      <c r="D3469" s="58">
        <v>112</v>
      </c>
      <c r="E3469" s="59">
        <v>116.9897</v>
      </c>
    </row>
    <row r="3470" spans="1:5" ht="15" x14ac:dyDescent="0.35">
      <c r="A3470" s="58" t="s">
        <v>267</v>
      </c>
      <c r="B3470" s="58" t="s">
        <v>182</v>
      </c>
      <c r="C3470" s="58">
        <v>10</v>
      </c>
      <c r="D3470" s="58">
        <v>113</v>
      </c>
      <c r="E3470" s="59">
        <v>135.32300000000001</v>
      </c>
    </row>
    <row r="3471" spans="1:5" ht="15" x14ac:dyDescent="0.35">
      <c r="A3471" s="58" t="s">
        <v>267</v>
      </c>
      <c r="B3471" s="58" t="s">
        <v>182</v>
      </c>
      <c r="C3471" s="58">
        <v>11</v>
      </c>
      <c r="D3471" s="58">
        <v>114</v>
      </c>
      <c r="E3471" s="59">
        <v>143.9897</v>
      </c>
    </row>
    <row r="3472" spans="1:5" ht="15" x14ac:dyDescent="0.35">
      <c r="A3472" s="58" t="s">
        <v>267</v>
      </c>
      <c r="B3472" s="58" t="s">
        <v>182</v>
      </c>
      <c r="C3472" s="58">
        <v>12</v>
      </c>
      <c r="D3472" s="58">
        <v>115</v>
      </c>
      <c r="E3472" s="59">
        <v>162.10079999999999</v>
      </c>
    </row>
    <row r="3473" spans="1:5" ht="15" x14ac:dyDescent="0.35">
      <c r="A3473" s="58" t="s">
        <v>267</v>
      </c>
      <c r="B3473" s="58" t="s">
        <v>176</v>
      </c>
      <c r="C3473" s="58">
        <v>1</v>
      </c>
      <c r="D3473" s="58">
        <v>104</v>
      </c>
      <c r="E3473" s="59">
        <v>402.625</v>
      </c>
    </row>
    <row r="3474" spans="1:5" ht="15" x14ac:dyDescent="0.35">
      <c r="A3474" s="58" t="s">
        <v>267</v>
      </c>
      <c r="B3474" s="58" t="s">
        <v>176</v>
      </c>
      <c r="C3474" s="58">
        <v>2</v>
      </c>
      <c r="D3474" s="58">
        <v>105</v>
      </c>
      <c r="E3474" s="59">
        <v>402.625</v>
      </c>
    </row>
    <row r="3475" spans="1:5" ht="15" x14ac:dyDescent="0.35">
      <c r="A3475" s="58" t="s">
        <v>267</v>
      </c>
      <c r="B3475" s="58" t="s">
        <v>176</v>
      </c>
      <c r="C3475" s="58">
        <v>3</v>
      </c>
      <c r="D3475" s="58">
        <v>106</v>
      </c>
      <c r="E3475" s="59">
        <v>402.625</v>
      </c>
    </row>
    <row r="3476" spans="1:5" ht="15" x14ac:dyDescent="0.35">
      <c r="A3476" s="58" t="s">
        <v>267</v>
      </c>
      <c r="B3476" s="58" t="s">
        <v>176</v>
      </c>
      <c r="C3476" s="58">
        <v>4</v>
      </c>
      <c r="D3476" s="58">
        <v>107</v>
      </c>
      <c r="E3476" s="59">
        <v>402.625</v>
      </c>
    </row>
    <row r="3477" spans="1:5" ht="15" x14ac:dyDescent="0.35">
      <c r="A3477" s="58" t="s">
        <v>267</v>
      </c>
      <c r="B3477" s="58" t="s">
        <v>176</v>
      </c>
      <c r="C3477" s="58">
        <v>5</v>
      </c>
      <c r="D3477" s="58">
        <v>108</v>
      </c>
      <c r="E3477" s="59">
        <v>402.625</v>
      </c>
    </row>
    <row r="3478" spans="1:5" ht="15" x14ac:dyDescent="0.35">
      <c r="A3478" s="58" t="s">
        <v>267</v>
      </c>
      <c r="B3478" s="58" t="s">
        <v>176</v>
      </c>
      <c r="C3478" s="58">
        <v>6</v>
      </c>
      <c r="D3478" s="58">
        <v>109</v>
      </c>
      <c r="E3478" s="59">
        <v>402.625</v>
      </c>
    </row>
    <row r="3479" spans="1:5" ht="15" x14ac:dyDescent="0.35">
      <c r="A3479" s="58" t="s">
        <v>267</v>
      </c>
      <c r="B3479" s="58" t="s">
        <v>176</v>
      </c>
      <c r="C3479" s="58">
        <v>7</v>
      </c>
      <c r="D3479" s="58">
        <v>110</v>
      </c>
      <c r="E3479" s="59">
        <v>402.625</v>
      </c>
    </row>
    <row r="3480" spans="1:5" ht="15" x14ac:dyDescent="0.35">
      <c r="A3480" s="58" t="s">
        <v>267</v>
      </c>
      <c r="B3480" s="58" t="s">
        <v>176</v>
      </c>
      <c r="C3480" s="58">
        <v>8</v>
      </c>
      <c r="D3480" s="58">
        <v>111</v>
      </c>
      <c r="E3480" s="59">
        <v>402.625</v>
      </c>
    </row>
    <row r="3481" spans="1:5" ht="15" x14ac:dyDescent="0.35">
      <c r="A3481" s="58" t="s">
        <v>267</v>
      </c>
      <c r="B3481" s="58" t="s">
        <v>176</v>
      </c>
      <c r="C3481" s="58">
        <v>9</v>
      </c>
      <c r="D3481" s="58">
        <v>112</v>
      </c>
      <c r="E3481" s="59">
        <v>402.625</v>
      </c>
    </row>
    <row r="3482" spans="1:5" ht="15" x14ac:dyDescent="0.35">
      <c r="A3482" s="58" t="s">
        <v>267</v>
      </c>
      <c r="B3482" s="58" t="s">
        <v>176</v>
      </c>
      <c r="C3482" s="58">
        <v>10</v>
      </c>
      <c r="D3482" s="58">
        <v>113</v>
      </c>
      <c r="E3482" s="59">
        <v>402.625</v>
      </c>
    </row>
    <row r="3483" spans="1:5" ht="15" x14ac:dyDescent="0.35">
      <c r="A3483" s="58" t="s">
        <v>267</v>
      </c>
      <c r="B3483" s="58" t="s">
        <v>176</v>
      </c>
      <c r="C3483" s="58">
        <v>11</v>
      </c>
      <c r="D3483" s="58">
        <v>114</v>
      </c>
      <c r="E3483" s="59">
        <v>402.625</v>
      </c>
    </row>
    <row r="3484" spans="1:5" ht="15" x14ac:dyDescent="0.35">
      <c r="A3484" s="58" t="s">
        <v>267</v>
      </c>
      <c r="B3484" s="58" t="s">
        <v>176</v>
      </c>
      <c r="C3484" s="58">
        <v>12</v>
      </c>
      <c r="D3484" s="58">
        <v>115</v>
      </c>
      <c r="E3484" s="59">
        <v>402.625</v>
      </c>
    </row>
    <row r="3485" spans="1:5" ht="15" x14ac:dyDescent="0.35">
      <c r="A3485" s="58" t="s">
        <v>267</v>
      </c>
      <c r="B3485" s="58" t="s">
        <v>172</v>
      </c>
      <c r="C3485" s="58">
        <v>1</v>
      </c>
      <c r="D3485" s="58">
        <v>104</v>
      </c>
      <c r="E3485" s="59">
        <v>671</v>
      </c>
    </row>
    <row r="3486" spans="1:5" ht="15" x14ac:dyDescent="0.35">
      <c r="A3486" s="58" t="s">
        <v>267</v>
      </c>
      <c r="B3486" s="58" t="s">
        <v>172</v>
      </c>
      <c r="C3486" s="58">
        <v>2</v>
      </c>
      <c r="D3486" s="58">
        <v>105</v>
      </c>
      <c r="E3486" s="59">
        <v>671</v>
      </c>
    </row>
    <row r="3487" spans="1:5" ht="15" x14ac:dyDescent="0.35">
      <c r="A3487" s="58" t="s">
        <v>267</v>
      </c>
      <c r="B3487" s="58" t="s">
        <v>172</v>
      </c>
      <c r="C3487" s="58">
        <v>3</v>
      </c>
      <c r="D3487" s="58">
        <v>106</v>
      </c>
      <c r="E3487" s="59">
        <v>671</v>
      </c>
    </row>
    <row r="3488" spans="1:5" ht="15" x14ac:dyDescent="0.35">
      <c r="A3488" s="58" t="s">
        <v>267</v>
      </c>
      <c r="B3488" s="58" t="s">
        <v>172</v>
      </c>
      <c r="C3488" s="58">
        <v>4</v>
      </c>
      <c r="D3488" s="58">
        <v>107</v>
      </c>
      <c r="E3488" s="59">
        <v>671</v>
      </c>
    </row>
    <row r="3489" spans="1:5" ht="15" x14ac:dyDescent="0.35">
      <c r="A3489" s="58" t="s">
        <v>267</v>
      </c>
      <c r="B3489" s="58" t="s">
        <v>172</v>
      </c>
      <c r="C3489" s="58">
        <v>5</v>
      </c>
      <c r="D3489" s="58">
        <v>108</v>
      </c>
      <c r="E3489" s="59">
        <v>671</v>
      </c>
    </row>
    <row r="3490" spans="1:5" ht="15" x14ac:dyDescent="0.35">
      <c r="A3490" s="58" t="s">
        <v>267</v>
      </c>
      <c r="B3490" s="58" t="s">
        <v>172</v>
      </c>
      <c r="C3490" s="58">
        <v>6</v>
      </c>
      <c r="D3490" s="58">
        <v>109</v>
      </c>
      <c r="E3490" s="59">
        <v>671</v>
      </c>
    </row>
    <row r="3491" spans="1:5" ht="15" x14ac:dyDescent="0.35">
      <c r="A3491" s="58" t="s">
        <v>267</v>
      </c>
      <c r="B3491" s="58" t="s">
        <v>172</v>
      </c>
      <c r="C3491" s="58">
        <v>7</v>
      </c>
      <c r="D3491" s="58">
        <v>110</v>
      </c>
      <c r="E3491" s="59">
        <v>671</v>
      </c>
    </row>
    <row r="3492" spans="1:5" ht="15" x14ac:dyDescent="0.35">
      <c r="A3492" s="58" t="s">
        <v>267</v>
      </c>
      <c r="B3492" s="58" t="s">
        <v>172</v>
      </c>
      <c r="C3492" s="58">
        <v>8</v>
      </c>
      <c r="D3492" s="58">
        <v>111</v>
      </c>
      <c r="E3492" s="59">
        <v>671</v>
      </c>
    </row>
    <row r="3493" spans="1:5" ht="15" x14ac:dyDescent="0.35">
      <c r="A3493" s="58" t="s">
        <v>267</v>
      </c>
      <c r="B3493" s="58" t="s">
        <v>172</v>
      </c>
      <c r="C3493" s="58">
        <v>9</v>
      </c>
      <c r="D3493" s="58">
        <v>112</v>
      </c>
      <c r="E3493" s="59">
        <v>671</v>
      </c>
    </row>
    <row r="3494" spans="1:5" ht="15" x14ac:dyDescent="0.35">
      <c r="A3494" s="58" t="s">
        <v>267</v>
      </c>
      <c r="B3494" s="58" t="s">
        <v>172</v>
      </c>
      <c r="C3494" s="58">
        <v>10</v>
      </c>
      <c r="D3494" s="58">
        <v>113</v>
      </c>
      <c r="E3494" s="59">
        <v>671</v>
      </c>
    </row>
    <row r="3495" spans="1:5" ht="15" x14ac:dyDescent="0.35">
      <c r="A3495" s="58" t="s">
        <v>267</v>
      </c>
      <c r="B3495" s="58" t="s">
        <v>172</v>
      </c>
      <c r="C3495" s="58">
        <v>11</v>
      </c>
      <c r="D3495" s="58">
        <v>114</v>
      </c>
      <c r="E3495" s="59">
        <v>671</v>
      </c>
    </row>
    <row r="3496" spans="1:5" ht="15" x14ac:dyDescent="0.35">
      <c r="A3496" s="58" t="s">
        <v>267</v>
      </c>
      <c r="B3496" s="58" t="s">
        <v>172</v>
      </c>
      <c r="C3496" s="58">
        <v>12</v>
      </c>
      <c r="D3496" s="58">
        <v>115</v>
      </c>
      <c r="E3496" s="59">
        <v>671</v>
      </c>
    </row>
    <row r="3497" spans="1:5" ht="15" x14ac:dyDescent="0.35">
      <c r="A3497" s="58" t="s">
        <v>267</v>
      </c>
      <c r="B3497" s="58" t="s">
        <v>180</v>
      </c>
      <c r="C3497" s="58">
        <v>1</v>
      </c>
      <c r="D3497" s="58">
        <v>104</v>
      </c>
      <c r="E3497" s="59">
        <v>422.26490000000001</v>
      </c>
    </row>
    <row r="3498" spans="1:5" ht="15" x14ac:dyDescent="0.35">
      <c r="A3498" s="58" t="s">
        <v>267</v>
      </c>
      <c r="B3498" s="58" t="s">
        <v>180</v>
      </c>
      <c r="C3498" s="58">
        <v>2</v>
      </c>
      <c r="D3498" s="58">
        <v>105</v>
      </c>
      <c r="E3498" s="59">
        <v>422.26490000000001</v>
      </c>
    </row>
    <row r="3499" spans="1:5" ht="15" x14ac:dyDescent="0.35">
      <c r="A3499" s="58" t="s">
        <v>267</v>
      </c>
      <c r="B3499" s="58" t="s">
        <v>180</v>
      </c>
      <c r="C3499" s="58">
        <v>3</v>
      </c>
      <c r="D3499" s="58">
        <v>106</v>
      </c>
      <c r="E3499" s="59">
        <v>422.26490000000001</v>
      </c>
    </row>
    <row r="3500" spans="1:5" ht="15" x14ac:dyDescent="0.35">
      <c r="A3500" s="58" t="s">
        <v>267</v>
      </c>
      <c r="B3500" s="58" t="s">
        <v>180</v>
      </c>
      <c r="C3500" s="58">
        <v>4</v>
      </c>
      <c r="D3500" s="58">
        <v>107</v>
      </c>
      <c r="E3500" s="59">
        <v>422.26490000000001</v>
      </c>
    </row>
    <row r="3501" spans="1:5" ht="15" x14ac:dyDescent="0.35">
      <c r="A3501" s="58" t="s">
        <v>267</v>
      </c>
      <c r="B3501" s="58" t="s">
        <v>180</v>
      </c>
      <c r="C3501" s="58">
        <v>5</v>
      </c>
      <c r="D3501" s="58">
        <v>108</v>
      </c>
      <c r="E3501" s="59">
        <v>422.26490000000001</v>
      </c>
    </row>
    <row r="3502" spans="1:5" ht="15" x14ac:dyDescent="0.35">
      <c r="A3502" s="58" t="s">
        <v>267</v>
      </c>
      <c r="B3502" s="58" t="s">
        <v>180</v>
      </c>
      <c r="C3502" s="58">
        <v>6</v>
      </c>
      <c r="D3502" s="58">
        <v>109</v>
      </c>
      <c r="E3502" s="59">
        <v>422.26490000000001</v>
      </c>
    </row>
    <row r="3503" spans="1:5" ht="15" x14ac:dyDescent="0.35">
      <c r="A3503" s="58" t="s">
        <v>267</v>
      </c>
      <c r="B3503" s="58" t="s">
        <v>180</v>
      </c>
      <c r="C3503" s="58">
        <v>7</v>
      </c>
      <c r="D3503" s="58">
        <v>110</v>
      </c>
      <c r="E3503" s="59">
        <v>422.26490000000001</v>
      </c>
    </row>
    <row r="3504" spans="1:5" ht="15" x14ac:dyDescent="0.35">
      <c r="A3504" s="58" t="s">
        <v>267</v>
      </c>
      <c r="B3504" s="58" t="s">
        <v>180</v>
      </c>
      <c r="C3504" s="58">
        <v>8</v>
      </c>
      <c r="D3504" s="58">
        <v>111</v>
      </c>
      <c r="E3504" s="59">
        <v>422.26490000000001</v>
      </c>
    </row>
    <row r="3505" spans="1:5" ht="15" x14ac:dyDescent="0.35">
      <c r="A3505" s="58" t="s">
        <v>267</v>
      </c>
      <c r="B3505" s="58" t="s">
        <v>180</v>
      </c>
      <c r="C3505" s="58">
        <v>9</v>
      </c>
      <c r="D3505" s="58">
        <v>112</v>
      </c>
      <c r="E3505" s="59">
        <v>422.26490000000001</v>
      </c>
    </row>
    <row r="3506" spans="1:5" ht="15" x14ac:dyDescent="0.35">
      <c r="A3506" s="58" t="s">
        <v>267</v>
      </c>
      <c r="B3506" s="58" t="s">
        <v>180</v>
      </c>
      <c r="C3506" s="58">
        <v>10</v>
      </c>
      <c r="D3506" s="58">
        <v>113</v>
      </c>
      <c r="E3506" s="59">
        <v>422.26490000000001</v>
      </c>
    </row>
    <row r="3507" spans="1:5" ht="15" x14ac:dyDescent="0.35">
      <c r="A3507" s="58" t="s">
        <v>267</v>
      </c>
      <c r="B3507" s="58" t="s">
        <v>180</v>
      </c>
      <c r="C3507" s="58">
        <v>11</v>
      </c>
      <c r="D3507" s="58">
        <v>114</v>
      </c>
      <c r="E3507" s="59">
        <v>422.26490000000001</v>
      </c>
    </row>
    <row r="3508" spans="1:5" ht="15" x14ac:dyDescent="0.35">
      <c r="A3508" s="58" t="s">
        <v>267</v>
      </c>
      <c r="B3508" s="58" t="s">
        <v>180</v>
      </c>
      <c r="C3508" s="58">
        <v>12</v>
      </c>
      <c r="D3508" s="58">
        <v>115</v>
      </c>
      <c r="E3508" s="59">
        <v>422.26490000000001</v>
      </c>
    </row>
    <row r="3509" spans="1:5" ht="15" x14ac:dyDescent="0.35">
      <c r="A3509" s="58" t="s">
        <v>385</v>
      </c>
      <c r="B3509" s="58" t="s">
        <v>182</v>
      </c>
      <c r="C3509" s="58">
        <v>1</v>
      </c>
      <c r="D3509" s="58">
        <v>104</v>
      </c>
      <c r="E3509" s="59">
        <v>157.65110000000001</v>
      </c>
    </row>
    <row r="3510" spans="1:5" ht="15" x14ac:dyDescent="0.35">
      <c r="A3510" s="58" t="s">
        <v>385</v>
      </c>
      <c r="B3510" s="58" t="s">
        <v>182</v>
      </c>
      <c r="C3510" s="58">
        <v>2</v>
      </c>
      <c r="D3510" s="58">
        <v>105</v>
      </c>
      <c r="E3510" s="59">
        <v>60.228900000000003</v>
      </c>
    </row>
    <row r="3511" spans="1:5" ht="15" x14ac:dyDescent="0.35">
      <c r="A3511" s="58" t="s">
        <v>385</v>
      </c>
      <c r="B3511" s="58" t="s">
        <v>182</v>
      </c>
      <c r="C3511" s="58">
        <v>3</v>
      </c>
      <c r="D3511" s="58">
        <v>106</v>
      </c>
      <c r="E3511" s="59">
        <v>80.928899999999999</v>
      </c>
    </row>
    <row r="3512" spans="1:5" ht="15" x14ac:dyDescent="0.35">
      <c r="A3512" s="58" t="s">
        <v>385</v>
      </c>
      <c r="B3512" s="58" t="s">
        <v>182</v>
      </c>
      <c r="C3512" s="58">
        <v>4</v>
      </c>
      <c r="D3512" s="58">
        <v>107</v>
      </c>
      <c r="E3512" s="59">
        <v>104.57170000000001</v>
      </c>
    </row>
    <row r="3513" spans="1:5" ht="15" x14ac:dyDescent="0.35">
      <c r="A3513" s="58" t="s">
        <v>385</v>
      </c>
      <c r="B3513" s="58" t="s">
        <v>182</v>
      </c>
      <c r="C3513" s="58">
        <v>5</v>
      </c>
      <c r="D3513" s="58">
        <v>108</v>
      </c>
      <c r="E3513" s="59">
        <v>123.5539</v>
      </c>
    </row>
    <row r="3514" spans="1:5" ht="15" x14ac:dyDescent="0.35">
      <c r="A3514" s="58" t="s">
        <v>385</v>
      </c>
      <c r="B3514" s="58" t="s">
        <v>182</v>
      </c>
      <c r="C3514" s="58">
        <v>6</v>
      </c>
      <c r="D3514" s="58">
        <v>109</v>
      </c>
      <c r="E3514" s="59">
        <v>121.0956</v>
      </c>
    </row>
    <row r="3515" spans="1:5" ht="15" x14ac:dyDescent="0.35">
      <c r="A3515" s="58" t="s">
        <v>385</v>
      </c>
      <c r="B3515" s="58" t="s">
        <v>182</v>
      </c>
      <c r="C3515" s="58">
        <v>7</v>
      </c>
      <c r="D3515" s="58">
        <v>110</v>
      </c>
      <c r="E3515" s="59">
        <v>119.31780000000001</v>
      </c>
    </row>
    <row r="3516" spans="1:5" ht="15" x14ac:dyDescent="0.35">
      <c r="A3516" s="58" t="s">
        <v>385</v>
      </c>
      <c r="B3516" s="58" t="s">
        <v>182</v>
      </c>
      <c r="C3516" s="58">
        <v>8</v>
      </c>
      <c r="D3516" s="58">
        <v>111</v>
      </c>
      <c r="E3516" s="59">
        <v>150.98439999999999</v>
      </c>
    </row>
    <row r="3517" spans="1:5" ht="15" x14ac:dyDescent="0.35">
      <c r="A3517" s="58" t="s">
        <v>385</v>
      </c>
      <c r="B3517" s="58" t="s">
        <v>182</v>
      </c>
      <c r="C3517" s="58">
        <v>9</v>
      </c>
      <c r="D3517" s="58">
        <v>112</v>
      </c>
      <c r="E3517" s="59">
        <v>163.20670000000001</v>
      </c>
    </row>
    <row r="3518" spans="1:5" ht="15" x14ac:dyDescent="0.35">
      <c r="A3518" s="58" t="s">
        <v>385</v>
      </c>
      <c r="B3518" s="58" t="s">
        <v>182</v>
      </c>
      <c r="C3518" s="58">
        <v>10</v>
      </c>
      <c r="D3518" s="58">
        <v>113</v>
      </c>
      <c r="E3518" s="59">
        <v>175.09559999999999</v>
      </c>
    </row>
    <row r="3519" spans="1:5" ht="15" x14ac:dyDescent="0.35">
      <c r="A3519" s="58" t="s">
        <v>385</v>
      </c>
      <c r="B3519" s="58" t="s">
        <v>182</v>
      </c>
      <c r="C3519" s="58">
        <v>11</v>
      </c>
      <c r="D3519" s="58">
        <v>114</v>
      </c>
      <c r="E3519" s="59">
        <v>179.31780000000001</v>
      </c>
    </row>
    <row r="3520" spans="1:5" ht="15" x14ac:dyDescent="0.35">
      <c r="A3520" s="58" t="s">
        <v>385</v>
      </c>
      <c r="B3520" s="58" t="s">
        <v>182</v>
      </c>
      <c r="C3520" s="58">
        <v>12</v>
      </c>
      <c r="D3520" s="58">
        <v>115</v>
      </c>
      <c r="E3520" s="59">
        <v>184.4289</v>
      </c>
    </row>
    <row r="3521" spans="1:5" ht="15" x14ac:dyDescent="0.35">
      <c r="A3521" s="58" t="s">
        <v>385</v>
      </c>
      <c r="B3521" s="58" t="s">
        <v>176</v>
      </c>
      <c r="C3521" s="58">
        <v>1</v>
      </c>
      <c r="D3521" s="58">
        <v>104</v>
      </c>
      <c r="E3521" s="59">
        <v>224.5</v>
      </c>
    </row>
    <row r="3522" spans="1:5" ht="15" x14ac:dyDescent="0.35">
      <c r="A3522" s="58" t="s">
        <v>385</v>
      </c>
      <c r="B3522" s="58" t="s">
        <v>176</v>
      </c>
      <c r="C3522" s="58">
        <v>2</v>
      </c>
      <c r="D3522" s="58">
        <v>105</v>
      </c>
      <c r="E3522" s="59">
        <v>224.5</v>
      </c>
    </row>
    <row r="3523" spans="1:5" ht="15" x14ac:dyDescent="0.35">
      <c r="A3523" s="58" t="s">
        <v>385</v>
      </c>
      <c r="B3523" s="58" t="s">
        <v>176</v>
      </c>
      <c r="C3523" s="58">
        <v>3</v>
      </c>
      <c r="D3523" s="58">
        <v>106</v>
      </c>
      <c r="E3523" s="59">
        <v>224.5</v>
      </c>
    </row>
    <row r="3524" spans="1:5" ht="15" x14ac:dyDescent="0.35">
      <c r="A3524" s="58" t="s">
        <v>385</v>
      </c>
      <c r="B3524" s="58" t="s">
        <v>176</v>
      </c>
      <c r="C3524" s="58">
        <v>4</v>
      </c>
      <c r="D3524" s="58">
        <v>107</v>
      </c>
      <c r="E3524" s="59">
        <v>224.5</v>
      </c>
    </row>
    <row r="3525" spans="1:5" ht="15" x14ac:dyDescent="0.35">
      <c r="A3525" s="58" t="s">
        <v>385</v>
      </c>
      <c r="B3525" s="58" t="s">
        <v>176</v>
      </c>
      <c r="C3525" s="58">
        <v>5</v>
      </c>
      <c r="D3525" s="58">
        <v>108</v>
      </c>
      <c r="E3525" s="59">
        <v>224.5</v>
      </c>
    </row>
    <row r="3526" spans="1:5" ht="15" x14ac:dyDescent="0.35">
      <c r="A3526" s="58" t="s">
        <v>385</v>
      </c>
      <c r="B3526" s="58" t="s">
        <v>176</v>
      </c>
      <c r="C3526" s="58">
        <v>6</v>
      </c>
      <c r="D3526" s="58">
        <v>109</v>
      </c>
      <c r="E3526" s="59">
        <v>224.5</v>
      </c>
    </row>
    <row r="3527" spans="1:5" ht="15" x14ac:dyDescent="0.35">
      <c r="A3527" s="58" t="s">
        <v>385</v>
      </c>
      <c r="B3527" s="58" t="s">
        <v>176</v>
      </c>
      <c r="C3527" s="58">
        <v>7</v>
      </c>
      <c r="D3527" s="58">
        <v>110</v>
      </c>
      <c r="E3527" s="59">
        <v>224.5</v>
      </c>
    </row>
    <row r="3528" spans="1:5" ht="15" x14ac:dyDescent="0.35">
      <c r="A3528" s="58" t="s">
        <v>385</v>
      </c>
      <c r="B3528" s="58" t="s">
        <v>176</v>
      </c>
      <c r="C3528" s="58">
        <v>8</v>
      </c>
      <c r="D3528" s="58">
        <v>111</v>
      </c>
      <c r="E3528" s="59">
        <v>224.5</v>
      </c>
    </row>
    <row r="3529" spans="1:5" ht="15" x14ac:dyDescent="0.35">
      <c r="A3529" s="58" t="s">
        <v>385</v>
      </c>
      <c r="B3529" s="58" t="s">
        <v>176</v>
      </c>
      <c r="C3529" s="58">
        <v>9</v>
      </c>
      <c r="D3529" s="58">
        <v>112</v>
      </c>
      <c r="E3529" s="59">
        <v>224.5</v>
      </c>
    </row>
    <row r="3530" spans="1:5" ht="15" x14ac:dyDescent="0.35">
      <c r="A3530" s="58" t="s">
        <v>385</v>
      </c>
      <c r="B3530" s="58" t="s">
        <v>176</v>
      </c>
      <c r="C3530" s="58">
        <v>10</v>
      </c>
      <c r="D3530" s="58">
        <v>113</v>
      </c>
      <c r="E3530" s="59">
        <v>224.5</v>
      </c>
    </row>
    <row r="3531" spans="1:5" ht="15" x14ac:dyDescent="0.35">
      <c r="A3531" s="58" t="s">
        <v>385</v>
      </c>
      <c r="B3531" s="58" t="s">
        <v>176</v>
      </c>
      <c r="C3531" s="58">
        <v>11</v>
      </c>
      <c r="D3531" s="58">
        <v>114</v>
      </c>
      <c r="E3531" s="59">
        <v>224.5</v>
      </c>
    </row>
    <row r="3532" spans="1:5" ht="15" x14ac:dyDescent="0.35">
      <c r="A3532" s="58" t="s">
        <v>385</v>
      </c>
      <c r="B3532" s="58" t="s">
        <v>176</v>
      </c>
      <c r="C3532" s="58">
        <v>12</v>
      </c>
      <c r="D3532" s="58">
        <v>115</v>
      </c>
      <c r="E3532" s="59">
        <v>224.5</v>
      </c>
    </row>
    <row r="3533" spans="1:5" ht="15" x14ac:dyDescent="0.35">
      <c r="A3533" s="58" t="s">
        <v>385</v>
      </c>
      <c r="B3533" s="58" t="s">
        <v>172</v>
      </c>
      <c r="C3533" s="58">
        <v>1</v>
      </c>
      <c r="D3533" s="58">
        <v>104</v>
      </c>
      <c r="E3533" s="59">
        <v>490</v>
      </c>
    </row>
    <row r="3534" spans="1:5" ht="15" x14ac:dyDescent="0.35">
      <c r="A3534" s="58" t="s">
        <v>385</v>
      </c>
      <c r="B3534" s="58" t="s">
        <v>172</v>
      </c>
      <c r="C3534" s="58">
        <v>2</v>
      </c>
      <c r="D3534" s="58">
        <v>105</v>
      </c>
      <c r="E3534" s="59">
        <v>490</v>
      </c>
    </row>
    <row r="3535" spans="1:5" ht="15" x14ac:dyDescent="0.35">
      <c r="A3535" s="58" t="s">
        <v>385</v>
      </c>
      <c r="B3535" s="58" t="s">
        <v>172</v>
      </c>
      <c r="C3535" s="58">
        <v>3</v>
      </c>
      <c r="D3535" s="58">
        <v>106</v>
      </c>
      <c r="E3535" s="59">
        <v>490</v>
      </c>
    </row>
    <row r="3536" spans="1:5" ht="15" x14ac:dyDescent="0.35">
      <c r="A3536" s="58" t="s">
        <v>385</v>
      </c>
      <c r="B3536" s="58" t="s">
        <v>172</v>
      </c>
      <c r="C3536" s="58">
        <v>4</v>
      </c>
      <c r="D3536" s="58">
        <v>107</v>
      </c>
      <c r="E3536" s="59">
        <v>490</v>
      </c>
    </row>
    <row r="3537" spans="1:5" ht="15" x14ac:dyDescent="0.35">
      <c r="A3537" s="58" t="s">
        <v>385</v>
      </c>
      <c r="B3537" s="58" t="s">
        <v>172</v>
      </c>
      <c r="C3537" s="58">
        <v>5</v>
      </c>
      <c r="D3537" s="58">
        <v>108</v>
      </c>
      <c r="E3537" s="59">
        <v>490</v>
      </c>
    </row>
    <row r="3538" spans="1:5" ht="15" x14ac:dyDescent="0.35">
      <c r="A3538" s="58" t="s">
        <v>385</v>
      </c>
      <c r="B3538" s="58" t="s">
        <v>172</v>
      </c>
      <c r="C3538" s="58">
        <v>6</v>
      </c>
      <c r="D3538" s="58">
        <v>109</v>
      </c>
      <c r="E3538" s="59">
        <v>490</v>
      </c>
    </row>
    <row r="3539" spans="1:5" ht="15" x14ac:dyDescent="0.35">
      <c r="A3539" s="58" t="s">
        <v>385</v>
      </c>
      <c r="B3539" s="58" t="s">
        <v>172</v>
      </c>
      <c r="C3539" s="58">
        <v>7</v>
      </c>
      <c r="D3539" s="58">
        <v>110</v>
      </c>
      <c r="E3539" s="59">
        <v>490</v>
      </c>
    </row>
    <row r="3540" spans="1:5" ht="15" x14ac:dyDescent="0.35">
      <c r="A3540" s="58" t="s">
        <v>385</v>
      </c>
      <c r="B3540" s="58" t="s">
        <v>172</v>
      </c>
      <c r="C3540" s="58">
        <v>8</v>
      </c>
      <c r="D3540" s="58">
        <v>111</v>
      </c>
      <c r="E3540" s="59">
        <v>490</v>
      </c>
    </row>
    <row r="3541" spans="1:5" ht="15" x14ac:dyDescent="0.35">
      <c r="A3541" s="58" t="s">
        <v>385</v>
      </c>
      <c r="B3541" s="58" t="s">
        <v>172</v>
      </c>
      <c r="C3541" s="58">
        <v>9</v>
      </c>
      <c r="D3541" s="58">
        <v>112</v>
      </c>
      <c r="E3541" s="59">
        <v>490</v>
      </c>
    </row>
    <row r="3542" spans="1:5" ht="15" x14ac:dyDescent="0.35">
      <c r="A3542" s="58" t="s">
        <v>385</v>
      </c>
      <c r="B3542" s="58" t="s">
        <v>172</v>
      </c>
      <c r="C3542" s="58">
        <v>10</v>
      </c>
      <c r="D3542" s="58">
        <v>113</v>
      </c>
      <c r="E3542" s="59">
        <v>490</v>
      </c>
    </row>
    <row r="3543" spans="1:5" ht="15" x14ac:dyDescent="0.35">
      <c r="A3543" s="58" t="s">
        <v>385</v>
      </c>
      <c r="B3543" s="58" t="s">
        <v>172</v>
      </c>
      <c r="C3543" s="58">
        <v>11</v>
      </c>
      <c r="D3543" s="58">
        <v>114</v>
      </c>
      <c r="E3543" s="59">
        <v>490</v>
      </c>
    </row>
    <row r="3544" spans="1:5" ht="15" x14ac:dyDescent="0.35">
      <c r="A3544" s="58" t="s">
        <v>385</v>
      </c>
      <c r="B3544" s="58" t="s">
        <v>172</v>
      </c>
      <c r="C3544" s="58">
        <v>12</v>
      </c>
      <c r="D3544" s="58">
        <v>115</v>
      </c>
      <c r="E3544" s="59">
        <v>490</v>
      </c>
    </row>
    <row r="3545" spans="1:5" ht="15" x14ac:dyDescent="0.35">
      <c r="A3545" s="58" t="s">
        <v>385</v>
      </c>
      <c r="B3545" s="58" t="s">
        <v>180</v>
      </c>
      <c r="C3545" s="58">
        <v>1</v>
      </c>
      <c r="D3545" s="58">
        <v>104</v>
      </c>
      <c r="E3545" s="59">
        <v>219.69759999999999</v>
      </c>
    </row>
    <row r="3546" spans="1:5" ht="15" x14ac:dyDescent="0.35">
      <c r="A3546" s="58" t="s">
        <v>385</v>
      </c>
      <c r="B3546" s="58" t="s">
        <v>180</v>
      </c>
      <c r="C3546" s="58">
        <v>2</v>
      </c>
      <c r="D3546" s="58">
        <v>105</v>
      </c>
      <c r="E3546" s="59">
        <v>219.69759999999999</v>
      </c>
    </row>
    <row r="3547" spans="1:5" ht="15" x14ac:dyDescent="0.35">
      <c r="A3547" s="58" t="s">
        <v>385</v>
      </c>
      <c r="B3547" s="58" t="s">
        <v>180</v>
      </c>
      <c r="C3547" s="58">
        <v>3</v>
      </c>
      <c r="D3547" s="58">
        <v>106</v>
      </c>
      <c r="E3547" s="59">
        <v>219.69759999999999</v>
      </c>
    </row>
    <row r="3548" spans="1:5" ht="15" x14ac:dyDescent="0.35">
      <c r="A3548" s="58" t="s">
        <v>385</v>
      </c>
      <c r="B3548" s="58" t="s">
        <v>180</v>
      </c>
      <c r="C3548" s="58">
        <v>4</v>
      </c>
      <c r="D3548" s="58">
        <v>107</v>
      </c>
      <c r="E3548" s="59">
        <v>219.69759999999999</v>
      </c>
    </row>
    <row r="3549" spans="1:5" ht="15" x14ac:dyDescent="0.35">
      <c r="A3549" s="58" t="s">
        <v>385</v>
      </c>
      <c r="B3549" s="58" t="s">
        <v>180</v>
      </c>
      <c r="C3549" s="58">
        <v>5</v>
      </c>
      <c r="D3549" s="58">
        <v>108</v>
      </c>
      <c r="E3549" s="59">
        <v>219.69759999999999</v>
      </c>
    </row>
    <row r="3550" spans="1:5" ht="15" x14ac:dyDescent="0.35">
      <c r="A3550" s="58" t="s">
        <v>385</v>
      </c>
      <c r="B3550" s="58" t="s">
        <v>180</v>
      </c>
      <c r="C3550" s="58">
        <v>6</v>
      </c>
      <c r="D3550" s="58">
        <v>109</v>
      </c>
      <c r="E3550" s="59">
        <v>219.69759999999999</v>
      </c>
    </row>
    <row r="3551" spans="1:5" ht="15" x14ac:dyDescent="0.35">
      <c r="A3551" s="58" t="s">
        <v>385</v>
      </c>
      <c r="B3551" s="58" t="s">
        <v>180</v>
      </c>
      <c r="C3551" s="58">
        <v>7</v>
      </c>
      <c r="D3551" s="58">
        <v>110</v>
      </c>
      <c r="E3551" s="59">
        <v>219.69759999999999</v>
      </c>
    </row>
    <row r="3552" spans="1:5" ht="15" x14ac:dyDescent="0.35">
      <c r="A3552" s="58" t="s">
        <v>385</v>
      </c>
      <c r="B3552" s="58" t="s">
        <v>180</v>
      </c>
      <c r="C3552" s="58">
        <v>8</v>
      </c>
      <c r="D3552" s="58">
        <v>111</v>
      </c>
      <c r="E3552" s="59">
        <v>219.69759999999999</v>
      </c>
    </row>
    <row r="3553" spans="1:5" ht="15" x14ac:dyDescent="0.35">
      <c r="A3553" s="58" t="s">
        <v>385</v>
      </c>
      <c r="B3553" s="58" t="s">
        <v>180</v>
      </c>
      <c r="C3553" s="58">
        <v>9</v>
      </c>
      <c r="D3553" s="58">
        <v>112</v>
      </c>
      <c r="E3553" s="59">
        <v>219.69759999999999</v>
      </c>
    </row>
    <row r="3554" spans="1:5" ht="15" x14ac:dyDescent="0.35">
      <c r="A3554" s="58" t="s">
        <v>385</v>
      </c>
      <c r="B3554" s="58" t="s">
        <v>180</v>
      </c>
      <c r="C3554" s="58">
        <v>10</v>
      </c>
      <c r="D3554" s="58">
        <v>113</v>
      </c>
      <c r="E3554" s="59">
        <v>219.69759999999999</v>
      </c>
    </row>
    <row r="3555" spans="1:5" ht="15" x14ac:dyDescent="0.35">
      <c r="A3555" s="58" t="s">
        <v>385</v>
      </c>
      <c r="B3555" s="58" t="s">
        <v>180</v>
      </c>
      <c r="C3555" s="58">
        <v>11</v>
      </c>
      <c r="D3555" s="58">
        <v>114</v>
      </c>
      <c r="E3555" s="59">
        <v>219.69759999999999</v>
      </c>
    </row>
    <row r="3556" spans="1:5" ht="15" x14ac:dyDescent="0.35">
      <c r="A3556" s="58" t="s">
        <v>385</v>
      </c>
      <c r="B3556" s="58" t="s">
        <v>180</v>
      </c>
      <c r="C3556" s="58">
        <v>12</v>
      </c>
      <c r="D3556" s="58">
        <v>115</v>
      </c>
      <c r="E3556" s="59">
        <v>219.69759999999999</v>
      </c>
    </row>
    <row r="3557" spans="1:5" ht="15" x14ac:dyDescent="0.35">
      <c r="A3557" s="58" t="s">
        <v>334</v>
      </c>
      <c r="B3557" s="58" t="s">
        <v>182</v>
      </c>
      <c r="C3557" s="58">
        <v>1</v>
      </c>
      <c r="D3557" s="58">
        <v>104</v>
      </c>
      <c r="E3557" s="59">
        <v>105.0431</v>
      </c>
    </row>
    <row r="3558" spans="1:5" ht="15" x14ac:dyDescent="0.35">
      <c r="A3558" s="58" t="s">
        <v>334</v>
      </c>
      <c r="B3558" s="58" t="s">
        <v>182</v>
      </c>
      <c r="C3558" s="58">
        <v>2</v>
      </c>
      <c r="D3558" s="58">
        <v>105</v>
      </c>
      <c r="E3558" s="59">
        <v>0</v>
      </c>
    </row>
    <row r="3559" spans="1:5" ht="15" x14ac:dyDescent="0.35">
      <c r="A3559" s="58" t="s">
        <v>334</v>
      </c>
      <c r="B3559" s="58" t="s">
        <v>182</v>
      </c>
      <c r="C3559" s="58">
        <v>3</v>
      </c>
      <c r="D3559" s="58">
        <v>106</v>
      </c>
      <c r="E3559" s="59">
        <v>0</v>
      </c>
    </row>
    <row r="3560" spans="1:5" ht="15" x14ac:dyDescent="0.35">
      <c r="A3560" s="58" t="s">
        <v>334</v>
      </c>
      <c r="B3560" s="58" t="s">
        <v>182</v>
      </c>
      <c r="C3560" s="58">
        <v>4</v>
      </c>
      <c r="D3560" s="58">
        <v>107</v>
      </c>
      <c r="E3560" s="59">
        <v>0</v>
      </c>
    </row>
    <row r="3561" spans="1:5" ht="15" x14ac:dyDescent="0.35">
      <c r="A3561" s="58" t="s">
        <v>334</v>
      </c>
      <c r="B3561" s="58" t="s">
        <v>182</v>
      </c>
      <c r="C3561" s="58">
        <v>5</v>
      </c>
      <c r="D3561" s="58">
        <v>108</v>
      </c>
      <c r="E3561" s="59">
        <v>0</v>
      </c>
    </row>
    <row r="3562" spans="1:5" ht="15" x14ac:dyDescent="0.35">
      <c r="A3562" s="58" t="s">
        <v>334</v>
      </c>
      <c r="B3562" s="58" t="s">
        <v>182</v>
      </c>
      <c r="C3562" s="58">
        <v>6</v>
      </c>
      <c r="D3562" s="58">
        <v>109</v>
      </c>
      <c r="E3562" s="59">
        <v>0</v>
      </c>
    </row>
    <row r="3563" spans="1:5" ht="15" x14ac:dyDescent="0.35">
      <c r="A3563" s="58" t="s">
        <v>334</v>
      </c>
      <c r="B3563" s="58" t="s">
        <v>182</v>
      </c>
      <c r="C3563" s="58">
        <v>7</v>
      </c>
      <c r="D3563" s="58">
        <v>110</v>
      </c>
      <c r="E3563" s="59">
        <v>0</v>
      </c>
    </row>
    <row r="3564" spans="1:5" ht="15" x14ac:dyDescent="0.35">
      <c r="A3564" s="58" t="s">
        <v>334</v>
      </c>
      <c r="B3564" s="58" t="s">
        <v>182</v>
      </c>
      <c r="C3564" s="58">
        <v>8</v>
      </c>
      <c r="D3564" s="58">
        <v>111</v>
      </c>
      <c r="E3564" s="59">
        <v>31.154199999999999</v>
      </c>
    </row>
    <row r="3565" spans="1:5" ht="15" x14ac:dyDescent="0.35">
      <c r="A3565" s="58" t="s">
        <v>334</v>
      </c>
      <c r="B3565" s="58" t="s">
        <v>182</v>
      </c>
      <c r="C3565" s="58">
        <v>9</v>
      </c>
      <c r="D3565" s="58">
        <v>112</v>
      </c>
      <c r="E3565" s="59">
        <v>56.931899999999999</v>
      </c>
    </row>
    <row r="3566" spans="1:5" ht="15" x14ac:dyDescent="0.35">
      <c r="A3566" s="58" t="s">
        <v>334</v>
      </c>
      <c r="B3566" s="58" t="s">
        <v>182</v>
      </c>
      <c r="C3566" s="58">
        <v>10</v>
      </c>
      <c r="D3566" s="58">
        <v>113</v>
      </c>
      <c r="E3566" s="59">
        <v>67.709699999999998</v>
      </c>
    </row>
    <row r="3567" spans="1:5" ht="15" x14ac:dyDescent="0.35">
      <c r="A3567" s="58" t="s">
        <v>334</v>
      </c>
      <c r="B3567" s="58" t="s">
        <v>182</v>
      </c>
      <c r="C3567" s="58">
        <v>11</v>
      </c>
      <c r="D3567" s="58">
        <v>114</v>
      </c>
      <c r="E3567" s="59">
        <v>95.598600000000005</v>
      </c>
    </row>
    <row r="3568" spans="1:5" ht="15" x14ac:dyDescent="0.35">
      <c r="A3568" s="58" t="s">
        <v>334</v>
      </c>
      <c r="B3568" s="58" t="s">
        <v>182</v>
      </c>
      <c r="C3568" s="58">
        <v>12</v>
      </c>
      <c r="D3568" s="58">
        <v>115</v>
      </c>
      <c r="E3568" s="59">
        <v>157.37639999999999</v>
      </c>
    </row>
    <row r="3569" spans="1:5" ht="15" x14ac:dyDescent="0.35">
      <c r="A3569" s="58" t="s">
        <v>334</v>
      </c>
      <c r="B3569" s="58" t="s">
        <v>176</v>
      </c>
      <c r="C3569" s="58">
        <v>1</v>
      </c>
      <c r="D3569" s="58">
        <v>104</v>
      </c>
      <c r="E3569" s="59">
        <v>163.875</v>
      </c>
    </row>
    <row r="3570" spans="1:5" ht="15" x14ac:dyDescent="0.35">
      <c r="A3570" s="58" t="s">
        <v>334</v>
      </c>
      <c r="B3570" s="58" t="s">
        <v>176</v>
      </c>
      <c r="C3570" s="58">
        <v>2</v>
      </c>
      <c r="D3570" s="58">
        <v>105</v>
      </c>
      <c r="E3570" s="59">
        <v>163.875</v>
      </c>
    </row>
    <row r="3571" spans="1:5" ht="15" x14ac:dyDescent="0.35">
      <c r="A3571" s="58" t="s">
        <v>334</v>
      </c>
      <c r="B3571" s="58" t="s">
        <v>176</v>
      </c>
      <c r="C3571" s="58">
        <v>3</v>
      </c>
      <c r="D3571" s="58">
        <v>106</v>
      </c>
      <c r="E3571" s="59">
        <v>163.875</v>
      </c>
    </row>
    <row r="3572" spans="1:5" ht="15" x14ac:dyDescent="0.35">
      <c r="A3572" s="58" t="s">
        <v>334</v>
      </c>
      <c r="B3572" s="58" t="s">
        <v>176</v>
      </c>
      <c r="C3572" s="58">
        <v>4</v>
      </c>
      <c r="D3572" s="58">
        <v>107</v>
      </c>
      <c r="E3572" s="59">
        <v>163.875</v>
      </c>
    </row>
    <row r="3573" spans="1:5" ht="15" x14ac:dyDescent="0.35">
      <c r="A3573" s="58" t="s">
        <v>334</v>
      </c>
      <c r="B3573" s="58" t="s">
        <v>176</v>
      </c>
      <c r="C3573" s="58">
        <v>5</v>
      </c>
      <c r="D3573" s="58">
        <v>108</v>
      </c>
      <c r="E3573" s="59">
        <v>163.875</v>
      </c>
    </row>
    <row r="3574" spans="1:5" ht="15" x14ac:dyDescent="0.35">
      <c r="A3574" s="58" t="s">
        <v>334</v>
      </c>
      <c r="B3574" s="58" t="s">
        <v>176</v>
      </c>
      <c r="C3574" s="58">
        <v>6</v>
      </c>
      <c r="D3574" s="58">
        <v>109</v>
      </c>
      <c r="E3574" s="59">
        <v>163.875</v>
      </c>
    </row>
    <row r="3575" spans="1:5" ht="15" x14ac:dyDescent="0.35">
      <c r="A3575" s="58" t="s">
        <v>334</v>
      </c>
      <c r="B3575" s="58" t="s">
        <v>176</v>
      </c>
      <c r="C3575" s="58">
        <v>7</v>
      </c>
      <c r="D3575" s="58">
        <v>110</v>
      </c>
      <c r="E3575" s="59">
        <v>163.875</v>
      </c>
    </row>
    <row r="3576" spans="1:5" ht="15" x14ac:dyDescent="0.35">
      <c r="A3576" s="58" t="s">
        <v>334</v>
      </c>
      <c r="B3576" s="58" t="s">
        <v>176</v>
      </c>
      <c r="C3576" s="58">
        <v>8</v>
      </c>
      <c r="D3576" s="58">
        <v>111</v>
      </c>
      <c r="E3576" s="59">
        <v>163.875</v>
      </c>
    </row>
    <row r="3577" spans="1:5" ht="15" x14ac:dyDescent="0.35">
      <c r="A3577" s="58" t="s">
        <v>334</v>
      </c>
      <c r="B3577" s="58" t="s">
        <v>176</v>
      </c>
      <c r="C3577" s="58">
        <v>9</v>
      </c>
      <c r="D3577" s="58">
        <v>112</v>
      </c>
      <c r="E3577" s="59">
        <v>163.875</v>
      </c>
    </row>
    <row r="3578" spans="1:5" ht="15" x14ac:dyDescent="0.35">
      <c r="A3578" s="58" t="s">
        <v>334</v>
      </c>
      <c r="B3578" s="58" t="s">
        <v>176</v>
      </c>
      <c r="C3578" s="58">
        <v>10</v>
      </c>
      <c r="D3578" s="58">
        <v>113</v>
      </c>
      <c r="E3578" s="59">
        <v>163.875</v>
      </c>
    </row>
    <row r="3579" spans="1:5" ht="15" x14ac:dyDescent="0.35">
      <c r="A3579" s="58" t="s">
        <v>334</v>
      </c>
      <c r="B3579" s="58" t="s">
        <v>176</v>
      </c>
      <c r="C3579" s="58">
        <v>11</v>
      </c>
      <c r="D3579" s="58">
        <v>114</v>
      </c>
      <c r="E3579" s="59">
        <v>163.875</v>
      </c>
    </row>
    <row r="3580" spans="1:5" ht="15" x14ac:dyDescent="0.35">
      <c r="A3580" s="58" t="s">
        <v>334</v>
      </c>
      <c r="B3580" s="58" t="s">
        <v>176</v>
      </c>
      <c r="C3580" s="58">
        <v>12</v>
      </c>
      <c r="D3580" s="58">
        <v>115</v>
      </c>
      <c r="E3580" s="59">
        <v>163.875</v>
      </c>
    </row>
    <row r="3581" spans="1:5" ht="15" x14ac:dyDescent="0.35">
      <c r="A3581" s="58" t="s">
        <v>334</v>
      </c>
      <c r="B3581" s="58" t="s">
        <v>172</v>
      </c>
      <c r="C3581" s="58">
        <v>1</v>
      </c>
      <c r="D3581" s="58">
        <v>104</v>
      </c>
      <c r="E3581" s="59">
        <v>101</v>
      </c>
    </row>
    <row r="3582" spans="1:5" ht="15" x14ac:dyDescent="0.35">
      <c r="A3582" s="58" t="s">
        <v>334</v>
      </c>
      <c r="B3582" s="58" t="s">
        <v>172</v>
      </c>
      <c r="C3582" s="58">
        <v>2</v>
      </c>
      <c r="D3582" s="58">
        <v>105</v>
      </c>
      <c r="E3582" s="59">
        <v>101</v>
      </c>
    </row>
    <row r="3583" spans="1:5" ht="15" x14ac:dyDescent="0.35">
      <c r="A3583" s="58" t="s">
        <v>334</v>
      </c>
      <c r="B3583" s="58" t="s">
        <v>172</v>
      </c>
      <c r="C3583" s="58">
        <v>3</v>
      </c>
      <c r="D3583" s="58">
        <v>106</v>
      </c>
      <c r="E3583" s="59">
        <v>101</v>
      </c>
    </row>
    <row r="3584" spans="1:5" ht="15" x14ac:dyDescent="0.35">
      <c r="A3584" s="58" t="s">
        <v>334</v>
      </c>
      <c r="B3584" s="58" t="s">
        <v>172</v>
      </c>
      <c r="C3584" s="58">
        <v>4</v>
      </c>
      <c r="D3584" s="58">
        <v>107</v>
      </c>
      <c r="E3584" s="59">
        <v>101</v>
      </c>
    </row>
    <row r="3585" spans="1:5" ht="15" x14ac:dyDescent="0.35">
      <c r="A3585" s="58" t="s">
        <v>334</v>
      </c>
      <c r="B3585" s="58" t="s">
        <v>172</v>
      </c>
      <c r="C3585" s="58">
        <v>5</v>
      </c>
      <c r="D3585" s="58">
        <v>108</v>
      </c>
      <c r="E3585" s="59">
        <v>101</v>
      </c>
    </row>
    <row r="3586" spans="1:5" ht="15" x14ac:dyDescent="0.35">
      <c r="A3586" s="58" t="s">
        <v>334</v>
      </c>
      <c r="B3586" s="58" t="s">
        <v>172</v>
      </c>
      <c r="C3586" s="58">
        <v>6</v>
      </c>
      <c r="D3586" s="58">
        <v>109</v>
      </c>
      <c r="E3586" s="59">
        <v>101</v>
      </c>
    </row>
    <row r="3587" spans="1:5" ht="15" x14ac:dyDescent="0.35">
      <c r="A3587" s="58" t="s">
        <v>334</v>
      </c>
      <c r="B3587" s="58" t="s">
        <v>172</v>
      </c>
      <c r="C3587" s="58">
        <v>7</v>
      </c>
      <c r="D3587" s="58">
        <v>110</v>
      </c>
      <c r="E3587" s="59">
        <v>101</v>
      </c>
    </row>
    <row r="3588" spans="1:5" ht="15" x14ac:dyDescent="0.35">
      <c r="A3588" s="58" t="s">
        <v>334</v>
      </c>
      <c r="B3588" s="58" t="s">
        <v>172</v>
      </c>
      <c r="C3588" s="58">
        <v>8</v>
      </c>
      <c r="D3588" s="58">
        <v>111</v>
      </c>
      <c r="E3588" s="59">
        <v>101</v>
      </c>
    </row>
    <row r="3589" spans="1:5" ht="15" x14ac:dyDescent="0.35">
      <c r="A3589" s="58" t="s">
        <v>334</v>
      </c>
      <c r="B3589" s="58" t="s">
        <v>172</v>
      </c>
      <c r="C3589" s="58">
        <v>9</v>
      </c>
      <c r="D3589" s="58">
        <v>112</v>
      </c>
      <c r="E3589" s="59">
        <v>101</v>
      </c>
    </row>
    <row r="3590" spans="1:5" ht="15" x14ac:dyDescent="0.35">
      <c r="A3590" s="58" t="s">
        <v>334</v>
      </c>
      <c r="B3590" s="58" t="s">
        <v>172</v>
      </c>
      <c r="C3590" s="58">
        <v>10</v>
      </c>
      <c r="D3590" s="58">
        <v>113</v>
      </c>
      <c r="E3590" s="59">
        <v>101</v>
      </c>
    </row>
    <row r="3591" spans="1:5" ht="15" x14ac:dyDescent="0.35">
      <c r="A3591" s="58" t="s">
        <v>334</v>
      </c>
      <c r="B3591" s="58" t="s">
        <v>172</v>
      </c>
      <c r="C3591" s="58">
        <v>11</v>
      </c>
      <c r="D3591" s="58">
        <v>114</v>
      </c>
      <c r="E3591" s="59">
        <v>101</v>
      </c>
    </row>
    <row r="3592" spans="1:5" ht="15" x14ac:dyDescent="0.35">
      <c r="A3592" s="58" t="s">
        <v>334</v>
      </c>
      <c r="B3592" s="58" t="s">
        <v>172</v>
      </c>
      <c r="C3592" s="58">
        <v>12</v>
      </c>
      <c r="D3592" s="58">
        <v>115</v>
      </c>
      <c r="E3592" s="59">
        <v>101</v>
      </c>
    </row>
    <row r="3593" spans="1:5" ht="15" x14ac:dyDescent="0.35">
      <c r="A3593" s="58" t="s">
        <v>334</v>
      </c>
      <c r="B3593" s="58" t="s">
        <v>180</v>
      </c>
      <c r="C3593" s="58">
        <v>1</v>
      </c>
      <c r="D3593" s="58">
        <v>104</v>
      </c>
      <c r="E3593" s="59">
        <v>127.3026</v>
      </c>
    </row>
    <row r="3594" spans="1:5" ht="15" x14ac:dyDescent="0.35">
      <c r="A3594" s="58" t="s">
        <v>334</v>
      </c>
      <c r="B3594" s="58" t="s">
        <v>180</v>
      </c>
      <c r="C3594" s="58">
        <v>2</v>
      </c>
      <c r="D3594" s="58">
        <v>105</v>
      </c>
      <c r="E3594" s="59">
        <v>127.3026</v>
      </c>
    </row>
    <row r="3595" spans="1:5" ht="15" x14ac:dyDescent="0.35">
      <c r="A3595" s="58" t="s">
        <v>334</v>
      </c>
      <c r="B3595" s="58" t="s">
        <v>180</v>
      </c>
      <c r="C3595" s="58">
        <v>3</v>
      </c>
      <c r="D3595" s="58">
        <v>106</v>
      </c>
      <c r="E3595" s="59">
        <v>127.3026</v>
      </c>
    </row>
    <row r="3596" spans="1:5" ht="15" x14ac:dyDescent="0.35">
      <c r="A3596" s="58" t="s">
        <v>334</v>
      </c>
      <c r="B3596" s="58" t="s">
        <v>180</v>
      </c>
      <c r="C3596" s="58">
        <v>4</v>
      </c>
      <c r="D3596" s="58">
        <v>107</v>
      </c>
      <c r="E3596" s="59">
        <v>127.3026</v>
      </c>
    </row>
    <row r="3597" spans="1:5" ht="15" x14ac:dyDescent="0.35">
      <c r="A3597" s="58" t="s">
        <v>334</v>
      </c>
      <c r="B3597" s="58" t="s">
        <v>180</v>
      </c>
      <c r="C3597" s="58">
        <v>5</v>
      </c>
      <c r="D3597" s="58">
        <v>108</v>
      </c>
      <c r="E3597" s="59">
        <v>127.3026</v>
      </c>
    </row>
    <row r="3598" spans="1:5" ht="15" x14ac:dyDescent="0.35">
      <c r="A3598" s="58" t="s">
        <v>334</v>
      </c>
      <c r="B3598" s="58" t="s">
        <v>180</v>
      </c>
      <c r="C3598" s="58">
        <v>6</v>
      </c>
      <c r="D3598" s="58">
        <v>109</v>
      </c>
      <c r="E3598" s="59">
        <v>127.3026</v>
      </c>
    </row>
    <row r="3599" spans="1:5" ht="15" x14ac:dyDescent="0.35">
      <c r="A3599" s="58" t="s">
        <v>334</v>
      </c>
      <c r="B3599" s="58" t="s">
        <v>180</v>
      </c>
      <c r="C3599" s="58">
        <v>7</v>
      </c>
      <c r="D3599" s="58">
        <v>110</v>
      </c>
      <c r="E3599" s="59">
        <v>127.3026</v>
      </c>
    </row>
    <row r="3600" spans="1:5" ht="15" x14ac:dyDescent="0.35">
      <c r="A3600" s="58" t="s">
        <v>334</v>
      </c>
      <c r="B3600" s="58" t="s">
        <v>180</v>
      </c>
      <c r="C3600" s="58">
        <v>8</v>
      </c>
      <c r="D3600" s="58">
        <v>111</v>
      </c>
      <c r="E3600" s="59">
        <v>127.3026</v>
      </c>
    </row>
    <row r="3601" spans="1:5" ht="15" x14ac:dyDescent="0.35">
      <c r="A3601" s="58" t="s">
        <v>334</v>
      </c>
      <c r="B3601" s="58" t="s">
        <v>180</v>
      </c>
      <c r="C3601" s="58">
        <v>9</v>
      </c>
      <c r="D3601" s="58">
        <v>112</v>
      </c>
      <c r="E3601" s="59">
        <v>127.3026</v>
      </c>
    </row>
    <row r="3602" spans="1:5" ht="15" x14ac:dyDescent="0.35">
      <c r="A3602" s="58" t="s">
        <v>334</v>
      </c>
      <c r="B3602" s="58" t="s">
        <v>180</v>
      </c>
      <c r="C3602" s="58">
        <v>10</v>
      </c>
      <c r="D3602" s="58">
        <v>113</v>
      </c>
      <c r="E3602" s="59">
        <v>127.3026</v>
      </c>
    </row>
    <row r="3603" spans="1:5" ht="15" x14ac:dyDescent="0.35">
      <c r="A3603" s="58" t="s">
        <v>334</v>
      </c>
      <c r="B3603" s="58" t="s">
        <v>180</v>
      </c>
      <c r="C3603" s="58">
        <v>11</v>
      </c>
      <c r="D3603" s="58">
        <v>114</v>
      </c>
      <c r="E3603" s="59">
        <v>127.3026</v>
      </c>
    </row>
    <row r="3604" spans="1:5" ht="15" x14ac:dyDescent="0.35">
      <c r="A3604" s="58" t="s">
        <v>334</v>
      </c>
      <c r="B3604" s="58" t="s">
        <v>180</v>
      </c>
      <c r="C3604" s="58">
        <v>12</v>
      </c>
      <c r="D3604" s="58">
        <v>115</v>
      </c>
      <c r="E3604" s="59">
        <v>127.3026</v>
      </c>
    </row>
    <row r="3605" spans="1:5" ht="15" x14ac:dyDescent="0.35">
      <c r="A3605" s="58" t="s">
        <v>316</v>
      </c>
      <c r="B3605" s="58" t="s">
        <v>182</v>
      </c>
      <c r="C3605" s="58">
        <v>1</v>
      </c>
      <c r="D3605" s="58">
        <v>104</v>
      </c>
      <c r="E3605" s="59">
        <v>318.35730000000001</v>
      </c>
    </row>
    <row r="3606" spans="1:5" ht="15" x14ac:dyDescent="0.35">
      <c r="A3606" s="58" t="s">
        <v>316</v>
      </c>
      <c r="B3606" s="58" t="s">
        <v>182</v>
      </c>
      <c r="C3606" s="58">
        <v>2</v>
      </c>
      <c r="D3606" s="58">
        <v>105</v>
      </c>
      <c r="E3606" s="59">
        <v>187.35730000000001</v>
      </c>
    </row>
    <row r="3607" spans="1:5" ht="15" x14ac:dyDescent="0.35">
      <c r="A3607" s="58" t="s">
        <v>316</v>
      </c>
      <c r="B3607" s="58" t="s">
        <v>182</v>
      </c>
      <c r="C3607" s="58">
        <v>3</v>
      </c>
      <c r="D3607" s="58">
        <v>106</v>
      </c>
      <c r="E3607" s="59">
        <v>187.35730000000001</v>
      </c>
    </row>
    <row r="3608" spans="1:5" ht="15" x14ac:dyDescent="0.35">
      <c r="A3608" s="58" t="s">
        <v>316</v>
      </c>
      <c r="B3608" s="58" t="s">
        <v>182</v>
      </c>
      <c r="C3608" s="58">
        <v>4</v>
      </c>
      <c r="D3608" s="58">
        <v>107</v>
      </c>
      <c r="E3608" s="59">
        <v>188.21449999999999</v>
      </c>
    </row>
    <row r="3609" spans="1:5" ht="15" x14ac:dyDescent="0.35">
      <c r="A3609" s="58" t="s">
        <v>316</v>
      </c>
      <c r="B3609" s="58" t="s">
        <v>182</v>
      </c>
      <c r="C3609" s="58">
        <v>5</v>
      </c>
      <c r="D3609" s="58">
        <v>108</v>
      </c>
      <c r="E3609" s="59">
        <v>234.10730000000001</v>
      </c>
    </row>
    <row r="3610" spans="1:5" ht="15" x14ac:dyDescent="0.35">
      <c r="A3610" s="58" t="s">
        <v>316</v>
      </c>
      <c r="B3610" s="58" t="s">
        <v>182</v>
      </c>
      <c r="C3610" s="58">
        <v>6</v>
      </c>
      <c r="D3610" s="58">
        <v>109</v>
      </c>
      <c r="E3610" s="59">
        <v>248.024</v>
      </c>
    </row>
    <row r="3611" spans="1:5" ht="15" x14ac:dyDescent="0.35">
      <c r="A3611" s="58" t="s">
        <v>316</v>
      </c>
      <c r="B3611" s="58" t="s">
        <v>182</v>
      </c>
      <c r="C3611" s="58">
        <v>7</v>
      </c>
      <c r="D3611" s="58">
        <v>110</v>
      </c>
      <c r="E3611" s="59">
        <v>297.13510000000002</v>
      </c>
    </row>
    <row r="3612" spans="1:5" ht="15" x14ac:dyDescent="0.35">
      <c r="A3612" s="58" t="s">
        <v>316</v>
      </c>
      <c r="B3612" s="58" t="s">
        <v>182</v>
      </c>
      <c r="C3612" s="58">
        <v>8</v>
      </c>
      <c r="D3612" s="58">
        <v>111</v>
      </c>
      <c r="E3612" s="59">
        <v>338.24619999999999</v>
      </c>
    </row>
    <row r="3613" spans="1:5" ht="15" x14ac:dyDescent="0.35">
      <c r="A3613" s="58" t="s">
        <v>316</v>
      </c>
      <c r="B3613" s="58" t="s">
        <v>182</v>
      </c>
      <c r="C3613" s="58">
        <v>9</v>
      </c>
      <c r="D3613" s="58">
        <v>112</v>
      </c>
      <c r="E3613" s="59">
        <v>356.024</v>
      </c>
    </row>
    <row r="3614" spans="1:5" ht="15" x14ac:dyDescent="0.35">
      <c r="A3614" s="58" t="s">
        <v>316</v>
      </c>
      <c r="B3614" s="58" t="s">
        <v>182</v>
      </c>
      <c r="C3614" s="58">
        <v>10</v>
      </c>
      <c r="D3614" s="58">
        <v>113</v>
      </c>
      <c r="E3614" s="59">
        <v>381.24619999999999</v>
      </c>
    </row>
    <row r="3615" spans="1:5" ht="15" x14ac:dyDescent="0.35">
      <c r="A3615" s="58" t="s">
        <v>316</v>
      </c>
      <c r="B3615" s="58" t="s">
        <v>182</v>
      </c>
      <c r="C3615" s="58">
        <v>11</v>
      </c>
      <c r="D3615" s="58">
        <v>114</v>
      </c>
      <c r="E3615" s="59">
        <v>408.69060000000002</v>
      </c>
    </row>
    <row r="3616" spans="1:5" ht="15" x14ac:dyDescent="0.35">
      <c r="A3616" s="58" t="s">
        <v>316</v>
      </c>
      <c r="B3616" s="58" t="s">
        <v>182</v>
      </c>
      <c r="C3616" s="58">
        <v>12</v>
      </c>
      <c r="D3616" s="58">
        <v>115</v>
      </c>
      <c r="E3616" s="59">
        <v>440.024</v>
      </c>
    </row>
    <row r="3617" spans="1:5" ht="15" x14ac:dyDescent="0.35">
      <c r="A3617" s="58" t="s">
        <v>316</v>
      </c>
      <c r="B3617" s="58" t="s">
        <v>176</v>
      </c>
      <c r="C3617" s="58">
        <v>1</v>
      </c>
      <c r="D3617" s="58">
        <v>104</v>
      </c>
      <c r="E3617" s="59">
        <v>263.375</v>
      </c>
    </row>
    <row r="3618" spans="1:5" ht="15" x14ac:dyDescent="0.35">
      <c r="A3618" s="58" t="s">
        <v>316</v>
      </c>
      <c r="B3618" s="58" t="s">
        <v>176</v>
      </c>
      <c r="C3618" s="58">
        <v>2</v>
      </c>
      <c r="D3618" s="58">
        <v>105</v>
      </c>
      <c r="E3618" s="59">
        <v>263.375</v>
      </c>
    </row>
    <row r="3619" spans="1:5" ht="15" x14ac:dyDescent="0.35">
      <c r="A3619" s="58" t="s">
        <v>316</v>
      </c>
      <c r="B3619" s="58" t="s">
        <v>176</v>
      </c>
      <c r="C3619" s="58">
        <v>3</v>
      </c>
      <c r="D3619" s="58">
        <v>106</v>
      </c>
      <c r="E3619" s="59">
        <v>263.375</v>
      </c>
    </row>
    <row r="3620" spans="1:5" ht="15" x14ac:dyDescent="0.35">
      <c r="A3620" s="58" t="s">
        <v>316</v>
      </c>
      <c r="B3620" s="58" t="s">
        <v>176</v>
      </c>
      <c r="C3620" s="58">
        <v>4</v>
      </c>
      <c r="D3620" s="58">
        <v>107</v>
      </c>
      <c r="E3620" s="59">
        <v>263.375</v>
      </c>
    </row>
    <row r="3621" spans="1:5" ht="15" x14ac:dyDescent="0.35">
      <c r="A3621" s="58" t="s">
        <v>316</v>
      </c>
      <c r="B3621" s="58" t="s">
        <v>176</v>
      </c>
      <c r="C3621" s="58">
        <v>5</v>
      </c>
      <c r="D3621" s="58">
        <v>108</v>
      </c>
      <c r="E3621" s="59">
        <v>263.375</v>
      </c>
    </row>
    <row r="3622" spans="1:5" ht="15" x14ac:dyDescent="0.35">
      <c r="A3622" s="58" t="s">
        <v>316</v>
      </c>
      <c r="B3622" s="58" t="s">
        <v>176</v>
      </c>
      <c r="C3622" s="58">
        <v>6</v>
      </c>
      <c r="D3622" s="58">
        <v>109</v>
      </c>
      <c r="E3622" s="59">
        <v>263.375</v>
      </c>
    </row>
    <row r="3623" spans="1:5" ht="15" x14ac:dyDescent="0.35">
      <c r="A3623" s="58" t="s">
        <v>316</v>
      </c>
      <c r="B3623" s="58" t="s">
        <v>176</v>
      </c>
      <c r="C3623" s="58">
        <v>7</v>
      </c>
      <c r="D3623" s="58">
        <v>110</v>
      </c>
      <c r="E3623" s="59">
        <v>263.375</v>
      </c>
    </row>
    <row r="3624" spans="1:5" ht="15" x14ac:dyDescent="0.35">
      <c r="A3624" s="58" t="s">
        <v>316</v>
      </c>
      <c r="B3624" s="58" t="s">
        <v>176</v>
      </c>
      <c r="C3624" s="58">
        <v>8</v>
      </c>
      <c r="D3624" s="58">
        <v>111</v>
      </c>
      <c r="E3624" s="59">
        <v>263.375</v>
      </c>
    </row>
    <row r="3625" spans="1:5" ht="15" x14ac:dyDescent="0.35">
      <c r="A3625" s="58" t="s">
        <v>316</v>
      </c>
      <c r="B3625" s="58" t="s">
        <v>176</v>
      </c>
      <c r="C3625" s="58">
        <v>9</v>
      </c>
      <c r="D3625" s="58">
        <v>112</v>
      </c>
      <c r="E3625" s="59">
        <v>263.375</v>
      </c>
    </row>
    <row r="3626" spans="1:5" ht="15" x14ac:dyDescent="0.35">
      <c r="A3626" s="58" t="s">
        <v>316</v>
      </c>
      <c r="B3626" s="58" t="s">
        <v>176</v>
      </c>
      <c r="C3626" s="58">
        <v>10</v>
      </c>
      <c r="D3626" s="58">
        <v>113</v>
      </c>
      <c r="E3626" s="59">
        <v>263.375</v>
      </c>
    </row>
    <row r="3627" spans="1:5" ht="15" x14ac:dyDescent="0.35">
      <c r="A3627" s="58" t="s">
        <v>316</v>
      </c>
      <c r="B3627" s="58" t="s">
        <v>176</v>
      </c>
      <c r="C3627" s="58">
        <v>11</v>
      </c>
      <c r="D3627" s="58">
        <v>114</v>
      </c>
      <c r="E3627" s="59">
        <v>263.375</v>
      </c>
    </row>
    <row r="3628" spans="1:5" ht="15" x14ac:dyDescent="0.35">
      <c r="A3628" s="58" t="s">
        <v>316</v>
      </c>
      <c r="B3628" s="58" t="s">
        <v>176</v>
      </c>
      <c r="C3628" s="58">
        <v>12</v>
      </c>
      <c r="D3628" s="58">
        <v>115</v>
      </c>
      <c r="E3628" s="59">
        <v>263.375</v>
      </c>
    </row>
    <row r="3629" spans="1:5" ht="15" x14ac:dyDescent="0.35">
      <c r="A3629" s="58" t="s">
        <v>316</v>
      </c>
      <c r="B3629" s="58" t="s">
        <v>172</v>
      </c>
      <c r="C3629" s="58">
        <v>1</v>
      </c>
      <c r="D3629" s="58">
        <v>104</v>
      </c>
      <c r="E3629" s="59">
        <v>427</v>
      </c>
    </row>
    <row r="3630" spans="1:5" ht="15" x14ac:dyDescent="0.35">
      <c r="A3630" s="58" t="s">
        <v>316</v>
      </c>
      <c r="B3630" s="58" t="s">
        <v>172</v>
      </c>
      <c r="C3630" s="58">
        <v>2</v>
      </c>
      <c r="D3630" s="58">
        <v>105</v>
      </c>
      <c r="E3630" s="59">
        <v>427</v>
      </c>
    </row>
    <row r="3631" spans="1:5" ht="15" x14ac:dyDescent="0.35">
      <c r="A3631" s="58" t="s">
        <v>316</v>
      </c>
      <c r="B3631" s="58" t="s">
        <v>172</v>
      </c>
      <c r="C3631" s="58">
        <v>3</v>
      </c>
      <c r="D3631" s="58">
        <v>106</v>
      </c>
      <c r="E3631" s="59">
        <v>427</v>
      </c>
    </row>
    <row r="3632" spans="1:5" ht="15" x14ac:dyDescent="0.35">
      <c r="A3632" s="58" t="s">
        <v>316</v>
      </c>
      <c r="B3632" s="58" t="s">
        <v>172</v>
      </c>
      <c r="C3632" s="58">
        <v>4</v>
      </c>
      <c r="D3632" s="58">
        <v>107</v>
      </c>
      <c r="E3632" s="59">
        <v>427</v>
      </c>
    </row>
    <row r="3633" spans="1:5" ht="15" x14ac:dyDescent="0.35">
      <c r="A3633" s="58" t="s">
        <v>316</v>
      </c>
      <c r="B3633" s="58" t="s">
        <v>172</v>
      </c>
      <c r="C3633" s="58">
        <v>5</v>
      </c>
      <c r="D3633" s="58">
        <v>108</v>
      </c>
      <c r="E3633" s="59">
        <v>427</v>
      </c>
    </row>
    <row r="3634" spans="1:5" ht="15" x14ac:dyDescent="0.35">
      <c r="A3634" s="58" t="s">
        <v>316</v>
      </c>
      <c r="B3634" s="58" t="s">
        <v>172</v>
      </c>
      <c r="C3634" s="58">
        <v>6</v>
      </c>
      <c r="D3634" s="58">
        <v>109</v>
      </c>
      <c r="E3634" s="59">
        <v>427</v>
      </c>
    </row>
    <row r="3635" spans="1:5" ht="15" x14ac:dyDescent="0.35">
      <c r="A3635" s="58" t="s">
        <v>316</v>
      </c>
      <c r="B3635" s="58" t="s">
        <v>172</v>
      </c>
      <c r="C3635" s="58">
        <v>7</v>
      </c>
      <c r="D3635" s="58">
        <v>110</v>
      </c>
      <c r="E3635" s="59">
        <v>427</v>
      </c>
    </row>
    <row r="3636" spans="1:5" ht="15" x14ac:dyDescent="0.35">
      <c r="A3636" s="58" t="s">
        <v>316</v>
      </c>
      <c r="B3636" s="58" t="s">
        <v>172</v>
      </c>
      <c r="C3636" s="58">
        <v>8</v>
      </c>
      <c r="D3636" s="58">
        <v>111</v>
      </c>
      <c r="E3636" s="59">
        <v>427</v>
      </c>
    </row>
    <row r="3637" spans="1:5" ht="15" x14ac:dyDescent="0.35">
      <c r="A3637" s="58" t="s">
        <v>316</v>
      </c>
      <c r="B3637" s="58" t="s">
        <v>172</v>
      </c>
      <c r="C3637" s="58">
        <v>9</v>
      </c>
      <c r="D3637" s="58">
        <v>112</v>
      </c>
      <c r="E3637" s="59">
        <v>427</v>
      </c>
    </row>
    <row r="3638" spans="1:5" ht="15" x14ac:dyDescent="0.35">
      <c r="A3638" s="58" t="s">
        <v>316</v>
      </c>
      <c r="B3638" s="58" t="s">
        <v>172</v>
      </c>
      <c r="C3638" s="58">
        <v>10</v>
      </c>
      <c r="D3638" s="58">
        <v>113</v>
      </c>
      <c r="E3638" s="59">
        <v>427</v>
      </c>
    </row>
    <row r="3639" spans="1:5" ht="15" x14ac:dyDescent="0.35">
      <c r="A3639" s="58" t="s">
        <v>316</v>
      </c>
      <c r="B3639" s="58" t="s">
        <v>172</v>
      </c>
      <c r="C3639" s="58">
        <v>11</v>
      </c>
      <c r="D3639" s="58">
        <v>114</v>
      </c>
      <c r="E3639" s="59">
        <v>427</v>
      </c>
    </row>
    <row r="3640" spans="1:5" ht="15" x14ac:dyDescent="0.35">
      <c r="A3640" s="58" t="s">
        <v>316</v>
      </c>
      <c r="B3640" s="58" t="s">
        <v>172</v>
      </c>
      <c r="C3640" s="58">
        <v>12</v>
      </c>
      <c r="D3640" s="58">
        <v>115</v>
      </c>
      <c r="E3640" s="59">
        <v>427</v>
      </c>
    </row>
    <row r="3641" spans="1:5" ht="15" x14ac:dyDescent="0.35">
      <c r="A3641" s="58" t="s">
        <v>316</v>
      </c>
      <c r="B3641" s="58" t="s">
        <v>180</v>
      </c>
      <c r="C3641" s="58">
        <v>1</v>
      </c>
      <c r="D3641" s="58">
        <v>104</v>
      </c>
      <c r="E3641" s="59">
        <v>342.62049999999999</v>
      </c>
    </row>
    <row r="3642" spans="1:5" ht="15" x14ac:dyDescent="0.35">
      <c r="A3642" s="58" t="s">
        <v>316</v>
      </c>
      <c r="B3642" s="58" t="s">
        <v>180</v>
      </c>
      <c r="C3642" s="58">
        <v>2</v>
      </c>
      <c r="D3642" s="58">
        <v>105</v>
      </c>
      <c r="E3642" s="59">
        <v>342.62049999999999</v>
      </c>
    </row>
    <row r="3643" spans="1:5" ht="15" x14ac:dyDescent="0.35">
      <c r="A3643" s="58" t="s">
        <v>316</v>
      </c>
      <c r="B3643" s="58" t="s">
        <v>180</v>
      </c>
      <c r="C3643" s="58">
        <v>3</v>
      </c>
      <c r="D3643" s="58">
        <v>106</v>
      </c>
      <c r="E3643" s="59">
        <v>342.62049999999999</v>
      </c>
    </row>
    <row r="3644" spans="1:5" ht="15" x14ac:dyDescent="0.35">
      <c r="A3644" s="58" t="s">
        <v>316</v>
      </c>
      <c r="B3644" s="58" t="s">
        <v>180</v>
      </c>
      <c r="C3644" s="58">
        <v>4</v>
      </c>
      <c r="D3644" s="58">
        <v>107</v>
      </c>
      <c r="E3644" s="59">
        <v>342.62049999999999</v>
      </c>
    </row>
    <row r="3645" spans="1:5" ht="15" x14ac:dyDescent="0.35">
      <c r="A3645" s="58" t="s">
        <v>316</v>
      </c>
      <c r="B3645" s="58" t="s">
        <v>180</v>
      </c>
      <c r="C3645" s="58">
        <v>5</v>
      </c>
      <c r="D3645" s="58">
        <v>108</v>
      </c>
      <c r="E3645" s="59">
        <v>342.62049999999999</v>
      </c>
    </row>
    <row r="3646" spans="1:5" ht="15" x14ac:dyDescent="0.35">
      <c r="A3646" s="58" t="s">
        <v>316</v>
      </c>
      <c r="B3646" s="58" t="s">
        <v>180</v>
      </c>
      <c r="C3646" s="58">
        <v>6</v>
      </c>
      <c r="D3646" s="58">
        <v>109</v>
      </c>
      <c r="E3646" s="59">
        <v>342.62049999999999</v>
      </c>
    </row>
    <row r="3647" spans="1:5" ht="15" x14ac:dyDescent="0.35">
      <c r="A3647" s="58" t="s">
        <v>316</v>
      </c>
      <c r="B3647" s="58" t="s">
        <v>180</v>
      </c>
      <c r="C3647" s="58">
        <v>7</v>
      </c>
      <c r="D3647" s="58">
        <v>110</v>
      </c>
      <c r="E3647" s="59">
        <v>342.62049999999999</v>
      </c>
    </row>
    <row r="3648" spans="1:5" ht="15" x14ac:dyDescent="0.35">
      <c r="A3648" s="58" t="s">
        <v>316</v>
      </c>
      <c r="B3648" s="58" t="s">
        <v>180</v>
      </c>
      <c r="C3648" s="58">
        <v>8</v>
      </c>
      <c r="D3648" s="58">
        <v>111</v>
      </c>
      <c r="E3648" s="59">
        <v>342.62049999999999</v>
      </c>
    </row>
    <row r="3649" spans="1:5" ht="15" x14ac:dyDescent="0.35">
      <c r="A3649" s="58" t="s">
        <v>316</v>
      </c>
      <c r="B3649" s="58" t="s">
        <v>180</v>
      </c>
      <c r="C3649" s="58">
        <v>9</v>
      </c>
      <c r="D3649" s="58">
        <v>112</v>
      </c>
      <c r="E3649" s="59">
        <v>342.62049999999999</v>
      </c>
    </row>
    <row r="3650" spans="1:5" ht="15" x14ac:dyDescent="0.35">
      <c r="A3650" s="58" t="s">
        <v>316</v>
      </c>
      <c r="B3650" s="58" t="s">
        <v>180</v>
      </c>
      <c r="C3650" s="58">
        <v>10</v>
      </c>
      <c r="D3650" s="58">
        <v>113</v>
      </c>
      <c r="E3650" s="59">
        <v>342.62049999999999</v>
      </c>
    </row>
    <row r="3651" spans="1:5" ht="15" x14ac:dyDescent="0.35">
      <c r="A3651" s="58" t="s">
        <v>316</v>
      </c>
      <c r="B3651" s="58" t="s">
        <v>180</v>
      </c>
      <c r="C3651" s="58">
        <v>11</v>
      </c>
      <c r="D3651" s="58">
        <v>114</v>
      </c>
      <c r="E3651" s="59">
        <v>342.62049999999999</v>
      </c>
    </row>
    <row r="3652" spans="1:5" ht="15" x14ac:dyDescent="0.35">
      <c r="A3652" s="58" t="s">
        <v>316</v>
      </c>
      <c r="B3652" s="58" t="s">
        <v>180</v>
      </c>
      <c r="C3652" s="58">
        <v>12</v>
      </c>
      <c r="D3652" s="58">
        <v>115</v>
      </c>
      <c r="E3652" s="59">
        <v>342.62049999999999</v>
      </c>
    </row>
    <row r="3653" spans="1:5" ht="15" x14ac:dyDescent="0.35">
      <c r="A3653" s="58" t="s">
        <v>292</v>
      </c>
      <c r="B3653" s="58" t="s">
        <v>182</v>
      </c>
      <c r="C3653" s="58">
        <v>1</v>
      </c>
      <c r="D3653" s="58">
        <v>104</v>
      </c>
      <c r="E3653" s="59">
        <v>168.81389999999999</v>
      </c>
    </row>
    <row r="3654" spans="1:5" ht="15" x14ac:dyDescent="0.35">
      <c r="A3654" s="58" t="s">
        <v>292</v>
      </c>
      <c r="B3654" s="58" t="s">
        <v>182</v>
      </c>
      <c r="C3654" s="58">
        <v>2</v>
      </c>
      <c r="D3654" s="58">
        <v>105</v>
      </c>
      <c r="E3654" s="59">
        <v>0</v>
      </c>
    </row>
    <row r="3655" spans="1:5" ht="15" x14ac:dyDescent="0.35">
      <c r="A3655" s="58" t="s">
        <v>292</v>
      </c>
      <c r="B3655" s="58" t="s">
        <v>182</v>
      </c>
      <c r="C3655" s="58">
        <v>3</v>
      </c>
      <c r="D3655" s="58">
        <v>106</v>
      </c>
      <c r="E3655" s="59">
        <v>0</v>
      </c>
    </row>
    <row r="3656" spans="1:5" ht="15" x14ac:dyDescent="0.35">
      <c r="A3656" s="58" t="s">
        <v>292</v>
      </c>
      <c r="B3656" s="58" t="s">
        <v>182</v>
      </c>
      <c r="C3656" s="58">
        <v>4</v>
      </c>
      <c r="D3656" s="58">
        <v>107</v>
      </c>
      <c r="E3656" s="59">
        <v>0</v>
      </c>
    </row>
    <row r="3657" spans="1:5" ht="15" x14ac:dyDescent="0.35">
      <c r="A3657" s="58" t="s">
        <v>292</v>
      </c>
      <c r="B3657" s="58" t="s">
        <v>182</v>
      </c>
      <c r="C3657" s="58">
        <v>5</v>
      </c>
      <c r="D3657" s="58">
        <v>108</v>
      </c>
      <c r="E3657" s="59">
        <v>22.147200000000002</v>
      </c>
    </row>
    <row r="3658" spans="1:5" ht="15" x14ac:dyDescent="0.35">
      <c r="A3658" s="58" t="s">
        <v>292</v>
      </c>
      <c r="B3658" s="58" t="s">
        <v>182</v>
      </c>
      <c r="C3658" s="58">
        <v>6</v>
      </c>
      <c r="D3658" s="58">
        <v>109</v>
      </c>
      <c r="E3658" s="59">
        <v>37.480600000000003</v>
      </c>
    </row>
    <row r="3659" spans="1:5" ht="15" x14ac:dyDescent="0.35">
      <c r="A3659" s="58" t="s">
        <v>292</v>
      </c>
      <c r="B3659" s="58" t="s">
        <v>182</v>
      </c>
      <c r="C3659" s="58">
        <v>7</v>
      </c>
      <c r="D3659" s="58">
        <v>110</v>
      </c>
      <c r="E3659" s="59">
        <v>63.924999999999997</v>
      </c>
    </row>
    <row r="3660" spans="1:5" ht="15" x14ac:dyDescent="0.35">
      <c r="A3660" s="58" t="s">
        <v>292</v>
      </c>
      <c r="B3660" s="58" t="s">
        <v>182</v>
      </c>
      <c r="C3660" s="58">
        <v>8</v>
      </c>
      <c r="D3660" s="58">
        <v>111</v>
      </c>
      <c r="E3660" s="59">
        <v>95.036100000000005</v>
      </c>
    </row>
    <row r="3661" spans="1:5" ht="15" x14ac:dyDescent="0.35">
      <c r="A3661" s="58" t="s">
        <v>292</v>
      </c>
      <c r="B3661" s="58" t="s">
        <v>182</v>
      </c>
      <c r="C3661" s="58">
        <v>9</v>
      </c>
      <c r="D3661" s="58">
        <v>112</v>
      </c>
      <c r="E3661" s="59">
        <v>125.4806</v>
      </c>
    </row>
    <row r="3662" spans="1:5" ht="15" x14ac:dyDescent="0.35">
      <c r="A3662" s="58" t="s">
        <v>292</v>
      </c>
      <c r="B3662" s="58" t="s">
        <v>182</v>
      </c>
      <c r="C3662" s="58">
        <v>10</v>
      </c>
      <c r="D3662" s="58">
        <v>113</v>
      </c>
      <c r="E3662" s="59">
        <v>144.1472</v>
      </c>
    </row>
    <row r="3663" spans="1:5" ht="15" x14ac:dyDescent="0.35">
      <c r="A3663" s="58" t="s">
        <v>292</v>
      </c>
      <c r="B3663" s="58" t="s">
        <v>182</v>
      </c>
      <c r="C3663" s="58">
        <v>11</v>
      </c>
      <c r="D3663" s="58">
        <v>114</v>
      </c>
      <c r="E3663" s="59">
        <v>169.5917</v>
      </c>
    </row>
    <row r="3664" spans="1:5" ht="15" x14ac:dyDescent="0.35">
      <c r="A3664" s="58" t="s">
        <v>292</v>
      </c>
      <c r="B3664" s="58" t="s">
        <v>182</v>
      </c>
      <c r="C3664" s="58">
        <v>12</v>
      </c>
      <c r="D3664" s="58">
        <v>115</v>
      </c>
      <c r="E3664" s="59">
        <v>208.0361</v>
      </c>
    </row>
    <row r="3665" spans="1:5" ht="15" x14ac:dyDescent="0.35">
      <c r="A3665" s="58" t="s">
        <v>292</v>
      </c>
      <c r="B3665" s="58" t="s">
        <v>176</v>
      </c>
      <c r="C3665" s="58">
        <v>1</v>
      </c>
      <c r="D3665" s="58">
        <v>104</v>
      </c>
      <c r="E3665" s="59">
        <v>178.625</v>
      </c>
    </row>
    <row r="3666" spans="1:5" ht="15" x14ac:dyDescent="0.35">
      <c r="A3666" s="58" t="s">
        <v>292</v>
      </c>
      <c r="B3666" s="58" t="s">
        <v>176</v>
      </c>
      <c r="C3666" s="58">
        <v>2</v>
      </c>
      <c r="D3666" s="58">
        <v>105</v>
      </c>
      <c r="E3666" s="59">
        <v>178.625</v>
      </c>
    </row>
    <row r="3667" spans="1:5" ht="15" x14ac:dyDescent="0.35">
      <c r="A3667" s="58" t="s">
        <v>292</v>
      </c>
      <c r="B3667" s="58" t="s">
        <v>176</v>
      </c>
      <c r="C3667" s="58">
        <v>3</v>
      </c>
      <c r="D3667" s="58">
        <v>106</v>
      </c>
      <c r="E3667" s="59">
        <v>178.625</v>
      </c>
    </row>
    <row r="3668" spans="1:5" ht="15" x14ac:dyDescent="0.35">
      <c r="A3668" s="58" t="s">
        <v>292</v>
      </c>
      <c r="B3668" s="58" t="s">
        <v>176</v>
      </c>
      <c r="C3668" s="58">
        <v>4</v>
      </c>
      <c r="D3668" s="58">
        <v>107</v>
      </c>
      <c r="E3668" s="59">
        <v>178.625</v>
      </c>
    </row>
    <row r="3669" spans="1:5" ht="15" x14ac:dyDescent="0.35">
      <c r="A3669" s="58" t="s">
        <v>292</v>
      </c>
      <c r="B3669" s="58" t="s">
        <v>176</v>
      </c>
      <c r="C3669" s="58">
        <v>5</v>
      </c>
      <c r="D3669" s="58">
        <v>108</v>
      </c>
      <c r="E3669" s="59">
        <v>178.625</v>
      </c>
    </row>
    <row r="3670" spans="1:5" ht="15" x14ac:dyDescent="0.35">
      <c r="A3670" s="58" t="s">
        <v>292</v>
      </c>
      <c r="B3670" s="58" t="s">
        <v>176</v>
      </c>
      <c r="C3670" s="58">
        <v>6</v>
      </c>
      <c r="D3670" s="58">
        <v>109</v>
      </c>
      <c r="E3670" s="59">
        <v>178.625</v>
      </c>
    </row>
    <row r="3671" spans="1:5" ht="15" x14ac:dyDescent="0.35">
      <c r="A3671" s="58" t="s">
        <v>292</v>
      </c>
      <c r="B3671" s="58" t="s">
        <v>176</v>
      </c>
      <c r="C3671" s="58">
        <v>7</v>
      </c>
      <c r="D3671" s="58">
        <v>110</v>
      </c>
      <c r="E3671" s="59">
        <v>178.625</v>
      </c>
    </row>
    <row r="3672" spans="1:5" ht="15" x14ac:dyDescent="0.35">
      <c r="A3672" s="58" t="s">
        <v>292</v>
      </c>
      <c r="B3672" s="58" t="s">
        <v>176</v>
      </c>
      <c r="C3672" s="58">
        <v>8</v>
      </c>
      <c r="D3672" s="58">
        <v>111</v>
      </c>
      <c r="E3672" s="59">
        <v>178.625</v>
      </c>
    </row>
    <row r="3673" spans="1:5" ht="15" x14ac:dyDescent="0.35">
      <c r="A3673" s="58" t="s">
        <v>292</v>
      </c>
      <c r="B3673" s="58" t="s">
        <v>176</v>
      </c>
      <c r="C3673" s="58">
        <v>9</v>
      </c>
      <c r="D3673" s="58">
        <v>112</v>
      </c>
      <c r="E3673" s="59">
        <v>178.625</v>
      </c>
    </row>
    <row r="3674" spans="1:5" ht="15" x14ac:dyDescent="0.35">
      <c r="A3674" s="58" t="s">
        <v>292</v>
      </c>
      <c r="B3674" s="58" t="s">
        <v>176</v>
      </c>
      <c r="C3674" s="58">
        <v>10</v>
      </c>
      <c r="D3674" s="58">
        <v>113</v>
      </c>
      <c r="E3674" s="59">
        <v>178.625</v>
      </c>
    </row>
    <row r="3675" spans="1:5" ht="15" x14ac:dyDescent="0.35">
      <c r="A3675" s="58" t="s">
        <v>292</v>
      </c>
      <c r="B3675" s="58" t="s">
        <v>176</v>
      </c>
      <c r="C3675" s="58">
        <v>11</v>
      </c>
      <c r="D3675" s="58">
        <v>114</v>
      </c>
      <c r="E3675" s="59">
        <v>178.625</v>
      </c>
    </row>
    <row r="3676" spans="1:5" ht="15" x14ac:dyDescent="0.35">
      <c r="A3676" s="58" t="s">
        <v>292</v>
      </c>
      <c r="B3676" s="58" t="s">
        <v>176</v>
      </c>
      <c r="C3676" s="58">
        <v>12</v>
      </c>
      <c r="D3676" s="58">
        <v>115</v>
      </c>
      <c r="E3676" s="59">
        <v>178.625</v>
      </c>
    </row>
    <row r="3677" spans="1:5" ht="15" x14ac:dyDescent="0.35">
      <c r="A3677" s="58" t="s">
        <v>292</v>
      </c>
      <c r="B3677" s="58" t="s">
        <v>172</v>
      </c>
      <c r="C3677" s="58">
        <v>1</v>
      </c>
      <c r="D3677" s="58">
        <v>104</v>
      </c>
      <c r="E3677" s="59">
        <v>288</v>
      </c>
    </row>
    <row r="3678" spans="1:5" ht="15" x14ac:dyDescent="0.35">
      <c r="A3678" s="58" t="s">
        <v>292</v>
      </c>
      <c r="B3678" s="58" t="s">
        <v>172</v>
      </c>
      <c r="C3678" s="58">
        <v>2</v>
      </c>
      <c r="D3678" s="58">
        <v>105</v>
      </c>
      <c r="E3678" s="59">
        <v>288</v>
      </c>
    </row>
    <row r="3679" spans="1:5" ht="15" x14ac:dyDescent="0.35">
      <c r="A3679" s="58" t="s">
        <v>292</v>
      </c>
      <c r="B3679" s="58" t="s">
        <v>172</v>
      </c>
      <c r="C3679" s="58">
        <v>3</v>
      </c>
      <c r="D3679" s="58">
        <v>106</v>
      </c>
      <c r="E3679" s="59">
        <v>288</v>
      </c>
    </row>
    <row r="3680" spans="1:5" ht="15" x14ac:dyDescent="0.35">
      <c r="A3680" s="58" t="s">
        <v>292</v>
      </c>
      <c r="B3680" s="58" t="s">
        <v>172</v>
      </c>
      <c r="C3680" s="58">
        <v>4</v>
      </c>
      <c r="D3680" s="58">
        <v>107</v>
      </c>
      <c r="E3680" s="59">
        <v>288</v>
      </c>
    </row>
    <row r="3681" spans="1:5" ht="15" x14ac:dyDescent="0.35">
      <c r="A3681" s="58" t="s">
        <v>292</v>
      </c>
      <c r="B3681" s="58" t="s">
        <v>172</v>
      </c>
      <c r="C3681" s="58">
        <v>5</v>
      </c>
      <c r="D3681" s="58">
        <v>108</v>
      </c>
      <c r="E3681" s="59">
        <v>288</v>
      </c>
    </row>
    <row r="3682" spans="1:5" ht="15" x14ac:dyDescent="0.35">
      <c r="A3682" s="58" t="s">
        <v>292</v>
      </c>
      <c r="B3682" s="58" t="s">
        <v>172</v>
      </c>
      <c r="C3682" s="58">
        <v>6</v>
      </c>
      <c r="D3682" s="58">
        <v>109</v>
      </c>
      <c r="E3682" s="59">
        <v>288</v>
      </c>
    </row>
    <row r="3683" spans="1:5" ht="15" x14ac:dyDescent="0.35">
      <c r="A3683" s="58" t="s">
        <v>292</v>
      </c>
      <c r="B3683" s="58" t="s">
        <v>172</v>
      </c>
      <c r="C3683" s="58">
        <v>7</v>
      </c>
      <c r="D3683" s="58">
        <v>110</v>
      </c>
      <c r="E3683" s="59">
        <v>288</v>
      </c>
    </row>
    <row r="3684" spans="1:5" ht="15" x14ac:dyDescent="0.35">
      <c r="A3684" s="58" t="s">
        <v>292</v>
      </c>
      <c r="B3684" s="58" t="s">
        <v>172</v>
      </c>
      <c r="C3684" s="58">
        <v>8</v>
      </c>
      <c r="D3684" s="58">
        <v>111</v>
      </c>
      <c r="E3684" s="59">
        <v>288</v>
      </c>
    </row>
    <row r="3685" spans="1:5" ht="15" x14ac:dyDescent="0.35">
      <c r="A3685" s="58" t="s">
        <v>292</v>
      </c>
      <c r="B3685" s="58" t="s">
        <v>172</v>
      </c>
      <c r="C3685" s="58">
        <v>9</v>
      </c>
      <c r="D3685" s="58">
        <v>112</v>
      </c>
      <c r="E3685" s="59">
        <v>288</v>
      </c>
    </row>
    <row r="3686" spans="1:5" ht="15" x14ac:dyDescent="0.35">
      <c r="A3686" s="58" t="s">
        <v>292</v>
      </c>
      <c r="B3686" s="58" t="s">
        <v>172</v>
      </c>
      <c r="C3686" s="58">
        <v>10</v>
      </c>
      <c r="D3686" s="58">
        <v>113</v>
      </c>
      <c r="E3686" s="59">
        <v>288</v>
      </c>
    </row>
    <row r="3687" spans="1:5" ht="15" x14ac:dyDescent="0.35">
      <c r="A3687" s="58" t="s">
        <v>292</v>
      </c>
      <c r="B3687" s="58" t="s">
        <v>172</v>
      </c>
      <c r="C3687" s="58">
        <v>11</v>
      </c>
      <c r="D3687" s="58">
        <v>114</v>
      </c>
      <c r="E3687" s="59">
        <v>288</v>
      </c>
    </row>
    <row r="3688" spans="1:5" ht="15" x14ac:dyDescent="0.35">
      <c r="A3688" s="58" t="s">
        <v>292</v>
      </c>
      <c r="B3688" s="58" t="s">
        <v>172</v>
      </c>
      <c r="C3688" s="58">
        <v>12</v>
      </c>
      <c r="D3688" s="58">
        <v>115</v>
      </c>
      <c r="E3688" s="59">
        <v>288</v>
      </c>
    </row>
    <row r="3689" spans="1:5" ht="15" x14ac:dyDescent="0.35">
      <c r="A3689" s="58" t="s">
        <v>292</v>
      </c>
      <c r="B3689" s="58" t="s">
        <v>180</v>
      </c>
      <c r="C3689" s="58">
        <v>1</v>
      </c>
      <c r="D3689" s="58">
        <v>104</v>
      </c>
      <c r="E3689" s="59">
        <v>205.316</v>
      </c>
    </row>
    <row r="3690" spans="1:5" ht="15" x14ac:dyDescent="0.35">
      <c r="A3690" s="58" t="s">
        <v>292</v>
      </c>
      <c r="B3690" s="58" t="s">
        <v>180</v>
      </c>
      <c r="C3690" s="58">
        <v>2</v>
      </c>
      <c r="D3690" s="58">
        <v>105</v>
      </c>
      <c r="E3690" s="59">
        <v>205.316</v>
      </c>
    </row>
    <row r="3691" spans="1:5" ht="15" x14ac:dyDescent="0.35">
      <c r="A3691" s="58" t="s">
        <v>292</v>
      </c>
      <c r="B3691" s="58" t="s">
        <v>180</v>
      </c>
      <c r="C3691" s="58">
        <v>3</v>
      </c>
      <c r="D3691" s="58">
        <v>106</v>
      </c>
      <c r="E3691" s="59">
        <v>205.316</v>
      </c>
    </row>
    <row r="3692" spans="1:5" ht="15" x14ac:dyDescent="0.35">
      <c r="A3692" s="58" t="s">
        <v>292</v>
      </c>
      <c r="B3692" s="58" t="s">
        <v>180</v>
      </c>
      <c r="C3692" s="58">
        <v>4</v>
      </c>
      <c r="D3692" s="58">
        <v>107</v>
      </c>
      <c r="E3692" s="59">
        <v>205.316</v>
      </c>
    </row>
    <row r="3693" spans="1:5" ht="15" x14ac:dyDescent="0.35">
      <c r="A3693" s="58" t="s">
        <v>292</v>
      </c>
      <c r="B3693" s="58" t="s">
        <v>180</v>
      </c>
      <c r="C3693" s="58">
        <v>5</v>
      </c>
      <c r="D3693" s="58">
        <v>108</v>
      </c>
      <c r="E3693" s="59">
        <v>205.316</v>
      </c>
    </row>
    <row r="3694" spans="1:5" ht="15" x14ac:dyDescent="0.35">
      <c r="A3694" s="58" t="s">
        <v>292</v>
      </c>
      <c r="B3694" s="58" t="s">
        <v>180</v>
      </c>
      <c r="C3694" s="58">
        <v>6</v>
      </c>
      <c r="D3694" s="58">
        <v>109</v>
      </c>
      <c r="E3694" s="59">
        <v>205.316</v>
      </c>
    </row>
    <row r="3695" spans="1:5" ht="15" x14ac:dyDescent="0.35">
      <c r="A3695" s="58" t="s">
        <v>292</v>
      </c>
      <c r="B3695" s="58" t="s">
        <v>180</v>
      </c>
      <c r="C3695" s="58">
        <v>7</v>
      </c>
      <c r="D3695" s="58">
        <v>110</v>
      </c>
      <c r="E3695" s="59">
        <v>205.316</v>
      </c>
    </row>
    <row r="3696" spans="1:5" ht="15" x14ac:dyDescent="0.35">
      <c r="A3696" s="58" t="s">
        <v>292</v>
      </c>
      <c r="B3696" s="58" t="s">
        <v>180</v>
      </c>
      <c r="C3696" s="58">
        <v>8</v>
      </c>
      <c r="D3696" s="58">
        <v>111</v>
      </c>
      <c r="E3696" s="59">
        <v>205.316</v>
      </c>
    </row>
    <row r="3697" spans="1:5" ht="15" x14ac:dyDescent="0.35">
      <c r="A3697" s="58" t="s">
        <v>292</v>
      </c>
      <c r="B3697" s="58" t="s">
        <v>180</v>
      </c>
      <c r="C3697" s="58">
        <v>9</v>
      </c>
      <c r="D3697" s="58">
        <v>112</v>
      </c>
      <c r="E3697" s="59">
        <v>205.316</v>
      </c>
    </row>
    <row r="3698" spans="1:5" ht="15" x14ac:dyDescent="0.35">
      <c r="A3698" s="58" t="s">
        <v>292</v>
      </c>
      <c r="B3698" s="58" t="s">
        <v>180</v>
      </c>
      <c r="C3698" s="58">
        <v>10</v>
      </c>
      <c r="D3698" s="58">
        <v>113</v>
      </c>
      <c r="E3698" s="59">
        <v>205.316</v>
      </c>
    </row>
    <row r="3699" spans="1:5" ht="15" x14ac:dyDescent="0.35">
      <c r="A3699" s="58" t="s">
        <v>292</v>
      </c>
      <c r="B3699" s="58" t="s">
        <v>180</v>
      </c>
      <c r="C3699" s="58">
        <v>11</v>
      </c>
      <c r="D3699" s="58">
        <v>114</v>
      </c>
      <c r="E3699" s="59">
        <v>205.316</v>
      </c>
    </row>
    <row r="3700" spans="1:5" ht="15" x14ac:dyDescent="0.35">
      <c r="A3700" s="58" t="s">
        <v>292</v>
      </c>
      <c r="B3700" s="58" t="s">
        <v>180</v>
      </c>
      <c r="C3700" s="58">
        <v>12</v>
      </c>
      <c r="D3700" s="58">
        <v>115</v>
      </c>
      <c r="E3700" s="59">
        <v>205.316</v>
      </c>
    </row>
    <row r="3701" spans="1:5" ht="15" x14ac:dyDescent="0.35">
      <c r="A3701" s="58" t="s">
        <v>322</v>
      </c>
      <c r="B3701" s="58" t="s">
        <v>182</v>
      </c>
      <c r="C3701" s="58">
        <v>1</v>
      </c>
      <c r="D3701" s="58">
        <v>104</v>
      </c>
      <c r="E3701" s="59">
        <v>91.1571</v>
      </c>
    </row>
    <row r="3702" spans="1:5" ht="15" x14ac:dyDescent="0.35">
      <c r="A3702" s="58" t="s">
        <v>322</v>
      </c>
      <c r="B3702" s="58" t="s">
        <v>182</v>
      </c>
      <c r="C3702" s="58">
        <v>2</v>
      </c>
      <c r="D3702" s="58">
        <v>105</v>
      </c>
      <c r="E3702" s="59">
        <v>0</v>
      </c>
    </row>
    <row r="3703" spans="1:5" ht="15" x14ac:dyDescent="0.35">
      <c r="A3703" s="58" t="s">
        <v>322</v>
      </c>
      <c r="B3703" s="58" t="s">
        <v>182</v>
      </c>
      <c r="C3703" s="58">
        <v>3</v>
      </c>
      <c r="D3703" s="58">
        <v>106</v>
      </c>
      <c r="E3703" s="59">
        <v>0</v>
      </c>
    </row>
    <row r="3704" spans="1:5" ht="15" x14ac:dyDescent="0.35">
      <c r="A3704" s="58" t="s">
        <v>322</v>
      </c>
      <c r="B3704" s="58" t="s">
        <v>182</v>
      </c>
      <c r="C3704" s="58">
        <v>4</v>
      </c>
      <c r="D3704" s="58">
        <v>107</v>
      </c>
      <c r="E3704" s="59">
        <v>0</v>
      </c>
    </row>
    <row r="3705" spans="1:5" ht="15" x14ac:dyDescent="0.35">
      <c r="A3705" s="58" t="s">
        <v>322</v>
      </c>
      <c r="B3705" s="58" t="s">
        <v>182</v>
      </c>
      <c r="C3705" s="58">
        <v>5</v>
      </c>
      <c r="D3705" s="58">
        <v>108</v>
      </c>
      <c r="E3705" s="59">
        <v>8.1988000000000003</v>
      </c>
    </row>
    <row r="3706" spans="1:5" ht="15" x14ac:dyDescent="0.35">
      <c r="A3706" s="58" t="s">
        <v>322</v>
      </c>
      <c r="B3706" s="58" t="s">
        <v>182</v>
      </c>
      <c r="C3706" s="58">
        <v>6</v>
      </c>
      <c r="D3706" s="58">
        <v>109</v>
      </c>
      <c r="E3706" s="59">
        <v>17.823799999999999</v>
      </c>
    </row>
    <row r="3707" spans="1:5" ht="15" x14ac:dyDescent="0.35">
      <c r="A3707" s="58" t="s">
        <v>322</v>
      </c>
      <c r="B3707" s="58" t="s">
        <v>182</v>
      </c>
      <c r="C3707" s="58">
        <v>7</v>
      </c>
      <c r="D3707" s="58">
        <v>110</v>
      </c>
      <c r="E3707" s="59">
        <v>33.379399999999997</v>
      </c>
    </row>
    <row r="3708" spans="1:5" ht="15" x14ac:dyDescent="0.35">
      <c r="A3708" s="58" t="s">
        <v>322</v>
      </c>
      <c r="B3708" s="58" t="s">
        <v>182</v>
      </c>
      <c r="C3708" s="58">
        <v>8</v>
      </c>
      <c r="D3708" s="58">
        <v>111</v>
      </c>
      <c r="E3708" s="59">
        <v>94.1571</v>
      </c>
    </row>
    <row r="3709" spans="1:5" ht="15" x14ac:dyDescent="0.35">
      <c r="A3709" s="58" t="s">
        <v>322</v>
      </c>
      <c r="B3709" s="58" t="s">
        <v>182</v>
      </c>
      <c r="C3709" s="58">
        <v>9</v>
      </c>
      <c r="D3709" s="58">
        <v>112</v>
      </c>
      <c r="E3709" s="59">
        <v>108.7127</v>
      </c>
    </row>
    <row r="3710" spans="1:5" ht="15" x14ac:dyDescent="0.35">
      <c r="A3710" s="58" t="s">
        <v>322</v>
      </c>
      <c r="B3710" s="58" t="s">
        <v>182</v>
      </c>
      <c r="C3710" s="58">
        <v>10</v>
      </c>
      <c r="D3710" s="58">
        <v>113</v>
      </c>
      <c r="E3710" s="59">
        <v>128.71270000000001</v>
      </c>
    </row>
    <row r="3711" spans="1:5" ht="15" x14ac:dyDescent="0.35">
      <c r="A3711" s="58" t="s">
        <v>322</v>
      </c>
      <c r="B3711" s="58" t="s">
        <v>182</v>
      </c>
      <c r="C3711" s="58">
        <v>11</v>
      </c>
      <c r="D3711" s="58">
        <v>114</v>
      </c>
      <c r="E3711" s="59">
        <v>164.26820000000001</v>
      </c>
    </row>
    <row r="3712" spans="1:5" ht="15" x14ac:dyDescent="0.35">
      <c r="A3712" s="58" t="s">
        <v>322</v>
      </c>
      <c r="B3712" s="58" t="s">
        <v>182</v>
      </c>
      <c r="C3712" s="58">
        <v>12</v>
      </c>
      <c r="D3712" s="58">
        <v>115</v>
      </c>
      <c r="E3712" s="59">
        <v>184.26820000000001</v>
      </c>
    </row>
    <row r="3713" spans="1:5" ht="15" x14ac:dyDescent="0.35">
      <c r="A3713" s="58" t="s">
        <v>322</v>
      </c>
      <c r="B3713" s="58" t="s">
        <v>176</v>
      </c>
      <c r="C3713" s="58">
        <v>1</v>
      </c>
      <c r="D3713" s="58">
        <v>104</v>
      </c>
      <c r="E3713" s="59">
        <v>143.125</v>
      </c>
    </row>
    <row r="3714" spans="1:5" ht="15" x14ac:dyDescent="0.35">
      <c r="A3714" s="58" t="s">
        <v>322</v>
      </c>
      <c r="B3714" s="58" t="s">
        <v>176</v>
      </c>
      <c r="C3714" s="58">
        <v>2</v>
      </c>
      <c r="D3714" s="58">
        <v>105</v>
      </c>
      <c r="E3714" s="59">
        <v>143.125</v>
      </c>
    </row>
    <row r="3715" spans="1:5" ht="15" x14ac:dyDescent="0.35">
      <c r="A3715" s="58" t="s">
        <v>322</v>
      </c>
      <c r="B3715" s="58" t="s">
        <v>176</v>
      </c>
      <c r="C3715" s="58">
        <v>3</v>
      </c>
      <c r="D3715" s="58">
        <v>106</v>
      </c>
      <c r="E3715" s="59">
        <v>143.125</v>
      </c>
    </row>
    <row r="3716" spans="1:5" ht="15" x14ac:dyDescent="0.35">
      <c r="A3716" s="58" t="s">
        <v>322</v>
      </c>
      <c r="B3716" s="58" t="s">
        <v>176</v>
      </c>
      <c r="C3716" s="58">
        <v>4</v>
      </c>
      <c r="D3716" s="58">
        <v>107</v>
      </c>
      <c r="E3716" s="59">
        <v>143.125</v>
      </c>
    </row>
    <row r="3717" spans="1:5" ht="15" x14ac:dyDescent="0.35">
      <c r="A3717" s="58" t="s">
        <v>322</v>
      </c>
      <c r="B3717" s="58" t="s">
        <v>176</v>
      </c>
      <c r="C3717" s="58">
        <v>5</v>
      </c>
      <c r="D3717" s="58">
        <v>108</v>
      </c>
      <c r="E3717" s="59">
        <v>143.125</v>
      </c>
    </row>
    <row r="3718" spans="1:5" ht="15" x14ac:dyDescent="0.35">
      <c r="A3718" s="58" t="s">
        <v>322</v>
      </c>
      <c r="B3718" s="58" t="s">
        <v>176</v>
      </c>
      <c r="C3718" s="58">
        <v>6</v>
      </c>
      <c r="D3718" s="58">
        <v>109</v>
      </c>
      <c r="E3718" s="59">
        <v>143.125</v>
      </c>
    </row>
    <row r="3719" spans="1:5" ht="15" x14ac:dyDescent="0.35">
      <c r="A3719" s="58" t="s">
        <v>322</v>
      </c>
      <c r="B3719" s="58" t="s">
        <v>176</v>
      </c>
      <c r="C3719" s="58">
        <v>7</v>
      </c>
      <c r="D3719" s="58">
        <v>110</v>
      </c>
      <c r="E3719" s="59">
        <v>143.125</v>
      </c>
    </row>
    <row r="3720" spans="1:5" ht="15" x14ac:dyDescent="0.35">
      <c r="A3720" s="58" t="s">
        <v>322</v>
      </c>
      <c r="B3720" s="58" t="s">
        <v>176</v>
      </c>
      <c r="C3720" s="58">
        <v>8</v>
      </c>
      <c r="D3720" s="58">
        <v>111</v>
      </c>
      <c r="E3720" s="59">
        <v>143.125</v>
      </c>
    </row>
    <row r="3721" spans="1:5" ht="15" x14ac:dyDescent="0.35">
      <c r="A3721" s="58" t="s">
        <v>322</v>
      </c>
      <c r="B3721" s="58" t="s">
        <v>176</v>
      </c>
      <c r="C3721" s="58">
        <v>9</v>
      </c>
      <c r="D3721" s="58">
        <v>112</v>
      </c>
      <c r="E3721" s="59">
        <v>143.125</v>
      </c>
    </row>
    <row r="3722" spans="1:5" ht="15" x14ac:dyDescent="0.35">
      <c r="A3722" s="58" t="s">
        <v>322</v>
      </c>
      <c r="B3722" s="58" t="s">
        <v>176</v>
      </c>
      <c r="C3722" s="58">
        <v>10</v>
      </c>
      <c r="D3722" s="58">
        <v>113</v>
      </c>
      <c r="E3722" s="59">
        <v>143.125</v>
      </c>
    </row>
    <row r="3723" spans="1:5" ht="15" x14ac:dyDescent="0.35">
      <c r="A3723" s="58" t="s">
        <v>322</v>
      </c>
      <c r="B3723" s="58" t="s">
        <v>176</v>
      </c>
      <c r="C3723" s="58">
        <v>11</v>
      </c>
      <c r="D3723" s="58">
        <v>114</v>
      </c>
      <c r="E3723" s="59">
        <v>143.125</v>
      </c>
    </row>
    <row r="3724" spans="1:5" ht="15" x14ac:dyDescent="0.35">
      <c r="A3724" s="58" t="s">
        <v>322</v>
      </c>
      <c r="B3724" s="58" t="s">
        <v>176</v>
      </c>
      <c r="C3724" s="58">
        <v>12</v>
      </c>
      <c r="D3724" s="58">
        <v>115</v>
      </c>
      <c r="E3724" s="59">
        <v>143.125</v>
      </c>
    </row>
    <row r="3725" spans="1:5" ht="15" x14ac:dyDescent="0.35">
      <c r="A3725" s="58" t="s">
        <v>322</v>
      </c>
      <c r="B3725" s="58" t="s">
        <v>172</v>
      </c>
      <c r="C3725" s="58">
        <v>1</v>
      </c>
      <c r="D3725" s="58">
        <v>104</v>
      </c>
      <c r="E3725" s="59">
        <v>137</v>
      </c>
    </row>
    <row r="3726" spans="1:5" ht="15" x14ac:dyDescent="0.35">
      <c r="A3726" s="58" t="s">
        <v>322</v>
      </c>
      <c r="B3726" s="58" t="s">
        <v>172</v>
      </c>
      <c r="C3726" s="58">
        <v>2</v>
      </c>
      <c r="D3726" s="58">
        <v>105</v>
      </c>
      <c r="E3726" s="59">
        <v>137</v>
      </c>
    </row>
    <row r="3727" spans="1:5" ht="15" x14ac:dyDescent="0.35">
      <c r="A3727" s="58" t="s">
        <v>322</v>
      </c>
      <c r="B3727" s="58" t="s">
        <v>172</v>
      </c>
      <c r="C3727" s="58">
        <v>3</v>
      </c>
      <c r="D3727" s="58">
        <v>106</v>
      </c>
      <c r="E3727" s="59">
        <v>137</v>
      </c>
    </row>
    <row r="3728" spans="1:5" ht="15" x14ac:dyDescent="0.35">
      <c r="A3728" s="58" t="s">
        <v>322</v>
      </c>
      <c r="B3728" s="58" t="s">
        <v>172</v>
      </c>
      <c r="C3728" s="58">
        <v>4</v>
      </c>
      <c r="D3728" s="58">
        <v>107</v>
      </c>
      <c r="E3728" s="59">
        <v>137</v>
      </c>
    </row>
    <row r="3729" spans="1:5" ht="15" x14ac:dyDescent="0.35">
      <c r="A3729" s="58" t="s">
        <v>322</v>
      </c>
      <c r="B3729" s="58" t="s">
        <v>172</v>
      </c>
      <c r="C3729" s="58">
        <v>5</v>
      </c>
      <c r="D3729" s="58">
        <v>108</v>
      </c>
      <c r="E3729" s="59">
        <v>137</v>
      </c>
    </row>
    <row r="3730" spans="1:5" ht="15" x14ac:dyDescent="0.35">
      <c r="A3730" s="58" t="s">
        <v>322</v>
      </c>
      <c r="B3730" s="58" t="s">
        <v>172</v>
      </c>
      <c r="C3730" s="58">
        <v>6</v>
      </c>
      <c r="D3730" s="58">
        <v>109</v>
      </c>
      <c r="E3730" s="59">
        <v>137</v>
      </c>
    </row>
    <row r="3731" spans="1:5" ht="15" x14ac:dyDescent="0.35">
      <c r="A3731" s="58" t="s">
        <v>322</v>
      </c>
      <c r="B3731" s="58" t="s">
        <v>172</v>
      </c>
      <c r="C3731" s="58">
        <v>7</v>
      </c>
      <c r="D3731" s="58">
        <v>110</v>
      </c>
      <c r="E3731" s="59">
        <v>137</v>
      </c>
    </row>
    <row r="3732" spans="1:5" ht="15" x14ac:dyDescent="0.35">
      <c r="A3732" s="58" t="s">
        <v>322</v>
      </c>
      <c r="B3732" s="58" t="s">
        <v>172</v>
      </c>
      <c r="C3732" s="58">
        <v>8</v>
      </c>
      <c r="D3732" s="58">
        <v>111</v>
      </c>
      <c r="E3732" s="59">
        <v>137</v>
      </c>
    </row>
    <row r="3733" spans="1:5" ht="15" x14ac:dyDescent="0.35">
      <c r="A3733" s="58" t="s">
        <v>322</v>
      </c>
      <c r="B3733" s="58" t="s">
        <v>172</v>
      </c>
      <c r="C3733" s="58">
        <v>9</v>
      </c>
      <c r="D3733" s="58">
        <v>112</v>
      </c>
      <c r="E3733" s="59">
        <v>137</v>
      </c>
    </row>
    <row r="3734" spans="1:5" ht="15" x14ac:dyDescent="0.35">
      <c r="A3734" s="58" t="s">
        <v>322</v>
      </c>
      <c r="B3734" s="58" t="s">
        <v>172</v>
      </c>
      <c r="C3734" s="58">
        <v>10</v>
      </c>
      <c r="D3734" s="58">
        <v>113</v>
      </c>
      <c r="E3734" s="59">
        <v>137</v>
      </c>
    </row>
    <row r="3735" spans="1:5" ht="15" x14ac:dyDescent="0.35">
      <c r="A3735" s="58" t="s">
        <v>322</v>
      </c>
      <c r="B3735" s="58" t="s">
        <v>172</v>
      </c>
      <c r="C3735" s="58">
        <v>11</v>
      </c>
      <c r="D3735" s="58">
        <v>114</v>
      </c>
      <c r="E3735" s="59">
        <v>137</v>
      </c>
    </row>
    <row r="3736" spans="1:5" ht="15" x14ac:dyDescent="0.35">
      <c r="A3736" s="58" t="s">
        <v>322</v>
      </c>
      <c r="B3736" s="58" t="s">
        <v>172</v>
      </c>
      <c r="C3736" s="58">
        <v>12</v>
      </c>
      <c r="D3736" s="58">
        <v>115</v>
      </c>
      <c r="E3736" s="59">
        <v>137</v>
      </c>
    </row>
    <row r="3737" spans="1:5" ht="15" x14ac:dyDescent="0.35">
      <c r="A3737" s="58" t="s">
        <v>322</v>
      </c>
      <c r="B3737" s="58" t="s">
        <v>180</v>
      </c>
      <c r="C3737" s="58">
        <v>1</v>
      </c>
      <c r="D3737" s="58">
        <v>104</v>
      </c>
      <c r="E3737" s="59">
        <v>171.07599999999999</v>
      </c>
    </row>
    <row r="3738" spans="1:5" ht="15" x14ac:dyDescent="0.35">
      <c r="A3738" s="58" t="s">
        <v>322</v>
      </c>
      <c r="B3738" s="58" t="s">
        <v>180</v>
      </c>
      <c r="C3738" s="58">
        <v>2</v>
      </c>
      <c r="D3738" s="58">
        <v>105</v>
      </c>
      <c r="E3738" s="59">
        <v>171.07599999999999</v>
      </c>
    </row>
    <row r="3739" spans="1:5" ht="15" x14ac:dyDescent="0.35">
      <c r="A3739" s="58" t="s">
        <v>322</v>
      </c>
      <c r="B3739" s="58" t="s">
        <v>180</v>
      </c>
      <c r="C3739" s="58">
        <v>3</v>
      </c>
      <c r="D3739" s="58">
        <v>106</v>
      </c>
      <c r="E3739" s="59">
        <v>171.07599999999999</v>
      </c>
    </row>
    <row r="3740" spans="1:5" ht="15" x14ac:dyDescent="0.35">
      <c r="A3740" s="58" t="s">
        <v>322</v>
      </c>
      <c r="B3740" s="58" t="s">
        <v>180</v>
      </c>
      <c r="C3740" s="58">
        <v>4</v>
      </c>
      <c r="D3740" s="58">
        <v>107</v>
      </c>
      <c r="E3740" s="59">
        <v>171.07599999999999</v>
      </c>
    </row>
    <row r="3741" spans="1:5" ht="15" x14ac:dyDescent="0.35">
      <c r="A3741" s="58" t="s">
        <v>322</v>
      </c>
      <c r="B3741" s="58" t="s">
        <v>180</v>
      </c>
      <c r="C3741" s="58">
        <v>5</v>
      </c>
      <c r="D3741" s="58">
        <v>108</v>
      </c>
      <c r="E3741" s="59">
        <v>171.07599999999999</v>
      </c>
    </row>
    <row r="3742" spans="1:5" ht="15" x14ac:dyDescent="0.35">
      <c r="A3742" s="58" t="s">
        <v>322</v>
      </c>
      <c r="B3742" s="58" t="s">
        <v>180</v>
      </c>
      <c r="C3742" s="58">
        <v>6</v>
      </c>
      <c r="D3742" s="58">
        <v>109</v>
      </c>
      <c r="E3742" s="59">
        <v>171.07599999999999</v>
      </c>
    </row>
    <row r="3743" spans="1:5" ht="15" x14ac:dyDescent="0.35">
      <c r="A3743" s="58" t="s">
        <v>322</v>
      </c>
      <c r="B3743" s="58" t="s">
        <v>180</v>
      </c>
      <c r="C3743" s="58">
        <v>7</v>
      </c>
      <c r="D3743" s="58">
        <v>110</v>
      </c>
      <c r="E3743" s="59">
        <v>171.07599999999999</v>
      </c>
    </row>
    <row r="3744" spans="1:5" ht="15" x14ac:dyDescent="0.35">
      <c r="A3744" s="58" t="s">
        <v>322</v>
      </c>
      <c r="B3744" s="58" t="s">
        <v>180</v>
      </c>
      <c r="C3744" s="58">
        <v>8</v>
      </c>
      <c r="D3744" s="58">
        <v>111</v>
      </c>
      <c r="E3744" s="59">
        <v>171.07599999999999</v>
      </c>
    </row>
    <row r="3745" spans="1:5" ht="15" x14ac:dyDescent="0.35">
      <c r="A3745" s="58" t="s">
        <v>322</v>
      </c>
      <c r="B3745" s="58" t="s">
        <v>180</v>
      </c>
      <c r="C3745" s="58">
        <v>9</v>
      </c>
      <c r="D3745" s="58">
        <v>112</v>
      </c>
      <c r="E3745" s="59">
        <v>171.07599999999999</v>
      </c>
    </row>
    <row r="3746" spans="1:5" ht="15" x14ac:dyDescent="0.35">
      <c r="A3746" s="58" t="s">
        <v>322</v>
      </c>
      <c r="B3746" s="58" t="s">
        <v>180</v>
      </c>
      <c r="C3746" s="58">
        <v>10</v>
      </c>
      <c r="D3746" s="58">
        <v>113</v>
      </c>
      <c r="E3746" s="59">
        <v>171.07599999999999</v>
      </c>
    </row>
    <row r="3747" spans="1:5" ht="15" x14ac:dyDescent="0.35">
      <c r="A3747" s="58" t="s">
        <v>322</v>
      </c>
      <c r="B3747" s="58" t="s">
        <v>180</v>
      </c>
      <c r="C3747" s="58">
        <v>11</v>
      </c>
      <c r="D3747" s="58">
        <v>114</v>
      </c>
      <c r="E3747" s="59">
        <v>171.07599999999999</v>
      </c>
    </row>
    <row r="3748" spans="1:5" ht="15" x14ac:dyDescent="0.35">
      <c r="A3748" s="58" t="s">
        <v>322</v>
      </c>
      <c r="B3748" s="58" t="s">
        <v>180</v>
      </c>
      <c r="C3748" s="58">
        <v>12</v>
      </c>
      <c r="D3748" s="58">
        <v>115</v>
      </c>
      <c r="E3748" s="59">
        <v>171.07599999999999</v>
      </c>
    </row>
    <row r="3749" spans="1:5" ht="15" x14ac:dyDescent="0.35">
      <c r="A3749" s="58" t="s">
        <v>327</v>
      </c>
      <c r="B3749" s="58" t="s">
        <v>182</v>
      </c>
      <c r="C3749" s="58">
        <v>1</v>
      </c>
      <c r="D3749" s="58">
        <v>104</v>
      </c>
      <c r="E3749" s="59">
        <v>108.3626</v>
      </c>
    </row>
    <row r="3750" spans="1:5" ht="15" x14ac:dyDescent="0.35">
      <c r="A3750" s="58" t="s">
        <v>327</v>
      </c>
      <c r="B3750" s="58" t="s">
        <v>182</v>
      </c>
      <c r="C3750" s="58">
        <v>2</v>
      </c>
      <c r="D3750" s="58">
        <v>105</v>
      </c>
      <c r="E3750" s="59">
        <v>0</v>
      </c>
    </row>
    <row r="3751" spans="1:5" ht="15" x14ac:dyDescent="0.35">
      <c r="A3751" s="58" t="s">
        <v>327</v>
      </c>
      <c r="B3751" s="58" t="s">
        <v>182</v>
      </c>
      <c r="C3751" s="58">
        <v>3</v>
      </c>
      <c r="D3751" s="58">
        <v>106</v>
      </c>
      <c r="E3751" s="59">
        <v>0</v>
      </c>
    </row>
    <row r="3752" spans="1:5" ht="15" x14ac:dyDescent="0.35">
      <c r="A3752" s="58" t="s">
        <v>327</v>
      </c>
      <c r="B3752" s="58" t="s">
        <v>182</v>
      </c>
      <c r="C3752" s="58">
        <v>4</v>
      </c>
      <c r="D3752" s="58">
        <v>107</v>
      </c>
      <c r="E3752" s="59">
        <v>0</v>
      </c>
    </row>
    <row r="3753" spans="1:5" ht="15" x14ac:dyDescent="0.35">
      <c r="A3753" s="58" t="s">
        <v>327</v>
      </c>
      <c r="B3753" s="58" t="s">
        <v>182</v>
      </c>
      <c r="C3753" s="58">
        <v>5</v>
      </c>
      <c r="D3753" s="58">
        <v>108</v>
      </c>
      <c r="E3753" s="59">
        <v>0</v>
      </c>
    </row>
    <row r="3754" spans="1:5" ht="15" x14ac:dyDescent="0.35">
      <c r="A3754" s="58" t="s">
        <v>327</v>
      </c>
      <c r="B3754" s="58" t="s">
        <v>182</v>
      </c>
      <c r="C3754" s="58">
        <v>6</v>
      </c>
      <c r="D3754" s="58">
        <v>109</v>
      </c>
      <c r="E3754" s="59">
        <v>0</v>
      </c>
    </row>
    <row r="3755" spans="1:5" ht="15" x14ac:dyDescent="0.35">
      <c r="A3755" s="58" t="s">
        <v>327</v>
      </c>
      <c r="B3755" s="58" t="s">
        <v>182</v>
      </c>
      <c r="C3755" s="58">
        <v>7</v>
      </c>
      <c r="D3755" s="58">
        <v>110</v>
      </c>
      <c r="E3755" s="59">
        <v>3.5848</v>
      </c>
    </row>
    <row r="3756" spans="1:5" ht="15" x14ac:dyDescent="0.35">
      <c r="A3756" s="58" t="s">
        <v>327</v>
      </c>
      <c r="B3756" s="58" t="s">
        <v>182</v>
      </c>
      <c r="C3756" s="58">
        <v>8</v>
      </c>
      <c r="D3756" s="58">
        <v>111</v>
      </c>
      <c r="E3756" s="59">
        <v>60.695900000000002</v>
      </c>
    </row>
    <row r="3757" spans="1:5" ht="15" x14ac:dyDescent="0.35">
      <c r="A3757" s="58" t="s">
        <v>327</v>
      </c>
      <c r="B3757" s="58" t="s">
        <v>182</v>
      </c>
      <c r="C3757" s="58">
        <v>9</v>
      </c>
      <c r="D3757" s="58">
        <v>112</v>
      </c>
      <c r="E3757" s="59">
        <v>135.25149999999999</v>
      </c>
    </row>
    <row r="3758" spans="1:5" ht="15" x14ac:dyDescent="0.35">
      <c r="A3758" s="58" t="s">
        <v>327</v>
      </c>
      <c r="B3758" s="58" t="s">
        <v>182</v>
      </c>
      <c r="C3758" s="58">
        <v>10</v>
      </c>
      <c r="D3758" s="58">
        <v>113</v>
      </c>
      <c r="E3758" s="59">
        <v>145.0292</v>
      </c>
    </row>
    <row r="3759" spans="1:5" ht="15" x14ac:dyDescent="0.35">
      <c r="A3759" s="58" t="s">
        <v>327</v>
      </c>
      <c r="B3759" s="58" t="s">
        <v>182</v>
      </c>
      <c r="C3759" s="58">
        <v>11</v>
      </c>
      <c r="D3759" s="58">
        <v>114</v>
      </c>
      <c r="E3759" s="59">
        <v>164.36259999999999</v>
      </c>
    </row>
    <row r="3760" spans="1:5" ht="15" x14ac:dyDescent="0.35">
      <c r="A3760" s="58" t="s">
        <v>327</v>
      </c>
      <c r="B3760" s="58" t="s">
        <v>182</v>
      </c>
      <c r="C3760" s="58">
        <v>12</v>
      </c>
      <c r="D3760" s="58">
        <v>115</v>
      </c>
      <c r="E3760" s="59">
        <v>177.69589999999999</v>
      </c>
    </row>
    <row r="3761" spans="1:5" ht="15" x14ac:dyDescent="0.35">
      <c r="A3761" s="58" t="s">
        <v>327</v>
      </c>
      <c r="B3761" s="58" t="s">
        <v>176</v>
      </c>
      <c r="C3761" s="58">
        <v>1</v>
      </c>
      <c r="D3761" s="58">
        <v>104</v>
      </c>
      <c r="E3761" s="59">
        <v>136.375</v>
      </c>
    </row>
    <row r="3762" spans="1:5" ht="15" x14ac:dyDescent="0.35">
      <c r="A3762" s="58" t="s">
        <v>327</v>
      </c>
      <c r="B3762" s="58" t="s">
        <v>176</v>
      </c>
      <c r="C3762" s="58">
        <v>2</v>
      </c>
      <c r="D3762" s="58">
        <v>105</v>
      </c>
      <c r="E3762" s="59">
        <v>136.375</v>
      </c>
    </row>
    <row r="3763" spans="1:5" ht="15" x14ac:dyDescent="0.35">
      <c r="A3763" s="58" t="s">
        <v>327</v>
      </c>
      <c r="B3763" s="58" t="s">
        <v>176</v>
      </c>
      <c r="C3763" s="58">
        <v>3</v>
      </c>
      <c r="D3763" s="58">
        <v>106</v>
      </c>
      <c r="E3763" s="59">
        <v>136.375</v>
      </c>
    </row>
    <row r="3764" spans="1:5" ht="15" x14ac:dyDescent="0.35">
      <c r="A3764" s="58" t="s">
        <v>327</v>
      </c>
      <c r="B3764" s="58" t="s">
        <v>176</v>
      </c>
      <c r="C3764" s="58">
        <v>4</v>
      </c>
      <c r="D3764" s="58">
        <v>107</v>
      </c>
      <c r="E3764" s="59">
        <v>136.375</v>
      </c>
    </row>
    <row r="3765" spans="1:5" ht="15" x14ac:dyDescent="0.35">
      <c r="A3765" s="58" t="s">
        <v>327</v>
      </c>
      <c r="B3765" s="58" t="s">
        <v>176</v>
      </c>
      <c r="C3765" s="58">
        <v>5</v>
      </c>
      <c r="D3765" s="58">
        <v>108</v>
      </c>
      <c r="E3765" s="59">
        <v>136.375</v>
      </c>
    </row>
    <row r="3766" spans="1:5" ht="15" x14ac:dyDescent="0.35">
      <c r="A3766" s="58" t="s">
        <v>327</v>
      </c>
      <c r="B3766" s="58" t="s">
        <v>176</v>
      </c>
      <c r="C3766" s="58">
        <v>6</v>
      </c>
      <c r="D3766" s="58">
        <v>109</v>
      </c>
      <c r="E3766" s="59">
        <v>136.375</v>
      </c>
    </row>
    <row r="3767" spans="1:5" ht="15" x14ac:dyDescent="0.35">
      <c r="A3767" s="58" t="s">
        <v>327</v>
      </c>
      <c r="B3767" s="58" t="s">
        <v>176</v>
      </c>
      <c r="C3767" s="58">
        <v>7</v>
      </c>
      <c r="D3767" s="58">
        <v>110</v>
      </c>
      <c r="E3767" s="59">
        <v>136.375</v>
      </c>
    </row>
    <row r="3768" spans="1:5" ht="15" x14ac:dyDescent="0.35">
      <c r="A3768" s="58" t="s">
        <v>327</v>
      </c>
      <c r="B3768" s="58" t="s">
        <v>176</v>
      </c>
      <c r="C3768" s="58">
        <v>8</v>
      </c>
      <c r="D3768" s="58">
        <v>111</v>
      </c>
      <c r="E3768" s="59">
        <v>136.375</v>
      </c>
    </row>
    <row r="3769" spans="1:5" ht="15" x14ac:dyDescent="0.35">
      <c r="A3769" s="58" t="s">
        <v>327</v>
      </c>
      <c r="B3769" s="58" t="s">
        <v>176</v>
      </c>
      <c r="C3769" s="58">
        <v>9</v>
      </c>
      <c r="D3769" s="58">
        <v>112</v>
      </c>
      <c r="E3769" s="59">
        <v>136.375</v>
      </c>
    </row>
    <row r="3770" spans="1:5" ht="15" x14ac:dyDescent="0.35">
      <c r="A3770" s="58" t="s">
        <v>327</v>
      </c>
      <c r="B3770" s="58" t="s">
        <v>176</v>
      </c>
      <c r="C3770" s="58">
        <v>10</v>
      </c>
      <c r="D3770" s="58">
        <v>113</v>
      </c>
      <c r="E3770" s="59">
        <v>136.375</v>
      </c>
    </row>
    <row r="3771" spans="1:5" ht="15" x14ac:dyDescent="0.35">
      <c r="A3771" s="58" t="s">
        <v>327</v>
      </c>
      <c r="B3771" s="58" t="s">
        <v>176</v>
      </c>
      <c r="C3771" s="58">
        <v>11</v>
      </c>
      <c r="D3771" s="58">
        <v>114</v>
      </c>
      <c r="E3771" s="59">
        <v>136.375</v>
      </c>
    </row>
    <row r="3772" spans="1:5" ht="15" x14ac:dyDescent="0.35">
      <c r="A3772" s="58" t="s">
        <v>327</v>
      </c>
      <c r="B3772" s="58" t="s">
        <v>176</v>
      </c>
      <c r="C3772" s="58">
        <v>12</v>
      </c>
      <c r="D3772" s="58">
        <v>115</v>
      </c>
      <c r="E3772" s="59">
        <v>136.375</v>
      </c>
    </row>
    <row r="3773" spans="1:5" ht="15" x14ac:dyDescent="0.35">
      <c r="A3773" s="58" t="s">
        <v>327</v>
      </c>
      <c r="B3773" s="58" t="s">
        <v>172</v>
      </c>
      <c r="C3773" s="58">
        <v>1</v>
      </c>
      <c r="D3773" s="58">
        <v>104</v>
      </c>
      <c r="E3773" s="59">
        <v>113</v>
      </c>
    </row>
    <row r="3774" spans="1:5" ht="15" x14ac:dyDescent="0.35">
      <c r="A3774" s="58" t="s">
        <v>327</v>
      </c>
      <c r="B3774" s="58" t="s">
        <v>172</v>
      </c>
      <c r="C3774" s="58">
        <v>2</v>
      </c>
      <c r="D3774" s="58">
        <v>105</v>
      </c>
      <c r="E3774" s="59">
        <v>113</v>
      </c>
    </row>
    <row r="3775" spans="1:5" ht="15" x14ac:dyDescent="0.35">
      <c r="A3775" s="58" t="s">
        <v>327</v>
      </c>
      <c r="B3775" s="58" t="s">
        <v>172</v>
      </c>
      <c r="C3775" s="58">
        <v>3</v>
      </c>
      <c r="D3775" s="58">
        <v>106</v>
      </c>
      <c r="E3775" s="59">
        <v>113</v>
      </c>
    </row>
    <row r="3776" spans="1:5" ht="15" x14ac:dyDescent="0.35">
      <c r="A3776" s="58" t="s">
        <v>327</v>
      </c>
      <c r="B3776" s="58" t="s">
        <v>172</v>
      </c>
      <c r="C3776" s="58">
        <v>4</v>
      </c>
      <c r="D3776" s="58">
        <v>107</v>
      </c>
      <c r="E3776" s="59">
        <v>113</v>
      </c>
    </row>
    <row r="3777" spans="1:5" ht="15" x14ac:dyDescent="0.35">
      <c r="A3777" s="58" t="s">
        <v>327</v>
      </c>
      <c r="B3777" s="58" t="s">
        <v>172</v>
      </c>
      <c r="C3777" s="58">
        <v>5</v>
      </c>
      <c r="D3777" s="58">
        <v>108</v>
      </c>
      <c r="E3777" s="59">
        <v>113</v>
      </c>
    </row>
    <row r="3778" spans="1:5" ht="15" x14ac:dyDescent="0.35">
      <c r="A3778" s="58" t="s">
        <v>327</v>
      </c>
      <c r="B3778" s="58" t="s">
        <v>172</v>
      </c>
      <c r="C3778" s="58">
        <v>6</v>
      </c>
      <c r="D3778" s="58">
        <v>109</v>
      </c>
      <c r="E3778" s="59">
        <v>113</v>
      </c>
    </row>
    <row r="3779" spans="1:5" ht="15" x14ac:dyDescent="0.35">
      <c r="A3779" s="58" t="s">
        <v>327</v>
      </c>
      <c r="B3779" s="58" t="s">
        <v>172</v>
      </c>
      <c r="C3779" s="58">
        <v>7</v>
      </c>
      <c r="D3779" s="58">
        <v>110</v>
      </c>
      <c r="E3779" s="59">
        <v>113</v>
      </c>
    </row>
    <row r="3780" spans="1:5" ht="15" x14ac:dyDescent="0.35">
      <c r="A3780" s="58" t="s">
        <v>327</v>
      </c>
      <c r="B3780" s="58" t="s">
        <v>172</v>
      </c>
      <c r="C3780" s="58">
        <v>8</v>
      </c>
      <c r="D3780" s="58">
        <v>111</v>
      </c>
      <c r="E3780" s="59">
        <v>113</v>
      </c>
    </row>
    <row r="3781" spans="1:5" ht="15" x14ac:dyDescent="0.35">
      <c r="A3781" s="58" t="s">
        <v>327</v>
      </c>
      <c r="B3781" s="58" t="s">
        <v>172</v>
      </c>
      <c r="C3781" s="58">
        <v>9</v>
      </c>
      <c r="D3781" s="58">
        <v>112</v>
      </c>
      <c r="E3781" s="59">
        <v>113</v>
      </c>
    </row>
    <row r="3782" spans="1:5" ht="15" x14ac:dyDescent="0.35">
      <c r="A3782" s="58" t="s">
        <v>327</v>
      </c>
      <c r="B3782" s="58" t="s">
        <v>172</v>
      </c>
      <c r="C3782" s="58">
        <v>10</v>
      </c>
      <c r="D3782" s="58">
        <v>113</v>
      </c>
      <c r="E3782" s="59">
        <v>113</v>
      </c>
    </row>
    <row r="3783" spans="1:5" ht="15" x14ac:dyDescent="0.35">
      <c r="A3783" s="58" t="s">
        <v>327</v>
      </c>
      <c r="B3783" s="58" t="s">
        <v>172</v>
      </c>
      <c r="C3783" s="58">
        <v>11</v>
      </c>
      <c r="D3783" s="58">
        <v>114</v>
      </c>
      <c r="E3783" s="59">
        <v>113</v>
      </c>
    </row>
    <row r="3784" spans="1:5" ht="15" x14ac:dyDescent="0.35">
      <c r="A3784" s="58" t="s">
        <v>327</v>
      </c>
      <c r="B3784" s="58" t="s">
        <v>172</v>
      </c>
      <c r="C3784" s="58">
        <v>12</v>
      </c>
      <c r="D3784" s="58">
        <v>115</v>
      </c>
      <c r="E3784" s="59">
        <v>113</v>
      </c>
    </row>
    <row r="3785" spans="1:5" ht="15" x14ac:dyDescent="0.35">
      <c r="A3785" s="58" t="s">
        <v>327</v>
      </c>
      <c r="B3785" s="58" t="s">
        <v>180</v>
      </c>
      <c r="C3785" s="58">
        <v>1</v>
      </c>
      <c r="D3785" s="58">
        <v>104</v>
      </c>
      <c r="E3785" s="59">
        <v>152.50450000000001</v>
      </c>
    </row>
    <row r="3786" spans="1:5" ht="15" x14ac:dyDescent="0.35">
      <c r="A3786" s="58" t="s">
        <v>327</v>
      </c>
      <c r="B3786" s="58" t="s">
        <v>180</v>
      </c>
      <c r="C3786" s="58">
        <v>2</v>
      </c>
      <c r="D3786" s="58">
        <v>105</v>
      </c>
      <c r="E3786" s="59">
        <v>152.50450000000001</v>
      </c>
    </row>
    <row r="3787" spans="1:5" ht="15" x14ac:dyDescent="0.35">
      <c r="A3787" s="58" t="s">
        <v>327</v>
      </c>
      <c r="B3787" s="58" t="s">
        <v>180</v>
      </c>
      <c r="C3787" s="58">
        <v>3</v>
      </c>
      <c r="D3787" s="58">
        <v>106</v>
      </c>
      <c r="E3787" s="59">
        <v>152.50450000000001</v>
      </c>
    </row>
    <row r="3788" spans="1:5" ht="15" x14ac:dyDescent="0.35">
      <c r="A3788" s="58" t="s">
        <v>327</v>
      </c>
      <c r="B3788" s="58" t="s">
        <v>180</v>
      </c>
      <c r="C3788" s="58">
        <v>4</v>
      </c>
      <c r="D3788" s="58">
        <v>107</v>
      </c>
      <c r="E3788" s="59">
        <v>152.50450000000001</v>
      </c>
    </row>
    <row r="3789" spans="1:5" ht="15" x14ac:dyDescent="0.35">
      <c r="A3789" s="58" t="s">
        <v>327</v>
      </c>
      <c r="B3789" s="58" t="s">
        <v>180</v>
      </c>
      <c r="C3789" s="58">
        <v>5</v>
      </c>
      <c r="D3789" s="58">
        <v>108</v>
      </c>
      <c r="E3789" s="59">
        <v>152.50450000000001</v>
      </c>
    </row>
    <row r="3790" spans="1:5" ht="15" x14ac:dyDescent="0.35">
      <c r="A3790" s="58" t="s">
        <v>327</v>
      </c>
      <c r="B3790" s="58" t="s">
        <v>180</v>
      </c>
      <c r="C3790" s="58">
        <v>6</v>
      </c>
      <c r="D3790" s="58">
        <v>109</v>
      </c>
      <c r="E3790" s="59">
        <v>152.50450000000001</v>
      </c>
    </row>
    <row r="3791" spans="1:5" ht="15" x14ac:dyDescent="0.35">
      <c r="A3791" s="58" t="s">
        <v>327</v>
      </c>
      <c r="B3791" s="58" t="s">
        <v>180</v>
      </c>
      <c r="C3791" s="58">
        <v>7</v>
      </c>
      <c r="D3791" s="58">
        <v>110</v>
      </c>
      <c r="E3791" s="59">
        <v>152.50450000000001</v>
      </c>
    </row>
    <row r="3792" spans="1:5" ht="15" x14ac:dyDescent="0.35">
      <c r="A3792" s="58" t="s">
        <v>327</v>
      </c>
      <c r="B3792" s="58" t="s">
        <v>180</v>
      </c>
      <c r="C3792" s="58">
        <v>8</v>
      </c>
      <c r="D3792" s="58">
        <v>111</v>
      </c>
      <c r="E3792" s="59">
        <v>152.50450000000001</v>
      </c>
    </row>
    <row r="3793" spans="1:5" ht="15" x14ac:dyDescent="0.35">
      <c r="A3793" s="58" t="s">
        <v>327</v>
      </c>
      <c r="B3793" s="58" t="s">
        <v>180</v>
      </c>
      <c r="C3793" s="58">
        <v>9</v>
      </c>
      <c r="D3793" s="58">
        <v>112</v>
      </c>
      <c r="E3793" s="59">
        <v>152.50450000000001</v>
      </c>
    </row>
    <row r="3794" spans="1:5" ht="15" x14ac:dyDescent="0.35">
      <c r="A3794" s="58" t="s">
        <v>327</v>
      </c>
      <c r="B3794" s="58" t="s">
        <v>180</v>
      </c>
      <c r="C3794" s="58">
        <v>10</v>
      </c>
      <c r="D3794" s="58">
        <v>113</v>
      </c>
      <c r="E3794" s="59">
        <v>152.50450000000001</v>
      </c>
    </row>
    <row r="3795" spans="1:5" ht="15" x14ac:dyDescent="0.35">
      <c r="A3795" s="58" t="s">
        <v>327</v>
      </c>
      <c r="B3795" s="58" t="s">
        <v>180</v>
      </c>
      <c r="C3795" s="58">
        <v>11</v>
      </c>
      <c r="D3795" s="58">
        <v>114</v>
      </c>
      <c r="E3795" s="59">
        <v>152.50450000000001</v>
      </c>
    </row>
    <row r="3796" spans="1:5" ht="15" x14ac:dyDescent="0.35">
      <c r="A3796" s="58" t="s">
        <v>327</v>
      </c>
      <c r="B3796" s="58" t="s">
        <v>180</v>
      </c>
      <c r="C3796" s="58">
        <v>12</v>
      </c>
      <c r="D3796" s="58">
        <v>115</v>
      </c>
      <c r="E3796" s="59">
        <v>152.50450000000001</v>
      </c>
    </row>
    <row r="3797" spans="1:5" ht="15" x14ac:dyDescent="0.35">
      <c r="A3797" s="58" t="s">
        <v>255</v>
      </c>
      <c r="B3797" s="58" t="s">
        <v>182</v>
      </c>
      <c r="C3797" s="58">
        <v>1</v>
      </c>
      <c r="D3797" s="58">
        <v>104</v>
      </c>
      <c r="E3797" s="59">
        <v>360.476</v>
      </c>
    </row>
    <row r="3798" spans="1:5" ht="15" x14ac:dyDescent="0.35">
      <c r="A3798" s="58" t="s">
        <v>255</v>
      </c>
      <c r="B3798" s="58" t="s">
        <v>182</v>
      </c>
      <c r="C3798" s="58">
        <v>2</v>
      </c>
      <c r="D3798" s="58">
        <v>105</v>
      </c>
      <c r="E3798" s="59">
        <v>69.587100000000007</v>
      </c>
    </row>
    <row r="3799" spans="1:5" ht="15" x14ac:dyDescent="0.35">
      <c r="A3799" s="58" t="s">
        <v>255</v>
      </c>
      <c r="B3799" s="58" t="s">
        <v>182</v>
      </c>
      <c r="C3799" s="58">
        <v>3</v>
      </c>
      <c r="D3799" s="58">
        <v>106</v>
      </c>
      <c r="E3799" s="59">
        <v>69.587100000000007</v>
      </c>
    </row>
    <row r="3800" spans="1:5" ht="15" x14ac:dyDescent="0.35">
      <c r="A3800" s="58" t="s">
        <v>255</v>
      </c>
      <c r="B3800" s="58" t="s">
        <v>182</v>
      </c>
      <c r="C3800" s="58">
        <v>4</v>
      </c>
      <c r="D3800" s="58">
        <v>107</v>
      </c>
      <c r="E3800" s="59">
        <v>69.587100000000007</v>
      </c>
    </row>
    <row r="3801" spans="1:5" ht="15" x14ac:dyDescent="0.35">
      <c r="A3801" s="58" t="s">
        <v>255</v>
      </c>
      <c r="B3801" s="58" t="s">
        <v>182</v>
      </c>
      <c r="C3801" s="58">
        <v>5</v>
      </c>
      <c r="D3801" s="58">
        <v>108</v>
      </c>
      <c r="E3801" s="59">
        <v>83.837100000000007</v>
      </c>
    </row>
    <row r="3802" spans="1:5" ht="15" x14ac:dyDescent="0.35">
      <c r="A3802" s="58" t="s">
        <v>255</v>
      </c>
      <c r="B3802" s="58" t="s">
        <v>182</v>
      </c>
      <c r="C3802" s="58">
        <v>6</v>
      </c>
      <c r="D3802" s="58">
        <v>109</v>
      </c>
      <c r="E3802" s="59">
        <v>119.58710000000001</v>
      </c>
    </row>
    <row r="3803" spans="1:5" ht="15" x14ac:dyDescent="0.35">
      <c r="A3803" s="58" t="s">
        <v>255</v>
      </c>
      <c r="B3803" s="58" t="s">
        <v>182</v>
      </c>
      <c r="C3803" s="58">
        <v>7</v>
      </c>
      <c r="D3803" s="58">
        <v>110</v>
      </c>
      <c r="E3803" s="59">
        <v>154.14259999999999</v>
      </c>
    </row>
    <row r="3804" spans="1:5" ht="15" x14ac:dyDescent="0.35">
      <c r="A3804" s="58" t="s">
        <v>255</v>
      </c>
      <c r="B3804" s="58" t="s">
        <v>182</v>
      </c>
      <c r="C3804" s="58">
        <v>8</v>
      </c>
      <c r="D3804" s="58">
        <v>111</v>
      </c>
      <c r="E3804" s="59">
        <v>234.14259999999999</v>
      </c>
    </row>
    <row r="3805" spans="1:5" ht="15" x14ac:dyDescent="0.35">
      <c r="A3805" s="58" t="s">
        <v>255</v>
      </c>
      <c r="B3805" s="58" t="s">
        <v>182</v>
      </c>
      <c r="C3805" s="58">
        <v>9</v>
      </c>
      <c r="D3805" s="58">
        <v>112</v>
      </c>
      <c r="E3805" s="59">
        <v>295.3648</v>
      </c>
    </row>
    <row r="3806" spans="1:5" ht="15" x14ac:dyDescent="0.35">
      <c r="A3806" s="58" t="s">
        <v>255</v>
      </c>
      <c r="B3806" s="58" t="s">
        <v>182</v>
      </c>
      <c r="C3806" s="58">
        <v>10</v>
      </c>
      <c r="D3806" s="58">
        <v>113</v>
      </c>
      <c r="E3806" s="59">
        <v>329.3648</v>
      </c>
    </row>
    <row r="3807" spans="1:5" ht="15" x14ac:dyDescent="0.35">
      <c r="A3807" s="58" t="s">
        <v>255</v>
      </c>
      <c r="B3807" s="58" t="s">
        <v>182</v>
      </c>
      <c r="C3807" s="58">
        <v>11</v>
      </c>
      <c r="D3807" s="58">
        <v>114</v>
      </c>
      <c r="E3807" s="59">
        <v>374.03149999999999</v>
      </c>
    </row>
    <row r="3808" spans="1:5" ht="15" x14ac:dyDescent="0.35">
      <c r="A3808" s="58" t="s">
        <v>255</v>
      </c>
      <c r="B3808" s="58" t="s">
        <v>182</v>
      </c>
      <c r="C3808" s="58">
        <v>12</v>
      </c>
      <c r="D3808" s="58">
        <v>115</v>
      </c>
      <c r="E3808" s="59">
        <v>393.92039999999997</v>
      </c>
    </row>
    <row r="3809" spans="1:5" ht="15" x14ac:dyDescent="0.35">
      <c r="A3809" s="58" t="s">
        <v>255</v>
      </c>
      <c r="B3809" s="58" t="s">
        <v>176</v>
      </c>
      <c r="C3809" s="58">
        <v>1</v>
      </c>
      <c r="D3809" s="58">
        <v>104</v>
      </c>
      <c r="E3809" s="59">
        <v>544</v>
      </c>
    </row>
    <row r="3810" spans="1:5" ht="15" x14ac:dyDescent="0.35">
      <c r="A3810" s="58" t="s">
        <v>255</v>
      </c>
      <c r="B3810" s="58" t="s">
        <v>176</v>
      </c>
      <c r="C3810" s="58">
        <v>2</v>
      </c>
      <c r="D3810" s="58">
        <v>105</v>
      </c>
      <c r="E3810" s="59">
        <v>544</v>
      </c>
    </row>
    <row r="3811" spans="1:5" ht="15" x14ac:dyDescent="0.35">
      <c r="A3811" s="58" t="s">
        <v>255</v>
      </c>
      <c r="B3811" s="58" t="s">
        <v>176</v>
      </c>
      <c r="C3811" s="58">
        <v>3</v>
      </c>
      <c r="D3811" s="58">
        <v>106</v>
      </c>
      <c r="E3811" s="59">
        <v>544</v>
      </c>
    </row>
    <row r="3812" spans="1:5" ht="15" x14ac:dyDescent="0.35">
      <c r="A3812" s="58" t="s">
        <v>255</v>
      </c>
      <c r="B3812" s="58" t="s">
        <v>176</v>
      </c>
      <c r="C3812" s="58">
        <v>4</v>
      </c>
      <c r="D3812" s="58">
        <v>107</v>
      </c>
      <c r="E3812" s="59">
        <v>544</v>
      </c>
    </row>
    <row r="3813" spans="1:5" ht="15" x14ac:dyDescent="0.35">
      <c r="A3813" s="58" t="s">
        <v>255</v>
      </c>
      <c r="B3813" s="58" t="s">
        <v>176</v>
      </c>
      <c r="C3813" s="58">
        <v>5</v>
      </c>
      <c r="D3813" s="58">
        <v>108</v>
      </c>
      <c r="E3813" s="59">
        <v>544</v>
      </c>
    </row>
    <row r="3814" spans="1:5" ht="15" x14ac:dyDescent="0.35">
      <c r="A3814" s="58" t="s">
        <v>255</v>
      </c>
      <c r="B3814" s="58" t="s">
        <v>176</v>
      </c>
      <c r="C3814" s="58">
        <v>6</v>
      </c>
      <c r="D3814" s="58">
        <v>109</v>
      </c>
      <c r="E3814" s="59">
        <v>544</v>
      </c>
    </row>
    <row r="3815" spans="1:5" ht="15" x14ac:dyDescent="0.35">
      <c r="A3815" s="58" t="s">
        <v>255</v>
      </c>
      <c r="B3815" s="58" t="s">
        <v>176</v>
      </c>
      <c r="C3815" s="58">
        <v>7</v>
      </c>
      <c r="D3815" s="58">
        <v>110</v>
      </c>
      <c r="E3815" s="59">
        <v>544</v>
      </c>
    </row>
    <row r="3816" spans="1:5" ht="15" x14ac:dyDescent="0.35">
      <c r="A3816" s="58" t="s">
        <v>255</v>
      </c>
      <c r="B3816" s="58" t="s">
        <v>176</v>
      </c>
      <c r="C3816" s="58">
        <v>8</v>
      </c>
      <c r="D3816" s="58">
        <v>111</v>
      </c>
      <c r="E3816" s="59">
        <v>544</v>
      </c>
    </row>
    <row r="3817" spans="1:5" ht="15" x14ac:dyDescent="0.35">
      <c r="A3817" s="58" t="s">
        <v>255</v>
      </c>
      <c r="B3817" s="58" t="s">
        <v>176</v>
      </c>
      <c r="C3817" s="58">
        <v>9</v>
      </c>
      <c r="D3817" s="58">
        <v>112</v>
      </c>
      <c r="E3817" s="59">
        <v>544</v>
      </c>
    </row>
    <row r="3818" spans="1:5" ht="15" x14ac:dyDescent="0.35">
      <c r="A3818" s="58" t="s">
        <v>255</v>
      </c>
      <c r="B3818" s="58" t="s">
        <v>176</v>
      </c>
      <c r="C3818" s="58">
        <v>10</v>
      </c>
      <c r="D3818" s="58">
        <v>113</v>
      </c>
      <c r="E3818" s="59">
        <v>544</v>
      </c>
    </row>
    <row r="3819" spans="1:5" ht="15" x14ac:dyDescent="0.35">
      <c r="A3819" s="58" t="s">
        <v>255</v>
      </c>
      <c r="B3819" s="58" t="s">
        <v>176</v>
      </c>
      <c r="C3819" s="58">
        <v>11</v>
      </c>
      <c r="D3819" s="58">
        <v>114</v>
      </c>
      <c r="E3819" s="59">
        <v>544</v>
      </c>
    </row>
    <row r="3820" spans="1:5" ht="15" x14ac:dyDescent="0.35">
      <c r="A3820" s="58" t="s">
        <v>255</v>
      </c>
      <c r="B3820" s="58" t="s">
        <v>176</v>
      </c>
      <c r="C3820" s="58">
        <v>12</v>
      </c>
      <c r="D3820" s="58">
        <v>115</v>
      </c>
      <c r="E3820" s="59">
        <v>544</v>
      </c>
    </row>
    <row r="3821" spans="1:5" ht="15" x14ac:dyDescent="0.35">
      <c r="A3821" s="58" t="s">
        <v>255</v>
      </c>
      <c r="B3821" s="58" t="s">
        <v>172</v>
      </c>
      <c r="C3821" s="58">
        <v>1</v>
      </c>
      <c r="D3821" s="58">
        <v>104</v>
      </c>
      <c r="E3821" s="59">
        <v>253</v>
      </c>
    </row>
    <row r="3822" spans="1:5" ht="15" x14ac:dyDescent="0.35">
      <c r="A3822" s="58" t="s">
        <v>255</v>
      </c>
      <c r="B3822" s="58" t="s">
        <v>172</v>
      </c>
      <c r="C3822" s="58">
        <v>2</v>
      </c>
      <c r="D3822" s="58">
        <v>105</v>
      </c>
      <c r="E3822" s="59">
        <v>253</v>
      </c>
    </row>
    <row r="3823" spans="1:5" ht="15" x14ac:dyDescent="0.35">
      <c r="A3823" s="58" t="s">
        <v>255</v>
      </c>
      <c r="B3823" s="58" t="s">
        <v>172</v>
      </c>
      <c r="C3823" s="58">
        <v>3</v>
      </c>
      <c r="D3823" s="58">
        <v>106</v>
      </c>
      <c r="E3823" s="59">
        <v>253</v>
      </c>
    </row>
    <row r="3824" spans="1:5" ht="15" x14ac:dyDescent="0.35">
      <c r="A3824" s="58" t="s">
        <v>255</v>
      </c>
      <c r="B3824" s="58" t="s">
        <v>172</v>
      </c>
      <c r="C3824" s="58">
        <v>4</v>
      </c>
      <c r="D3824" s="58">
        <v>107</v>
      </c>
      <c r="E3824" s="59">
        <v>253</v>
      </c>
    </row>
    <row r="3825" spans="1:5" ht="15" x14ac:dyDescent="0.35">
      <c r="A3825" s="58" t="s">
        <v>255</v>
      </c>
      <c r="B3825" s="58" t="s">
        <v>172</v>
      </c>
      <c r="C3825" s="58">
        <v>5</v>
      </c>
      <c r="D3825" s="58">
        <v>108</v>
      </c>
      <c r="E3825" s="59">
        <v>253</v>
      </c>
    </row>
    <row r="3826" spans="1:5" ht="15" x14ac:dyDescent="0.35">
      <c r="A3826" s="58" t="s">
        <v>255</v>
      </c>
      <c r="B3826" s="58" t="s">
        <v>172</v>
      </c>
      <c r="C3826" s="58">
        <v>6</v>
      </c>
      <c r="D3826" s="58">
        <v>109</v>
      </c>
      <c r="E3826" s="59">
        <v>253</v>
      </c>
    </row>
    <row r="3827" spans="1:5" ht="15" x14ac:dyDescent="0.35">
      <c r="A3827" s="58" t="s">
        <v>255</v>
      </c>
      <c r="B3827" s="58" t="s">
        <v>172</v>
      </c>
      <c r="C3827" s="58">
        <v>7</v>
      </c>
      <c r="D3827" s="58">
        <v>110</v>
      </c>
      <c r="E3827" s="59">
        <v>253</v>
      </c>
    </row>
    <row r="3828" spans="1:5" ht="15" x14ac:dyDescent="0.35">
      <c r="A3828" s="58" t="s">
        <v>255</v>
      </c>
      <c r="B3828" s="58" t="s">
        <v>172</v>
      </c>
      <c r="C3828" s="58">
        <v>8</v>
      </c>
      <c r="D3828" s="58">
        <v>111</v>
      </c>
      <c r="E3828" s="59">
        <v>253</v>
      </c>
    </row>
    <row r="3829" spans="1:5" ht="15" x14ac:dyDescent="0.35">
      <c r="A3829" s="58" t="s">
        <v>255</v>
      </c>
      <c r="B3829" s="58" t="s">
        <v>172</v>
      </c>
      <c r="C3829" s="58">
        <v>9</v>
      </c>
      <c r="D3829" s="58">
        <v>112</v>
      </c>
      <c r="E3829" s="59">
        <v>253</v>
      </c>
    </row>
    <row r="3830" spans="1:5" ht="15" x14ac:dyDescent="0.35">
      <c r="A3830" s="58" t="s">
        <v>255</v>
      </c>
      <c r="B3830" s="58" t="s">
        <v>172</v>
      </c>
      <c r="C3830" s="58">
        <v>10</v>
      </c>
      <c r="D3830" s="58">
        <v>113</v>
      </c>
      <c r="E3830" s="59">
        <v>253</v>
      </c>
    </row>
    <row r="3831" spans="1:5" ht="15" x14ac:dyDescent="0.35">
      <c r="A3831" s="58" t="s">
        <v>255</v>
      </c>
      <c r="B3831" s="58" t="s">
        <v>172</v>
      </c>
      <c r="C3831" s="58">
        <v>11</v>
      </c>
      <c r="D3831" s="58">
        <v>114</v>
      </c>
      <c r="E3831" s="59">
        <v>253</v>
      </c>
    </row>
    <row r="3832" spans="1:5" ht="15" x14ac:dyDescent="0.35">
      <c r="A3832" s="58" t="s">
        <v>255</v>
      </c>
      <c r="B3832" s="58" t="s">
        <v>172</v>
      </c>
      <c r="C3832" s="58">
        <v>12</v>
      </c>
      <c r="D3832" s="58">
        <v>115</v>
      </c>
      <c r="E3832" s="59">
        <v>253</v>
      </c>
    </row>
    <row r="3833" spans="1:5" ht="15" x14ac:dyDescent="0.35">
      <c r="A3833" s="58" t="s">
        <v>255</v>
      </c>
      <c r="B3833" s="58" t="s">
        <v>180</v>
      </c>
      <c r="C3833" s="58">
        <v>1</v>
      </c>
      <c r="D3833" s="58">
        <v>104</v>
      </c>
      <c r="E3833" s="59">
        <v>446.74630000000002</v>
      </c>
    </row>
    <row r="3834" spans="1:5" ht="15" x14ac:dyDescent="0.35">
      <c r="A3834" s="58" t="s">
        <v>255</v>
      </c>
      <c r="B3834" s="58" t="s">
        <v>180</v>
      </c>
      <c r="C3834" s="58">
        <v>2</v>
      </c>
      <c r="D3834" s="58">
        <v>105</v>
      </c>
      <c r="E3834" s="59">
        <v>446.74630000000002</v>
      </c>
    </row>
    <row r="3835" spans="1:5" ht="15" x14ac:dyDescent="0.35">
      <c r="A3835" s="58" t="s">
        <v>255</v>
      </c>
      <c r="B3835" s="58" t="s">
        <v>180</v>
      </c>
      <c r="C3835" s="58">
        <v>3</v>
      </c>
      <c r="D3835" s="58">
        <v>106</v>
      </c>
      <c r="E3835" s="59">
        <v>446.74630000000002</v>
      </c>
    </row>
    <row r="3836" spans="1:5" ht="15" x14ac:dyDescent="0.35">
      <c r="A3836" s="58" t="s">
        <v>255</v>
      </c>
      <c r="B3836" s="58" t="s">
        <v>180</v>
      </c>
      <c r="C3836" s="58">
        <v>4</v>
      </c>
      <c r="D3836" s="58">
        <v>107</v>
      </c>
      <c r="E3836" s="59">
        <v>446.74630000000002</v>
      </c>
    </row>
    <row r="3837" spans="1:5" ht="15" x14ac:dyDescent="0.35">
      <c r="A3837" s="58" t="s">
        <v>255</v>
      </c>
      <c r="B3837" s="58" t="s">
        <v>180</v>
      </c>
      <c r="C3837" s="58">
        <v>5</v>
      </c>
      <c r="D3837" s="58">
        <v>108</v>
      </c>
      <c r="E3837" s="59">
        <v>446.74630000000002</v>
      </c>
    </row>
    <row r="3838" spans="1:5" ht="15" x14ac:dyDescent="0.35">
      <c r="A3838" s="58" t="s">
        <v>255</v>
      </c>
      <c r="B3838" s="58" t="s">
        <v>180</v>
      </c>
      <c r="C3838" s="58">
        <v>6</v>
      </c>
      <c r="D3838" s="58">
        <v>109</v>
      </c>
      <c r="E3838" s="59">
        <v>446.74630000000002</v>
      </c>
    </row>
    <row r="3839" spans="1:5" ht="15" x14ac:dyDescent="0.35">
      <c r="A3839" s="58" t="s">
        <v>255</v>
      </c>
      <c r="B3839" s="58" t="s">
        <v>180</v>
      </c>
      <c r="C3839" s="58">
        <v>7</v>
      </c>
      <c r="D3839" s="58">
        <v>110</v>
      </c>
      <c r="E3839" s="59">
        <v>446.74630000000002</v>
      </c>
    </row>
    <row r="3840" spans="1:5" ht="15" x14ac:dyDescent="0.35">
      <c r="A3840" s="58" t="s">
        <v>255</v>
      </c>
      <c r="B3840" s="58" t="s">
        <v>180</v>
      </c>
      <c r="C3840" s="58">
        <v>8</v>
      </c>
      <c r="D3840" s="58">
        <v>111</v>
      </c>
      <c r="E3840" s="59">
        <v>446.74630000000002</v>
      </c>
    </row>
    <row r="3841" spans="1:5" ht="15" x14ac:dyDescent="0.35">
      <c r="A3841" s="58" t="s">
        <v>255</v>
      </c>
      <c r="B3841" s="58" t="s">
        <v>180</v>
      </c>
      <c r="C3841" s="58">
        <v>9</v>
      </c>
      <c r="D3841" s="58">
        <v>112</v>
      </c>
      <c r="E3841" s="59">
        <v>446.74630000000002</v>
      </c>
    </row>
    <row r="3842" spans="1:5" ht="15" x14ac:dyDescent="0.35">
      <c r="A3842" s="58" t="s">
        <v>255</v>
      </c>
      <c r="B3842" s="58" t="s">
        <v>180</v>
      </c>
      <c r="C3842" s="58">
        <v>10</v>
      </c>
      <c r="D3842" s="58">
        <v>113</v>
      </c>
      <c r="E3842" s="59">
        <v>446.74630000000002</v>
      </c>
    </row>
    <row r="3843" spans="1:5" ht="15" x14ac:dyDescent="0.35">
      <c r="A3843" s="58" t="s">
        <v>255</v>
      </c>
      <c r="B3843" s="58" t="s">
        <v>180</v>
      </c>
      <c r="C3843" s="58">
        <v>11</v>
      </c>
      <c r="D3843" s="58">
        <v>114</v>
      </c>
      <c r="E3843" s="59">
        <v>446.74630000000002</v>
      </c>
    </row>
    <row r="3844" spans="1:5" ht="15" x14ac:dyDescent="0.35">
      <c r="A3844" s="58" t="s">
        <v>255</v>
      </c>
      <c r="B3844" s="58" t="s">
        <v>180</v>
      </c>
      <c r="C3844" s="58">
        <v>12</v>
      </c>
      <c r="D3844" s="58">
        <v>115</v>
      </c>
      <c r="E3844" s="59">
        <v>446.74630000000002</v>
      </c>
    </row>
    <row r="3845" spans="1:5" ht="15" x14ac:dyDescent="0.35">
      <c r="A3845" s="58" t="s">
        <v>266</v>
      </c>
      <c r="B3845" s="58" t="s">
        <v>182</v>
      </c>
      <c r="C3845" s="58">
        <v>1</v>
      </c>
      <c r="D3845" s="58">
        <v>104</v>
      </c>
      <c r="E3845" s="59">
        <v>236.32320000000001</v>
      </c>
    </row>
    <row r="3846" spans="1:5" ht="15" x14ac:dyDescent="0.35">
      <c r="A3846" s="58" t="s">
        <v>266</v>
      </c>
      <c r="B3846" s="58" t="s">
        <v>182</v>
      </c>
      <c r="C3846" s="58">
        <v>2</v>
      </c>
      <c r="D3846" s="58">
        <v>105</v>
      </c>
      <c r="E3846" s="59">
        <v>0</v>
      </c>
    </row>
    <row r="3847" spans="1:5" ht="15" x14ac:dyDescent="0.35">
      <c r="A3847" s="58" t="s">
        <v>266</v>
      </c>
      <c r="B3847" s="58" t="s">
        <v>182</v>
      </c>
      <c r="C3847" s="58">
        <v>3</v>
      </c>
      <c r="D3847" s="58">
        <v>106</v>
      </c>
      <c r="E3847" s="59">
        <v>0</v>
      </c>
    </row>
    <row r="3848" spans="1:5" ht="15" x14ac:dyDescent="0.35">
      <c r="A3848" s="58" t="s">
        <v>266</v>
      </c>
      <c r="B3848" s="58" t="s">
        <v>182</v>
      </c>
      <c r="C3848" s="58">
        <v>4</v>
      </c>
      <c r="D3848" s="58">
        <v>107</v>
      </c>
      <c r="E3848" s="59">
        <v>0</v>
      </c>
    </row>
    <row r="3849" spans="1:5" ht="15" x14ac:dyDescent="0.35">
      <c r="A3849" s="58" t="s">
        <v>266</v>
      </c>
      <c r="B3849" s="58" t="s">
        <v>182</v>
      </c>
      <c r="C3849" s="58">
        <v>5</v>
      </c>
      <c r="D3849" s="58">
        <v>108</v>
      </c>
      <c r="E3849" s="59">
        <v>0</v>
      </c>
    </row>
    <row r="3850" spans="1:5" ht="15" x14ac:dyDescent="0.35">
      <c r="A3850" s="58" t="s">
        <v>266</v>
      </c>
      <c r="B3850" s="58" t="s">
        <v>182</v>
      </c>
      <c r="C3850" s="58">
        <v>6</v>
      </c>
      <c r="D3850" s="58">
        <v>109</v>
      </c>
      <c r="E3850" s="59">
        <v>0.10100000000000001</v>
      </c>
    </row>
    <row r="3851" spans="1:5" ht="15" x14ac:dyDescent="0.35">
      <c r="A3851" s="58" t="s">
        <v>266</v>
      </c>
      <c r="B3851" s="58" t="s">
        <v>182</v>
      </c>
      <c r="C3851" s="58">
        <v>7</v>
      </c>
      <c r="D3851" s="58">
        <v>110</v>
      </c>
      <c r="E3851" s="59">
        <v>14.9899</v>
      </c>
    </row>
    <row r="3852" spans="1:5" ht="15" x14ac:dyDescent="0.35">
      <c r="A3852" s="58" t="s">
        <v>266</v>
      </c>
      <c r="B3852" s="58" t="s">
        <v>182</v>
      </c>
      <c r="C3852" s="58">
        <v>8</v>
      </c>
      <c r="D3852" s="58">
        <v>111</v>
      </c>
      <c r="E3852" s="59">
        <v>84.3232</v>
      </c>
    </row>
    <row r="3853" spans="1:5" ht="15" x14ac:dyDescent="0.35">
      <c r="A3853" s="58" t="s">
        <v>266</v>
      </c>
      <c r="B3853" s="58" t="s">
        <v>182</v>
      </c>
      <c r="C3853" s="58">
        <v>9</v>
      </c>
      <c r="D3853" s="58">
        <v>112</v>
      </c>
      <c r="E3853" s="59">
        <v>130.87870000000001</v>
      </c>
    </row>
    <row r="3854" spans="1:5" ht="15" x14ac:dyDescent="0.35">
      <c r="A3854" s="58" t="s">
        <v>266</v>
      </c>
      <c r="B3854" s="58" t="s">
        <v>182</v>
      </c>
      <c r="C3854" s="58">
        <v>10</v>
      </c>
      <c r="D3854" s="58">
        <v>113</v>
      </c>
      <c r="E3854" s="59">
        <v>155.65649999999999</v>
      </c>
    </row>
    <row r="3855" spans="1:5" ht="15" x14ac:dyDescent="0.35">
      <c r="A3855" s="58" t="s">
        <v>266</v>
      </c>
      <c r="B3855" s="58" t="s">
        <v>182</v>
      </c>
      <c r="C3855" s="58">
        <v>11</v>
      </c>
      <c r="D3855" s="58">
        <v>114</v>
      </c>
      <c r="E3855" s="59">
        <v>179.98990000000001</v>
      </c>
    </row>
    <row r="3856" spans="1:5" ht="15" x14ac:dyDescent="0.35">
      <c r="A3856" s="58" t="s">
        <v>266</v>
      </c>
      <c r="B3856" s="58" t="s">
        <v>182</v>
      </c>
      <c r="C3856" s="58">
        <v>12</v>
      </c>
      <c r="D3856" s="58">
        <v>115</v>
      </c>
      <c r="E3856" s="59">
        <v>218.43430000000001</v>
      </c>
    </row>
    <row r="3857" spans="1:5" ht="15" x14ac:dyDescent="0.35">
      <c r="A3857" s="58" t="s">
        <v>266</v>
      </c>
      <c r="B3857" s="58" t="s">
        <v>176</v>
      </c>
      <c r="C3857" s="58">
        <v>1</v>
      </c>
      <c r="D3857" s="58">
        <v>104</v>
      </c>
      <c r="E3857" s="59">
        <v>228</v>
      </c>
    </row>
    <row r="3858" spans="1:5" ht="15" x14ac:dyDescent="0.35">
      <c r="A3858" s="58" t="s">
        <v>266</v>
      </c>
      <c r="B3858" s="58" t="s">
        <v>176</v>
      </c>
      <c r="C3858" s="58">
        <v>2</v>
      </c>
      <c r="D3858" s="58">
        <v>105</v>
      </c>
      <c r="E3858" s="59">
        <v>228</v>
      </c>
    </row>
    <row r="3859" spans="1:5" ht="15" x14ac:dyDescent="0.35">
      <c r="A3859" s="58" t="s">
        <v>266</v>
      </c>
      <c r="B3859" s="58" t="s">
        <v>176</v>
      </c>
      <c r="C3859" s="58">
        <v>3</v>
      </c>
      <c r="D3859" s="58">
        <v>106</v>
      </c>
      <c r="E3859" s="59">
        <v>228</v>
      </c>
    </row>
    <row r="3860" spans="1:5" ht="15" x14ac:dyDescent="0.35">
      <c r="A3860" s="58" t="s">
        <v>266</v>
      </c>
      <c r="B3860" s="58" t="s">
        <v>176</v>
      </c>
      <c r="C3860" s="58">
        <v>4</v>
      </c>
      <c r="D3860" s="58">
        <v>107</v>
      </c>
      <c r="E3860" s="59">
        <v>228</v>
      </c>
    </row>
    <row r="3861" spans="1:5" ht="15" x14ac:dyDescent="0.35">
      <c r="A3861" s="58" t="s">
        <v>266</v>
      </c>
      <c r="B3861" s="58" t="s">
        <v>176</v>
      </c>
      <c r="C3861" s="58">
        <v>5</v>
      </c>
      <c r="D3861" s="58">
        <v>108</v>
      </c>
      <c r="E3861" s="59">
        <v>228</v>
      </c>
    </row>
    <row r="3862" spans="1:5" ht="15" x14ac:dyDescent="0.35">
      <c r="A3862" s="58" t="s">
        <v>266</v>
      </c>
      <c r="B3862" s="58" t="s">
        <v>176</v>
      </c>
      <c r="C3862" s="58">
        <v>6</v>
      </c>
      <c r="D3862" s="58">
        <v>109</v>
      </c>
      <c r="E3862" s="59">
        <v>228</v>
      </c>
    </row>
    <row r="3863" spans="1:5" ht="15" x14ac:dyDescent="0.35">
      <c r="A3863" s="58" t="s">
        <v>266</v>
      </c>
      <c r="B3863" s="58" t="s">
        <v>176</v>
      </c>
      <c r="C3863" s="58">
        <v>7</v>
      </c>
      <c r="D3863" s="58">
        <v>110</v>
      </c>
      <c r="E3863" s="59">
        <v>228</v>
      </c>
    </row>
    <row r="3864" spans="1:5" ht="15" x14ac:dyDescent="0.35">
      <c r="A3864" s="58" t="s">
        <v>266</v>
      </c>
      <c r="B3864" s="58" t="s">
        <v>176</v>
      </c>
      <c r="C3864" s="58">
        <v>8</v>
      </c>
      <c r="D3864" s="58">
        <v>111</v>
      </c>
      <c r="E3864" s="59">
        <v>228</v>
      </c>
    </row>
    <row r="3865" spans="1:5" ht="15" x14ac:dyDescent="0.35">
      <c r="A3865" s="58" t="s">
        <v>266</v>
      </c>
      <c r="B3865" s="58" t="s">
        <v>176</v>
      </c>
      <c r="C3865" s="58">
        <v>9</v>
      </c>
      <c r="D3865" s="58">
        <v>112</v>
      </c>
      <c r="E3865" s="59">
        <v>228</v>
      </c>
    </row>
    <row r="3866" spans="1:5" ht="15" x14ac:dyDescent="0.35">
      <c r="A3866" s="58" t="s">
        <v>266</v>
      </c>
      <c r="B3866" s="58" t="s">
        <v>176</v>
      </c>
      <c r="C3866" s="58">
        <v>10</v>
      </c>
      <c r="D3866" s="58">
        <v>113</v>
      </c>
      <c r="E3866" s="59">
        <v>228</v>
      </c>
    </row>
    <row r="3867" spans="1:5" ht="15" x14ac:dyDescent="0.35">
      <c r="A3867" s="58" t="s">
        <v>266</v>
      </c>
      <c r="B3867" s="58" t="s">
        <v>176</v>
      </c>
      <c r="C3867" s="58">
        <v>11</v>
      </c>
      <c r="D3867" s="58">
        <v>114</v>
      </c>
      <c r="E3867" s="59">
        <v>228</v>
      </c>
    </row>
    <row r="3868" spans="1:5" ht="15" x14ac:dyDescent="0.35">
      <c r="A3868" s="58" t="s">
        <v>266</v>
      </c>
      <c r="B3868" s="58" t="s">
        <v>176</v>
      </c>
      <c r="C3868" s="58">
        <v>12</v>
      </c>
      <c r="D3868" s="58">
        <v>115</v>
      </c>
      <c r="E3868" s="59">
        <v>228</v>
      </c>
    </row>
    <row r="3869" spans="1:5" ht="15" x14ac:dyDescent="0.35">
      <c r="A3869" s="58" t="s">
        <v>266</v>
      </c>
      <c r="B3869" s="58" t="s">
        <v>172</v>
      </c>
      <c r="C3869" s="58">
        <v>1</v>
      </c>
      <c r="D3869" s="58">
        <v>104</v>
      </c>
      <c r="E3869" s="59">
        <v>355</v>
      </c>
    </row>
    <row r="3870" spans="1:5" ht="15" x14ac:dyDescent="0.35">
      <c r="A3870" s="58" t="s">
        <v>266</v>
      </c>
      <c r="B3870" s="58" t="s">
        <v>172</v>
      </c>
      <c r="C3870" s="58">
        <v>2</v>
      </c>
      <c r="D3870" s="58">
        <v>105</v>
      </c>
      <c r="E3870" s="59">
        <v>355</v>
      </c>
    </row>
    <row r="3871" spans="1:5" ht="15" x14ac:dyDescent="0.35">
      <c r="A3871" s="58" t="s">
        <v>266</v>
      </c>
      <c r="B3871" s="58" t="s">
        <v>172</v>
      </c>
      <c r="C3871" s="58">
        <v>3</v>
      </c>
      <c r="D3871" s="58">
        <v>106</v>
      </c>
      <c r="E3871" s="59">
        <v>355</v>
      </c>
    </row>
    <row r="3872" spans="1:5" ht="15" x14ac:dyDescent="0.35">
      <c r="A3872" s="58" t="s">
        <v>266</v>
      </c>
      <c r="B3872" s="58" t="s">
        <v>172</v>
      </c>
      <c r="C3872" s="58">
        <v>4</v>
      </c>
      <c r="D3872" s="58">
        <v>107</v>
      </c>
      <c r="E3872" s="59">
        <v>355</v>
      </c>
    </row>
    <row r="3873" spans="1:5" ht="15" x14ac:dyDescent="0.35">
      <c r="A3873" s="58" t="s">
        <v>266</v>
      </c>
      <c r="B3873" s="58" t="s">
        <v>172</v>
      </c>
      <c r="C3873" s="58">
        <v>5</v>
      </c>
      <c r="D3873" s="58">
        <v>108</v>
      </c>
      <c r="E3873" s="59">
        <v>355</v>
      </c>
    </row>
    <row r="3874" spans="1:5" ht="15" x14ac:dyDescent="0.35">
      <c r="A3874" s="58" t="s">
        <v>266</v>
      </c>
      <c r="B3874" s="58" t="s">
        <v>172</v>
      </c>
      <c r="C3874" s="58">
        <v>6</v>
      </c>
      <c r="D3874" s="58">
        <v>109</v>
      </c>
      <c r="E3874" s="59">
        <v>355</v>
      </c>
    </row>
    <row r="3875" spans="1:5" ht="15" x14ac:dyDescent="0.35">
      <c r="A3875" s="58" t="s">
        <v>266</v>
      </c>
      <c r="B3875" s="58" t="s">
        <v>172</v>
      </c>
      <c r="C3875" s="58">
        <v>7</v>
      </c>
      <c r="D3875" s="58">
        <v>110</v>
      </c>
      <c r="E3875" s="59">
        <v>355</v>
      </c>
    </row>
    <row r="3876" spans="1:5" ht="15" x14ac:dyDescent="0.35">
      <c r="A3876" s="58" t="s">
        <v>266</v>
      </c>
      <c r="B3876" s="58" t="s">
        <v>172</v>
      </c>
      <c r="C3876" s="58">
        <v>8</v>
      </c>
      <c r="D3876" s="58">
        <v>111</v>
      </c>
      <c r="E3876" s="59">
        <v>355</v>
      </c>
    </row>
    <row r="3877" spans="1:5" ht="15" x14ac:dyDescent="0.35">
      <c r="A3877" s="58" t="s">
        <v>266</v>
      </c>
      <c r="B3877" s="58" t="s">
        <v>172</v>
      </c>
      <c r="C3877" s="58">
        <v>9</v>
      </c>
      <c r="D3877" s="58">
        <v>112</v>
      </c>
      <c r="E3877" s="59">
        <v>355</v>
      </c>
    </row>
    <row r="3878" spans="1:5" ht="15" x14ac:dyDescent="0.35">
      <c r="A3878" s="58" t="s">
        <v>266</v>
      </c>
      <c r="B3878" s="58" t="s">
        <v>172</v>
      </c>
      <c r="C3878" s="58">
        <v>10</v>
      </c>
      <c r="D3878" s="58">
        <v>113</v>
      </c>
      <c r="E3878" s="59">
        <v>355</v>
      </c>
    </row>
    <row r="3879" spans="1:5" ht="15" x14ac:dyDescent="0.35">
      <c r="A3879" s="58" t="s">
        <v>266</v>
      </c>
      <c r="B3879" s="58" t="s">
        <v>172</v>
      </c>
      <c r="C3879" s="58">
        <v>11</v>
      </c>
      <c r="D3879" s="58">
        <v>114</v>
      </c>
      <c r="E3879" s="59">
        <v>355</v>
      </c>
    </row>
    <row r="3880" spans="1:5" ht="15" x14ac:dyDescent="0.35">
      <c r="A3880" s="58" t="s">
        <v>266</v>
      </c>
      <c r="B3880" s="58" t="s">
        <v>172</v>
      </c>
      <c r="C3880" s="58">
        <v>12</v>
      </c>
      <c r="D3880" s="58">
        <v>115</v>
      </c>
      <c r="E3880" s="59">
        <v>355</v>
      </c>
    </row>
    <row r="3881" spans="1:5" ht="15" x14ac:dyDescent="0.35">
      <c r="A3881" s="58" t="s">
        <v>266</v>
      </c>
      <c r="B3881" s="58" t="s">
        <v>180</v>
      </c>
      <c r="C3881" s="58">
        <v>1</v>
      </c>
      <c r="D3881" s="58">
        <v>104</v>
      </c>
      <c r="E3881" s="59">
        <v>301.14609999999999</v>
      </c>
    </row>
    <row r="3882" spans="1:5" ht="15" x14ac:dyDescent="0.35">
      <c r="A3882" s="58" t="s">
        <v>266</v>
      </c>
      <c r="B3882" s="58" t="s">
        <v>180</v>
      </c>
      <c r="C3882" s="58">
        <v>2</v>
      </c>
      <c r="D3882" s="58">
        <v>105</v>
      </c>
      <c r="E3882" s="59">
        <v>301.14609999999999</v>
      </c>
    </row>
    <row r="3883" spans="1:5" ht="15" x14ac:dyDescent="0.35">
      <c r="A3883" s="58" t="s">
        <v>266</v>
      </c>
      <c r="B3883" s="58" t="s">
        <v>180</v>
      </c>
      <c r="C3883" s="58">
        <v>3</v>
      </c>
      <c r="D3883" s="58">
        <v>106</v>
      </c>
      <c r="E3883" s="59">
        <v>301.14609999999999</v>
      </c>
    </row>
    <row r="3884" spans="1:5" ht="15" x14ac:dyDescent="0.35">
      <c r="A3884" s="58" t="s">
        <v>266</v>
      </c>
      <c r="B3884" s="58" t="s">
        <v>180</v>
      </c>
      <c r="C3884" s="58">
        <v>4</v>
      </c>
      <c r="D3884" s="58">
        <v>107</v>
      </c>
      <c r="E3884" s="59">
        <v>301.14609999999999</v>
      </c>
    </row>
    <row r="3885" spans="1:5" ht="15" x14ac:dyDescent="0.35">
      <c r="A3885" s="58" t="s">
        <v>266</v>
      </c>
      <c r="B3885" s="58" t="s">
        <v>180</v>
      </c>
      <c r="C3885" s="58">
        <v>5</v>
      </c>
      <c r="D3885" s="58">
        <v>108</v>
      </c>
      <c r="E3885" s="59">
        <v>301.14609999999999</v>
      </c>
    </row>
    <row r="3886" spans="1:5" ht="15" x14ac:dyDescent="0.35">
      <c r="A3886" s="58" t="s">
        <v>266</v>
      </c>
      <c r="B3886" s="58" t="s">
        <v>180</v>
      </c>
      <c r="C3886" s="58">
        <v>6</v>
      </c>
      <c r="D3886" s="58">
        <v>109</v>
      </c>
      <c r="E3886" s="59">
        <v>301.14609999999999</v>
      </c>
    </row>
    <row r="3887" spans="1:5" ht="15" x14ac:dyDescent="0.35">
      <c r="A3887" s="58" t="s">
        <v>266</v>
      </c>
      <c r="B3887" s="58" t="s">
        <v>180</v>
      </c>
      <c r="C3887" s="58">
        <v>7</v>
      </c>
      <c r="D3887" s="58">
        <v>110</v>
      </c>
      <c r="E3887" s="59">
        <v>301.14609999999999</v>
      </c>
    </row>
    <row r="3888" spans="1:5" ht="15" x14ac:dyDescent="0.35">
      <c r="A3888" s="58" t="s">
        <v>266</v>
      </c>
      <c r="B3888" s="58" t="s">
        <v>180</v>
      </c>
      <c r="C3888" s="58">
        <v>8</v>
      </c>
      <c r="D3888" s="58">
        <v>111</v>
      </c>
      <c r="E3888" s="59">
        <v>301.14609999999999</v>
      </c>
    </row>
    <row r="3889" spans="1:5" ht="15" x14ac:dyDescent="0.35">
      <c r="A3889" s="58" t="s">
        <v>266</v>
      </c>
      <c r="B3889" s="58" t="s">
        <v>180</v>
      </c>
      <c r="C3889" s="58">
        <v>9</v>
      </c>
      <c r="D3889" s="58">
        <v>112</v>
      </c>
      <c r="E3889" s="59">
        <v>301.14609999999999</v>
      </c>
    </row>
    <row r="3890" spans="1:5" ht="15" x14ac:dyDescent="0.35">
      <c r="A3890" s="58" t="s">
        <v>266</v>
      </c>
      <c r="B3890" s="58" t="s">
        <v>180</v>
      </c>
      <c r="C3890" s="58">
        <v>10</v>
      </c>
      <c r="D3890" s="58">
        <v>113</v>
      </c>
      <c r="E3890" s="59">
        <v>301.14609999999999</v>
      </c>
    </row>
    <row r="3891" spans="1:5" ht="15" x14ac:dyDescent="0.35">
      <c r="A3891" s="58" t="s">
        <v>266</v>
      </c>
      <c r="B3891" s="58" t="s">
        <v>180</v>
      </c>
      <c r="C3891" s="58">
        <v>11</v>
      </c>
      <c r="D3891" s="58">
        <v>114</v>
      </c>
      <c r="E3891" s="59">
        <v>301.14609999999999</v>
      </c>
    </row>
    <row r="3892" spans="1:5" ht="15" x14ac:dyDescent="0.35">
      <c r="A3892" s="58" t="s">
        <v>266</v>
      </c>
      <c r="B3892" s="58" t="s">
        <v>180</v>
      </c>
      <c r="C3892" s="58">
        <v>12</v>
      </c>
      <c r="D3892" s="58">
        <v>115</v>
      </c>
      <c r="E3892" s="59">
        <v>301.14609999999999</v>
      </c>
    </row>
    <row r="3893" spans="1:5" ht="15" x14ac:dyDescent="0.35">
      <c r="A3893" s="58" t="s">
        <v>236</v>
      </c>
      <c r="B3893" s="58" t="s">
        <v>182</v>
      </c>
      <c r="C3893" s="58">
        <v>1</v>
      </c>
      <c r="D3893" s="58">
        <v>104</v>
      </c>
      <c r="E3893" s="59">
        <v>164.3064</v>
      </c>
    </row>
    <row r="3894" spans="1:5" ht="15" x14ac:dyDescent="0.35">
      <c r="A3894" s="58" t="s">
        <v>236</v>
      </c>
      <c r="B3894" s="58" t="s">
        <v>182</v>
      </c>
      <c r="C3894" s="58">
        <v>2</v>
      </c>
      <c r="D3894" s="58">
        <v>105</v>
      </c>
      <c r="E3894" s="59">
        <v>0</v>
      </c>
    </row>
    <row r="3895" spans="1:5" ht="15" x14ac:dyDescent="0.35">
      <c r="A3895" s="58" t="s">
        <v>236</v>
      </c>
      <c r="B3895" s="58" t="s">
        <v>182</v>
      </c>
      <c r="C3895" s="58">
        <v>3</v>
      </c>
      <c r="D3895" s="58">
        <v>106</v>
      </c>
      <c r="E3895" s="59">
        <v>0</v>
      </c>
    </row>
    <row r="3896" spans="1:5" ht="15" x14ac:dyDescent="0.35">
      <c r="A3896" s="58" t="s">
        <v>236</v>
      </c>
      <c r="B3896" s="58" t="s">
        <v>182</v>
      </c>
      <c r="C3896" s="58">
        <v>4</v>
      </c>
      <c r="D3896" s="58">
        <v>107</v>
      </c>
      <c r="E3896" s="59">
        <v>0</v>
      </c>
    </row>
    <row r="3897" spans="1:5" ht="15" x14ac:dyDescent="0.35">
      <c r="A3897" s="58" t="s">
        <v>236</v>
      </c>
      <c r="B3897" s="58" t="s">
        <v>182</v>
      </c>
      <c r="C3897" s="58">
        <v>5</v>
      </c>
      <c r="D3897" s="58">
        <v>108</v>
      </c>
      <c r="E3897" s="59">
        <v>0</v>
      </c>
    </row>
    <row r="3898" spans="1:5" ht="15" x14ac:dyDescent="0.35">
      <c r="A3898" s="58" t="s">
        <v>236</v>
      </c>
      <c r="B3898" s="58" t="s">
        <v>182</v>
      </c>
      <c r="C3898" s="58">
        <v>6</v>
      </c>
      <c r="D3898" s="58">
        <v>109</v>
      </c>
      <c r="E3898" s="59">
        <v>0</v>
      </c>
    </row>
    <row r="3899" spans="1:5" ht="15" x14ac:dyDescent="0.35">
      <c r="A3899" s="58" t="s">
        <v>236</v>
      </c>
      <c r="B3899" s="58" t="s">
        <v>182</v>
      </c>
      <c r="C3899" s="58">
        <v>7</v>
      </c>
      <c r="D3899" s="58">
        <v>110</v>
      </c>
      <c r="E3899" s="59">
        <v>0</v>
      </c>
    </row>
    <row r="3900" spans="1:5" ht="15" x14ac:dyDescent="0.35">
      <c r="A3900" s="58" t="s">
        <v>236</v>
      </c>
      <c r="B3900" s="58" t="s">
        <v>182</v>
      </c>
      <c r="C3900" s="58">
        <v>8</v>
      </c>
      <c r="D3900" s="58">
        <v>111</v>
      </c>
      <c r="E3900" s="59">
        <v>0</v>
      </c>
    </row>
    <row r="3901" spans="1:5" ht="15" x14ac:dyDescent="0.35">
      <c r="A3901" s="58" t="s">
        <v>236</v>
      </c>
      <c r="B3901" s="58" t="s">
        <v>182</v>
      </c>
      <c r="C3901" s="58">
        <v>9</v>
      </c>
      <c r="D3901" s="58">
        <v>112</v>
      </c>
      <c r="E3901" s="59">
        <v>0</v>
      </c>
    </row>
    <row r="3902" spans="1:5" ht="15" x14ac:dyDescent="0.35">
      <c r="A3902" s="58" t="s">
        <v>236</v>
      </c>
      <c r="B3902" s="58" t="s">
        <v>182</v>
      </c>
      <c r="C3902" s="58">
        <v>10</v>
      </c>
      <c r="D3902" s="58">
        <v>113</v>
      </c>
      <c r="E3902" s="59">
        <v>0</v>
      </c>
    </row>
    <row r="3903" spans="1:5" ht="15" x14ac:dyDescent="0.35">
      <c r="A3903" s="58" t="s">
        <v>236</v>
      </c>
      <c r="B3903" s="58" t="s">
        <v>182</v>
      </c>
      <c r="C3903" s="58">
        <v>11</v>
      </c>
      <c r="D3903" s="58">
        <v>114</v>
      </c>
      <c r="E3903" s="59">
        <v>0</v>
      </c>
    </row>
    <row r="3904" spans="1:5" ht="15" x14ac:dyDescent="0.35">
      <c r="A3904" s="58" t="s">
        <v>236</v>
      </c>
      <c r="B3904" s="58" t="s">
        <v>182</v>
      </c>
      <c r="C3904" s="58">
        <v>12</v>
      </c>
      <c r="D3904" s="58">
        <v>115</v>
      </c>
      <c r="E3904" s="59">
        <v>0</v>
      </c>
    </row>
    <row r="3905" spans="1:5" ht="15" x14ac:dyDescent="0.35">
      <c r="A3905" s="58" t="s">
        <v>236</v>
      </c>
      <c r="B3905" s="58" t="s">
        <v>176</v>
      </c>
      <c r="C3905" s="58">
        <v>1</v>
      </c>
      <c r="D3905" s="58">
        <v>104</v>
      </c>
      <c r="E3905" s="59">
        <v>229.625</v>
      </c>
    </row>
    <row r="3906" spans="1:5" ht="15" x14ac:dyDescent="0.35">
      <c r="A3906" s="58" t="s">
        <v>236</v>
      </c>
      <c r="B3906" s="58" t="s">
        <v>176</v>
      </c>
      <c r="C3906" s="58">
        <v>2</v>
      </c>
      <c r="D3906" s="58">
        <v>105</v>
      </c>
      <c r="E3906" s="59">
        <v>229.625</v>
      </c>
    </row>
    <row r="3907" spans="1:5" ht="15" x14ac:dyDescent="0.35">
      <c r="A3907" s="58" t="s">
        <v>236</v>
      </c>
      <c r="B3907" s="58" t="s">
        <v>176</v>
      </c>
      <c r="C3907" s="58">
        <v>3</v>
      </c>
      <c r="D3907" s="58">
        <v>106</v>
      </c>
      <c r="E3907" s="59">
        <v>229.625</v>
      </c>
    </row>
    <row r="3908" spans="1:5" ht="15" x14ac:dyDescent="0.35">
      <c r="A3908" s="58" t="s">
        <v>236</v>
      </c>
      <c r="B3908" s="58" t="s">
        <v>176</v>
      </c>
      <c r="C3908" s="58">
        <v>4</v>
      </c>
      <c r="D3908" s="58">
        <v>107</v>
      </c>
      <c r="E3908" s="59">
        <v>229.625</v>
      </c>
    </row>
    <row r="3909" spans="1:5" ht="15" x14ac:dyDescent="0.35">
      <c r="A3909" s="58" t="s">
        <v>236</v>
      </c>
      <c r="B3909" s="58" t="s">
        <v>176</v>
      </c>
      <c r="C3909" s="58">
        <v>5</v>
      </c>
      <c r="D3909" s="58">
        <v>108</v>
      </c>
      <c r="E3909" s="59">
        <v>229.625</v>
      </c>
    </row>
    <row r="3910" spans="1:5" ht="15" x14ac:dyDescent="0.35">
      <c r="A3910" s="58" t="s">
        <v>236</v>
      </c>
      <c r="B3910" s="58" t="s">
        <v>176</v>
      </c>
      <c r="C3910" s="58">
        <v>6</v>
      </c>
      <c r="D3910" s="58">
        <v>109</v>
      </c>
      <c r="E3910" s="59">
        <v>229.625</v>
      </c>
    </row>
    <row r="3911" spans="1:5" ht="15" x14ac:dyDescent="0.35">
      <c r="A3911" s="58" t="s">
        <v>236</v>
      </c>
      <c r="B3911" s="58" t="s">
        <v>176</v>
      </c>
      <c r="C3911" s="58">
        <v>7</v>
      </c>
      <c r="D3911" s="58">
        <v>110</v>
      </c>
      <c r="E3911" s="59">
        <v>229.625</v>
      </c>
    </row>
    <row r="3912" spans="1:5" ht="15" x14ac:dyDescent="0.35">
      <c r="A3912" s="58" t="s">
        <v>236</v>
      </c>
      <c r="B3912" s="58" t="s">
        <v>176</v>
      </c>
      <c r="C3912" s="58">
        <v>8</v>
      </c>
      <c r="D3912" s="58">
        <v>111</v>
      </c>
      <c r="E3912" s="59">
        <v>229.625</v>
      </c>
    </row>
    <row r="3913" spans="1:5" ht="15" x14ac:dyDescent="0.35">
      <c r="A3913" s="58" t="s">
        <v>236</v>
      </c>
      <c r="B3913" s="58" t="s">
        <v>176</v>
      </c>
      <c r="C3913" s="58">
        <v>9</v>
      </c>
      <c r="D3913" s="58">
        <v>112</v>
      </c>
      <c r="E3913" s="59">
        <v>229.625</v>
      </c>
    </row>
    <row r="3914" spans="1:5" ht="15" x14ac:dyDescent="0.35">
      <c r="A3914" s="58" t="s">
        <v>236</v>
      </c>
      <c r="B3914" s="58" t="s">
        <v>176</v>
      </c>
      <c r="C3914" s="58">
        <v>10</v>
      </c>
      <c r="D3914" s="58">
        <v>113</v>
      </c>
      <c r="E3914" s="59">
        <v>229.625</v>
      </c>
    </row>
    <row r="3915" spans="1:5" ht="15" x14ac:dyDescent="0.35">
      <c r="A3915" s="58" t="s">
        <v>236</v>
      </c>
      <c r="B3915" s="58" t="s">
        <v>176</v>
      </c>
      <c r="C3915" s="58">
        <v>11</v>
      </c>
      <c r="D3915" s="58">
        <v>114</v>
      </c>
      <c r="E3915" s="59">
        <v>229.625</v>
      </c>
    </row>
    <row r="3916" spans="1:5" ht="15" x14ac:dyDescent="0.35">
      <c r="A3916" s="58" t="s">
        <v>236</v>
      </c>
      <c r="B3916" s="58" t="s">
        <v>176</v>
      </c>
      <c r="C3916" s="58">
        <v>12</v>
      </c>
      <c r="D3916" s="58">
        <v>115</v>
      </c>
      <c r="E3916" s="59">
        <v>229.625</v>
      </c>
    </row>
    <row r="3917" spans="1:5" ht="15" x14ac:dyDescent="0.35">
      <c r="A3917" s="58" t="s">
        <v>236</v>
      </c>
      <c r="B3917" s="58" t="s">
        <v>172</v>
      </c>
      <c r="C3917" s="58">
        <v>1</v>
      </c>
      <c r="D3917" s="58">
        <v>104</v>
      </c>
      <c r="E3917" s="59">
        <v>247</v>
      </c>
    </row>
    <row r="3918" spans="1:5" ht="15" x14ac:dyDescent="0.35">
      <c r="A3918" s="58" t="s">
        <v>236</v>
      </c>
      <c r="B3918" s="58" t="s">
        <v>172</v>
      </c>
      <c r="C3918" s="58">
        <v>2</v>
      </c>
      <c r="D3918" s="58">
        <v>105</v>
      </c>
      <c r="E3918" s="59">
        <v>247</v>
      </c>
    </row>
    <row r="3919" spans="1:5" ht="15" x14ac:dyDescent="0.35">
      <c r="A3919" s="58" t="s">
        <v>236</v>
      </c>
      <c r="B3919" s="58" t="s">
        <v>172</v>
      </c>
      <c r="C3919" s="58">
        <v>3</v>
      </c>
      <c r="D3919" s="58">
        <v>106</v>
      </c>
      <c r="E3919" s="59">
        <v>247</v>
      </c>
    </row>
    <row r="3920" spans="1:5" ht="15" x14ac:dyDescent="0.35">
      <c r="A3920" s="58" t="s">
        <v>236</v>
      </c>
      <c r="B3920" s="58" t="s">
        <v>172</v>
      </c>
      <c r="C3920" s="58">
        <v>4</v>
      </c>
      <c r="D3920" s="58">
        <v>107</v>
      </c>
      <c r="E3920" s="59">
        <v>247</v>
      </c>
    </row>
    <row r="3921" spans="1:5" ht="15" x14ac:dyDescent="0.35">
      <c r="A3921" s="58" t="s">
        <v>236</v>
      </c>
      <c r="B3921" s="58" t="s">
        <v>172</v>
      </c>
      <c r="C3921" s="58">
        <v>5</v>
      </c>
      <c r="D3921" s="58">
        <v>108</v>
      </c>
      <c r="E3921" s="59">
        <v>247</v>
      </c>
    </row>
    <row r="3922" spans="1:5" ht="15" x14ac:dyDescent="0.35">
      <c r="A3922" s="58" t="s">
        <v>236</v>
      </c>
      <c r="B3922" s="58" t="s">
        <v>172</v>
      </c>
      <c r="C3922" s="58">
        <v>6</v>
      </c>
      <c r="D3922" s="58">
        <v>109</v>
      </c>
      <c r="E3922" s="59">
        <v>247</v>
      </c>
    </row>
    <row r="3923" spans="1:5" ht="15" x14ac:dyDescent="0.35">
      <c r="A3923" s="58" t="s">
        <v>236</v>
      </c>
      <c r="B3923" s="58" t="s">
        <v>172</v>
      </c>
      <c r="C3923" s="58">
        <v>7</v>
      </c>
      <c r="D3923" s="58">
        <v>110</v>
      </c>
      <c r="E3923" s="59">
        <v>247</v>
      </c>
    </row>
    <row r="3924" spans="1:5" ht="15" x14ac:dyDescent="0.35">
      <c r="A3924" s="58" t="s">
        <v>236</v>
      </c>
      <c r="B3924" s="58" t="s">
        <v>172</v>
      </c>
      <c r="C3924" s="58">
        <v>8</v>
      </c>
      <c r="D3924" s="58">
        <v>111</v>
      </c>
      <c r="E3924" s="59">
        <v>247</v>
      </c>
    </row>
    <row r="3925" spans="1:5" ht="15" x14ac:dyDescent="0.35">
      <c r="A3925" s="58" t="s">
        <v>236</v>
      </c>
      <c r="B3925" s="58" t="s">
        <v>172</v>
      </c>
      <c r="C3925" s="58">
        <v>9</v>
      </c>
      <c r="D3925" s="58">
        <v>112</v>
      </c>
      <c r="E3925" s="59">
        <v>247</v>
      </c>
    </row>
    <row r="3926" spans="1:5" ht="15" x14ac:dyDescent="0.35">
      <c r="A3926" s="58" t="s">
        <v>236</v>
      </c>
      <c r="B3926" s="58" t="s">
        <v>172</v>
      </c>
      <c r="C3926" s="58">
        <v>10</v>
      </c>
      <c r="D3926" s="58">
        <v>113</v>
      </c>
      <c r="E3926" s="59">
        <v>247</v>
      </c>
    </row>
    <row r="3927" spans="1:5" ht="15" x14ac:dyDescent="0.35">
      <c r="A3927" s="58" t="s">
        <v>236</v>
      </c>
      <c r="B3927" s="58" t="s">
        <v>172</v>
      </c>
      <c r="C3927" s="58">
        <v>11</v>
      </c>
      <c r="D3927" s="58">
        <v>114</v>
      </c>
      <c r="E3927" s="59">
        <v>247</v>
      </c>
    </row>
    <row r="3928" spans="1:5" ht="15" x14ac:dyDescent="0.35">
      <c r="A3928" s="58" t="s">
        <v>236</v>
      </c>
      <c r="B3928" s="58" t="s">
        <v>172</v>
      </c>
      <c r="C3928" s="58">
        <v>12</v>
      </c>
      <c r="D3928" s="58">
        <v>115</v>
      </c>
      <c r="E3928" s="59">
        <v>247</v>
      </c>
    </row>
    <row r="3929" spans="1:5" ht="15" x14ac:dyDescent="0.35">
      <c r="A3929" s="58" t="s">
        <v>236</v>
      </c>
      <c r="B3929" s="58" t="s">
        <v>180</v>
      </c>
      <c r="C3929" s="58">
        <v>1</v>
      </c>
      <c r="D3929" s="58">
        <v>104</v>
      </c>
      <c r="E3929" s="59">
        <v>219.44589999999999</v>
      </c>
    </row>
    <row r="3930" spans="1:5" ht="15" x14ac:dyDescent="0.35">
      <c r="A3930" s="58" t="s">
        <v>236</v>
      </c>
      <c r="B3930" s="58" t="s">
        <v>180</v>
      </c>
      <c r="C3930" s="58">
        <v>2</v>
      </c>
      <c r="D3930" s="58">
        <v>105</v>
      </c>
      <c r="E3930" s="59">
        <v>219.44589999999999</v>
      </c>
    </row>
    <row r="3931" spans="1:5" ht="15" x14ac:dyDescent="0.35">
      <c r="A3931" s="58" t="s">
        <v>236</v>
      </c>
      <c r="B3931" s="58" t="s">
        <v>180</v>
      </c>
      <c r="C3931" s="58">
        <v>3</v>
      </c>
      <c r="D3931" s="58">
        <v>106</v>
      </c>
      <c r="E3931" s="59">
        <v>219.44589999999999</v>
      </c>
    </row>
    <row r="3932" spans="1:5" ht="15" x14ac:dyDescent="0.35">
      <c r="A3932" s="58" t="s">
        <v>236</v>
      </c>
      <c r="B3932" s="58" t="s">
        <v>180</v>
      </c>
      <c r="C3932" s="58">
        <v>4</v>
      </c>
      <c r="D3932" s="58">
        <v>107</v>
      </c>
      <c r="E3932" s="59">
        <v>219.44589999999999</v>
      </c>
    </row>
    <row r="3933" spans="1:5" ht="15" x14ac:dyDescent="0.35">
      <c r="A3933" s="58" t="s">
        <v>236</v>
      </c>
      <c r="B3933" s="58" t="s">
        <v>180</v>
      </c>
      <c r="C3933" s="58">
        <v>5</v>
      </c>
      <c r="D3933" s="58">
        <v>108</v>
      </c>
      <c r="E3933" s="59">
        <v>219.44589999999999</v>
      </c>
    </row>
    <row r="3934" spans="1:5" ht="15" x14ac:dyDescent="0.35">
      <c r="A3934" s="58" t="s">
        <v>236</v>
      </c>
      <c r="B3934" s="58" t="s">
        <v>180</v>
      </c>
      <c r="C3934" s="58">
        <v>6</v>
      </c>
      <c r="D3934" s="58">
        <v>109</v>
      </c>
      <c r="E3934" s="59">
        <v>219.44589999999999</v>
      </c>
    </row>
    <row r="3935" spans="1:5" ht="15" x14ac:dyDescent="0.35">
      <c r="A3935" s="58" t="s">
        <v>236</v>
      </c>
      <c r="B3935" s="58" t="s">
        <v>180</v>
      </c>
      <c r="C3935" s="58">
        <v>7</v>
      </c>
      <c r="D3935" s="58">
        <v>110</v>
      </c>
      <c r="E3935" s="59">
        <v>219.44589999999999</v>
      </c>
    </row>
    <row r="3936" spans="1:5" ht="15" x14ac:dyDescent="0.35">
      <c r="A3936" s="58" t="s">
        <v>236</v>
      </c>
      <c r="B3936" s="58" t="s">
        <v>180</v>
      </c>
      <c r="C3936" s="58">
        <v>8</v>
      </c>
      <c r="D3936" s="58">
        <v>111</v>
      </c>
      <c r="E3936" s="59">
        <v>219.44589999999999</v>
      </c>
    </row>
    <row r="3937" spans="1:5" ht="15" x14ac:dyDescent="0.35">
      <c r="A3937" s="58" t="s">
        <v>236</v>
      </c>
      <c r="B3937" s="58" t="s">
        <v>180</v>
      </c>
      <c r="C3937" s="58">
        <v>9</v>
      </c>
      <c r="D3937" s="58">
        <v>112</v>
      </c>
      <c r="E3937" s="59">
        <v>219.44589999999999</v>
      </c>
    </row>
    <row r="3938" spans="1:5" ht="15" x14ac:dyDescent="0.35">
      <c r="A3938" s="58" t="s">
        <v>236</v>
      </c>
      <c r="B3938" s="58" t="s">
        <v>180</v>
      </c>
      <c r="C3938" s="58">
        <v>10</v>
      </c>
      <c r="D3938" s="58">
        <v>113</v>
      </c>
      <c r="E3938" s="59">
        <v>219.44589999999999</v>
      </c>
    </row>
    <row r="3939" spans="1:5" ht="15" x14ac:dyDescent="0.35">
      <c r="A3939" s="58" t="s">
        <v>236</v>
      </c>
      <c r="B3939" s="58" t="s">
        <v>180</v>
      </c>
      <c r="C3939" s="58">
        <v>11</v>
      </c>
      <c r="D3939" s="58">
        <v>114</v>
      </c>
      <c r="E3939" s="59">
        <v>219.44589999999999</v>
      </c>
    </row>
    <row r="3940" spans="1:5" ht="15" x14ac:dyDescent="0.35">
      <c r="A3940" s="58" t="s">
        <v>236</v>
      </c>
      <c r="B3940" s="58" t="s">
        <v>180</v>
      </c>
      <c r="C3940" s="58">
        <v>12</v>
      </c>
      <c r="D3940" s="58">
        <v>115</v>
      </c>
      <c r="E3940" s="59">
        <v>219.44589999999999</v>
      </c>
    </row>
    <row r="3941" spans="1:5" ht="15" x14ac:dyDescent="0.35">
      <c r="A3941" s="58" t="s">
        <v>367</v>
      </c>
      <c r="B3941" s="58" t="s">
        <v>182</v>
      </c>
      <c r="C3941" s="58">
        <v>1</v>
      </c>
      <c r="D3941" s="58">
        <v>104</v>
      </c>
      <c r="E3941" s="59">
        <v>14.2941</v>
      </c>
    </row>
    <row r="3942" spans="1:5" ht="15" x14ac:dyDescent="0.35">
      <c r="A3942" s="58" t="s">
        <v>367</v>
      </c>
      <c r="B3942" s="58" t="s">
        <v>182</v>
      </c>
      <c r="C3942" s="58">
        <v>2</v>
      </c>
      <c r="D3942" s="58">
        <v>105</v>
      </c>
      <c r="E3942" s="59">
        <v>3.5163000000000002</v>
      </c>
    </row>
    <row r="3943" spans="1:5" ht="15" x14ac:dyDescent="0.35">
      <c r="A3943" s="58" t="s">
        <v>367</v>
      </c>
      <c r="B3943" s="58" t="s">
        <v>182</v>
      </c>
      <c r="C3943" s="58">
        <v>3</v>
      </c>
      <c r="D3943" s="58">
        <v>106</v>
      </c>
      <c r="E3943" s="59">
        <v>3.5163000000000002</v>
      </c>
    </row>
    <row r="3944" spans="1:5" ht="15" x14ac:dyDescent="0.35">
      <c r="A3944" s="58" t="s">
        <v>367</v>
      </c>
      <c r="B3944" s="58" t="s">
        <v>182</v>
      </c>
      <c r="C3944" s="58">
        <v>4</v>
      </c>
      <c r="D3944" s="58">
        <v>107</v>
      </c>
      <c r="E3944" s="59">
        <v>3.5163000000000002</v>
      </c>
    </row>
    <row r="3945" spans="1:5" ht="15" x14ac:dyDescent="0.35">
      <c r="A3945" s="58" t="s">
        <v>367</v>
      </c>
      <c r="B3945" s="58" t="s">
        <v>182</v>
      </c>
      <c r="C3945" s="58">
        <v>5</v>
      </c>
      <c r="D3945" s="58">
        <v>108</v>
      </c>
      <c r="E3945" s="59">
        <v>3.5163000000000002</v>
      </c>
    </row>
    <row r="3946" spans="1:5" ht="15" x14ac:dyDescent="0.35">
      <c r="A3946" s="58" t="s">
        <v>367</v>
      </c>
      <c r="B3946" s="58" t="s">
        <v>182</v>
      </c>
      <c r="C3946" s="58">
        <v>6</v>
      </c>
      <c r="D3946" s="58">
        <v>109</v>
      </c>
      <c r="E3946" s="59">
        <v>3.5163000000000002</v>
      </c>
    </row>
    <row r="3947" spans="1:5" ht="15" x14ac:dyDescent="0.35">
      <c r="A3947" s="58" t="s">
        <v>367</v>
      </c>
      <c r="B3947" s="58" t="s">
        <v>182</v>
      </c>
      <c r="C3947" s="58">
        <v>7</v>
      </c>
      <c r="D3947" s="58">
        <v>110</v>
      </c>
      <c r="E3947" s="59">
        <v>3.5163000000000002</v>
      </c>
    </row>
    <row r="3948" spans="1:5" ht="15" x14ac:dyDescent="0.35">
      <c r="A3948" s="58" t="s">
        <v>367</v>
      </c>
      <c r="B3948" s="58" t="s">
        <v>182</v>
      </c>
      <c r="C3948" s="58">
        <v>8</v>
      </c>
      <c r="D3948" s="58">
        <v>111</v>
      </c>
      <c r="E3948" s="59">
        <v>3.5163000000000002</v>
      </c>
    </row>
    <row r="3949" spans="1:5" ht="15" x14ac:dyDescent="0.35">
      <c r="A3949" s="58" t="s">
        <v>367</v>
      </c>
      <c r="B3949" s="58" t="s">
        <v>182</v>
      </c>
      <c r="C3949" s="58">
        <v>9</v>
      </c>
      <c r="D3949" s="58">
        <v>112</v>
      </c>
      <c r="E3949" s="59">
        <v>3.5163000000000002</v>
      </c>
    </row>
    <row r="3950" spans="1:5" ht="15" x14ac:dyDescent="0.35">
      <c r="A3950" s="58" t="s">
        <v>367</v>
      </c>
      <c r="B3950" s="58" t="s">
        <v>182</v>
      </c>
      <c r="C3950" s="58">
        <v>10</v>
      </c>
      <c r="D3950" s="58">
        <v>113</v>
      </c>
      <c r="E3950" s="59">
        <v>3.5163000000000002</v>
      </c>
    </row>
    <row r="3951" spans="1:5" ht="15" x14ac:dyDescent="0.35">
      <c r="A3951" s="58" t="s">
        <v>367</v>
      </c>
      <c r="B3951" s="58" t="s">
        <v>182</v>
      </c>
      <c r="C3951" s="58">
        <v>11</v>
      </c>
      <c r="D3951" s="58">
        <v>114</v>
      </c>
      <c r="E3951" s="59">
        <v>3.5163000000000002</v>
      </c>
    </row>
    <row r="3952" spans="1:5" ht="15" x14ac:dyDescent="0.35">
      <c r="A3952" s="58" t="s">
        <v>367</v>
      </c>
      <c r="B3952" s="58" t="s">
        <v>182</v>
      </c>
      <c r="C3952" s="58">
        <v>12</v>
      </c>
      <c r="D3952" s="58">
        <v>115</v>
      </c>
      <c r="E3952" s="59">
        <v>3.5163000000000002</v>
      </c>
    </row>
    <row r="3953" spans="1:5" ht="15" x14ac:dyDescent="0.35">
      <c r="A3953" s="58" t="s">
        <v>367</v>
      </c>
      <c r="B3953" s="58" t="s">
        <v>176</v>
      </c>
      <c r="C3953" s="58">
        <v>1</v>
      </c>
      <c r="D3953" s="58">
        <v>104</v>
      </c>
      <c r="E3953" s="59">
        <v>17</v>
      </c>
    </row>
    <row r="3954" spans="1:5" ht="15" x14ac:dyDescent="0.35">
      <c r="A3954" s="58" t="s">
        <v>367</v>
      </c>
      <c r="B3954" s="58" t="s">
        <v>176</v>
      </c>
      <c r="C3954" s="58">
        <v>2</v>
      </c>
      <c r="D3954" s="58">
        <v>105</v>
      </c>
      <c r="E3954" s="59">
        <v>17</v>
      </c>
    </row>
    <row r="3955" spans="1:5" ht="15" x14ac:dyDescent="0.35">
      <c r="A3955" s="58" t="s">
        <v>367</v>
      </c>
      <c r="B3955" s="58" t="s">
        <v>176</v>
      </c>
      <c r="C3955" s="58">
        <v>3</v>
      </c>
      <c r="D3955" s="58">
        <v>106</v>
      </c>
      <c r="E3955" s="59">
        <v>17</v>
      </c>
    </row>
    <row r="3956" spans="1:5" ht="15" x14ac:dyDescent="0.35">
      <c r="A3956" s="58" t="s">
        <v>367</v>
      </c>
      <c r="B3956" s="58" t="s">
        <v>176</v>
      </c>
      <c r="C3956" s="58">
        <v>4</v>
      </c>
      <c r="D3956" s="58">
        <v>107</v>
      </c>
      <c r="E3956" s="59">
        <v>17</v>
      </c>
    </row>
    <row r="3957" spans="1:5" ht="15" x14ac:dyDescent="0.35">
      <c r="A3957" s="58" t="s">
        <v>367</v>
      </c>
      <c r="B3957" s="58" t="s">
        <v>176</v>
      </c>
      <c r="C3957" s="58">
        <v>5</v>
      </c>
      <c r="D3957" s="58">
        <v>108</v>
      </c>
      <c r="E3957" s="59">
        <v>17</v>
      </c>
    </row>
    <row r="3958" spans="1:5" ht="15" x14ac:dyDescent="0.35">
      <c r="A3958" s="58" t="s">
        <v>367</v>
      </c>
      <c r="B3958" s="58" t="s">
        <v>176</v>
      </c>
      <c r="C3958" s="58">
        <v>6</v>
      </c>
      <c r="D3958" s="58">
        <v>109</v>
      </c>
      <c r="E3958" s="59">
        <v>17</v>
      </c>
    </row>
    <row r="3959" spans="1:5" ht="15" x14ac:dyDescent="0.35">
      <c r="A3959" s="58" t="s">
        <v>367</v>
      </c>
      <c r="B3959" s="58" t="s">
        <v>176</v>
      </c>
      <c r="C3959" s="58">
        <v>7</v>
      </c>
      <c r="D3959" s="58">
        <v>110</v>
      </c>
      <c r="E3959" s="59">
        <v>17</v>
      </c>
    </row>
    <row r="3960" spans="1:5" ht="15" x14ac:dyDescent="0.35">
      <c r="A3960" s="58" t="s">
        <v>367</v>
      </c>
      <c r="B3960" s="58" t="s">
        <v>176</v>
      </c>
      <c r="C3960" s="58">
        <v>8</v>
      </c>
      <c r="D3960" s="58">
        <v>111</v>
      </c>
      <c r="E3960" s="59">
        <v>17</v>
      </c>
    </row>
    <row r="3961" spans="1:5" ht="15" x14ac:dyDescent="0.35">
      <c r="A3961" s="58" t="s">
        <v>367</v>
      </c>
      <c r="B3961" s="58" t="s">
        <v>176</v>
      </c>
      <c r="C3961" s="58">
        <v>9</v>
      </c>
      <c r="D3961" s="58">
        <v>112</v>
      </c>
      <c r="E3961" s="59">
        <v>17</v>
      </c>
    </row>
    <row r="3962" spans="1:5" ht="15" x14ac:dyDescent="0.35">
      <c r="A3962" s="58" t="s">
        <v>367</v>
      </c>
      <c r="B3962" s="58" t="s">
        <v>176</v>
      </c>
      <c r="C3962" s="58">
        <v>10</v>
      </c>
      <c r="D3962" s="58">
        <v>113</v>
      </c>
      <c r="E3962" s="59">
        <v>17</v>
      </c>
    </row>
    <row r="3963" spans="1:5" ht="15" x14ac:dyDescent="0.35">
      <c r="A3963" s="58" t="s">
        <v>367</v>
      </c>
      <c r="B3963" s="58" t="s">
        <v>176</v>
      </c>
      <c r="C3963" s="58">
        <v>11</v>
      </c>
      <c r="D3963" s="58">
        <v>114</v>
      </c>
      <c r="E3963" s="59">
        <v>17</v>
      </c>
    </row>
    <row r="3964" spans="1:5" ht="15" x14ac:dyDescent="0.35">
      <c r="A3964" s="58" t="s">
        <v>367</v>
      </c>
      <c r="B3964" s="58" t="s">
        <v>176</v>
      </c>
      <c r="C3964" s="58">
        <v>12</v>
      </c>
      <c r="D3964" s="58">
        <v>115</v>
      </c>
      <c r="E3964" s="59">
        <v>17</v>
      </c>
    </row>
    <row r="3965" spans="1:5" ht="15" x14ac:dyDescent="0.35">
      <c r="A3965" s="58" t="s">
        <v>367</v>
      </c>
      <c r="B3965" s="58" t="s">
        <v>172</v>
      </c>
      <c r="C3965" s="58">
        <v>1</v>
      </c>
      <c r="D3965" s="58">
        <v>104</v>
      </c>
      <c r="E3965" s="59">
        <v>11</v>
      </c>
    </row>
    <row r="3966" spans="1:5" ht="15" x14ac:dyDescent="0.35">
      <c r="A3966" s="58" t="s">
        <v>367</v>
      </c>
      <c r="B3966" s="58" t="s">
        <v>172</v>
      </c>
      <c r="C3966" s="58">
        <v>2</v>
      </c>
      <c r="D3966" s="58">
        <v>105</v>
      </c>
      <c r="E3966" s="59">
        <v>11</v>
      </c>
    </row>
    <row r="3967" spans="1:5" ht="15" x14ac:dyDescent="0.35">
      <c r="A3967" s="58" t="s">
        <v>367</v>
      </c>
      <c r="B3967" s="58" t="s">
        <v>172</v>
      </c>
      <c r="C3967" s="58">
        <v>3</v>
      </c>
      <c r="D3967" s="58">
        <v>106</v>
      </c>
      <c r="E3967" s="59">
        <v>11</v>
      </c>
    </row>
    <row r="3968" spans="1:5" ht="15" x14ac:dyDescent="0.35">
      <c r="A3968" s="58" t="s">
        <v>367</v>
      </c>
      <c r="B3968" s="58" t="s">
        <v>172</v>
      </c>
      <c r="C3968" s="58">
        <v>4</v>
      </c>
      <c r="D3968" s="58">
        <v>107</v>
      </c>
      <c r="E3968" s="59">
        <v>11</v>
      </c>
    </row>
    <row r="3969" spans="1:5" ht="15" x14ac:dyDescent="0.35">
      <c r="A3969" s="58" t="s">
        <v>367</v>
      </c>
      <c r="B3969" s="58" t="s">
        <v>172</v>
      </c>
      <c r="C3969" s="58">
        <v>5</v>
      </c>
      <c r="D3969" s="58">
        <v>108</v>
      </c>
      <c r="E3969" s="59">
        <v>11</v>
      </c>
    </row>
    <row r="3970" spans="1:5" ht="15" x14ac:dyDescent="0.35">
      <c r="A3970" s="58" t="s">
        <v>367</v>
      </c>
      <c r="B3970" s="58" t="s">
        <v>172</v>
      </c>
      <c r="C3970" s="58">
        <v>6</v>
      </c>
      <c r="D3970" s="58">
        <v>109</v>
      </c>
      <c r="E3970" s="59">
        <v>11</v>
      </c>
    </row>
    <row r="3971" spans="1:5" ht="15" x14ac:dyDescent="0.35">
      <c r="A3971" s="58" t="s">
        <v>367</v>
      </c>
      <c r="B3971" s="58" t="s">
        <v>172</v>
      </c>
      <c r="C3971" s="58">
        <v>7</v>
      </c>
      <c r="D3971" s="58">
        <v>110</v>
      </c>
      <c r="E3971" s="59">
        <v>11</v>
      </c>
    </row>
    <row r="3972" spans="1:5" ht="15" x14ac:dyDescent="0.35">
      <c r="A3972" s="58" t="s">
        <v>367</v>
      </c>
      <c r="B3972" s="58" t="s">
        <v>172</v>
      </c>
      <c r="C3972" s="58">
        <v>8</v>
      </c>
      <c r="D3972" s="58">
        <v>111</v>
      </c>
      <c r="E3972" s="59">
        <v>11</v>
      </c>
    </row>
    <row r="3973" spans="1:5" ht="15" x14ac:dyDescent="0.35">
      <c r="A3973" s="58" t="s">
        <v>367</v>
      </c>
      <c r="B3973" s="58" t="s">
        <v>172</v>
      </c>
      <c r="C3973" s="58">
        <v>9</v>
      </c>
      <c r="D3973" s="58">
        <v>112</v>
      </c>
      <c r="E3973" s="59">
        <v>11</v>
      </c>
    </row>
    <row r="3974" spans="1:5" ht="15" x14ac:dyDescent="0.35">
      <c r="A3974" s="58" t="s">
        <v>367</v>
      </c>
      <c r="B3974" s="58" t="s">
        <v>172</v>
      </c>
      <c r="C3974" s="58">
        <v>10</v>
      </c>
      <c r="D3974" s="58">
        <v>113</v>
      </c>
      <c r="E3974" s="59">
        <v>11</v>
      </c>
    </row>
    <row r="3975" spans="1:5" ht="15" x14ac:dyDescent="0.35">
      <c r="A3975" s="58" t="s">
        <v>367</v>
      </c>
      <c r="B3975" s="58" t="s">
        <v>172</v>
      </c>
      <c r="C3975" s="58">
        <v>11</v>
      </c>
      <c r="D3975" s="58">
        <v>114</v>
      </c>
      <c r="E3975" s="59">
        <v>11</v>
      </c>
    </row>
    <row r="3976" spans="1:5" ht="15" x14ac:dyDescent="0.35">
      <c r="A3976" s="58" t="s">
        <v>367</v>
      </c>
      <c r="B3976" s="58" t="s">
        <v>172</v>
      </c>
      <c r="C3976" s="58">
        <v>12</v>
      </c>
      <c r="D3976" s="58">
        <v>115</v>
      </c>
      <c r="E3976" s="59">
        <v>11</v>
      </c>
    </row>
    <row r="3977" spans="1:5" ht="15" x14ac:dyDescent="0.35">
      <c r="A3977" s="58" t="s">
        <v>367</v>
      </c>
      <c r="B3977" s="58" t="s">
        <v>180</v>
      </c>
      <c r="C3977" s="58">
        <v>1</v>
      </c>
      <c r="D3977" s="58">
        <v>104</v>
      </c>
      <c r="E3977" s="59">
        <v>16.809000000000001</v>
      </c>
    </row>
    <row r="3978" spans="1:5" ht="15" x14ac:dyDescent="0.35">
      <c r="A3978" s="58" t="s">
        <v>367</v>
      </c>
      <c r="B3978" s="58" t="s">
        <v>180</v>
      </c>
      <c r="C3978" s="58">
        <v>2</v>
      </c>
      <c r="D3978" s="58">
        <v>105</v>
      </c>
      <c r="E3978" s="59">
        <v>16.809000000000001</v>
      </c>
    </row>
    <row r="3979" spans="1:5" ht="15" x14ac:dyDescent="0.35">
      <c r="A3979" s="58" t="s">
        <v>367</v>
      </c>
      <c r="B3979" s="58" t="s">
        <v>180</v>
      </c>
      <c r="C3979" s="58">
        <v>3</v>
      </c>
      <c r="D3979" s="58">
        <v>106</v>
      </c>
      <c r="E3979" s="59">
        <v>16.809000000000001</v>
      </c>
    </row>
    <row r="3980" spans="1:5" ht="15" x14ac:dyDescent="0.35">
      <c r="A3980" s="58" t="s">
        <v>367</v>
      </c>
      <c r="B3980" s="58" t="s">
        <v>180</v>
      </c>
      <c r="C3980" s="58">
        <v>4</v>
      </c>
      <c r="D3980" s="58">
        <v>107</v>
      </c>
      <c r="E3980" s="59">
        <v>16.809000000000001</v>
      </c>
    </row>
    <row r="3981" spans="1:5" ht="15" x14ac:dyDescent="0.35">
      <c r="A3981" s="58" t="s">
        <v>367</v>
      </c>
      <c r="B3981" s="58" t="s">
        <v>180</v>
      </c>
      <c r="C3981" s="58">
        <v>5</v>
      </c>
      <c r="D3981" s="58">
        <v>108</v>
      </c>
      <c r="E3981" s="59">
        <v>16.809000000000001</v>
      </c>
    </row>
    <row r="3982" spans="1:5" ht="15" x14ac:dyDescent="0.35">
      <c r="A3982" s="58" t="s">
        <v>367</v>
      </c>
      <c r="B3982" s="58" t="s">
        <v>180</v>
      </c>
      <c r="C3982" s="58">
        <v>6</v>
      </c>
      <c r="D3982" s="58">
        <v>109</v>
      </c>
      <c r="E3982" s="59">
        <v>16.809000000000001</v>
      </c>
    </row>
    <row r="3983" spans="1:5" ht="15" x14ac:dyDescent="0.35">
      <c r="A3983" s="58" t="s">
        <v>367</v>
      </c>
      <c r="B3983" s="58" t="s">
        <v>180</v>
      </c>
      <c r="C3983" s="58">
        <v>7</v>
      </c>
      <c r="D3983" s="58">
        <v>110</v>
      </c>
      <c r="E3983" s="59">
        <v>16.809000000000001</v>
      </c>
    </row>
    <row r="3984" spans="1:5" ht="15" x14ac:dyDescent="0.35">
      <c r="A3984" s="58" t="s">
        <v>367</v>
      </c>
      <c r="B3984" s="58" t="s">
        <v>180</v>
      </c>
      <c r="C3984" s="58">
        <v>8</v>
      </c>
      <c r="D3984" s="58">
        <v>111</v>
      </c>
      <c r="E3984" s="59">
        <v>16.809000000000001</v>
      </c>
    </row>
    <row r="3985" spans="1:5" ht="15" x14ac:dyDescent="0.35">
      <c r="A3985" s="58" t="s">
        <v>367</v>
      </c>
      <c r="B3985" s="58" t="s">
        <v>180</v>
      </c>
      <c r="C3985" s="58">
        <v>9</v>
      </c>
      <c r="D3985" s="58">
        <v>112</v>
      </c>
      <c r="E3985" s="59">
        <v>16.809000000000001</v>
      </c>
    </row>
    <row r="3986" spans="1:5" ht="15" x14ac:dyDescent="0.35">
      <c r="A3986" s="58" t="s">
        <v>367</v>
      </c>
      <c r="B3986" s="58" t="s">
        <v>180</v>
      </c>
      <c r="C3986" s="58">
        <v>10</v>
      </c>
      <c r="D3986" s="58">
        <v>113</v>
      </c>
      <c r="E3986" s="59">
        <v>16.809000000000001</v>
      </c>
    </row>
    <row r="3987" spans="1:5" ht="15" x14ac:dyDescent="0.35">
      <c r="A3987" s="58" t="s">
        <v>367</v>
      </c>
      <c r="B3987" s="58" t="s">
        <v>180</v>
      </c>
      <c r="C3987" s="58">
        <v>11</v>
      </c>
      <c r="D3987" s="58">
        <v>114</v>
      </c>
      <c r="E3987" s="59">
        <v>16.809000000000001</v>
      </c>
    </row>
    <row r="3988" spans="1:5" ht="15" x14ac:dyDescent="0.35">
      <c r="A3988" s="58" t="s">
        <v>367</v>
      </c>
      <c r="B3988" s="58" t="s">
        <v>180</v>
      </c>
      <c r="C3988" s="58">
        <v>12</v>
      </c>
      <c r="D3988" s="58">
        <v>115</v>
      </c>
      <c r="E3988" s="59">
        <v>16.809000000000001</v>
      </c>
    </row>
    <row r="3989" spans="1:5" ht="15" x14ac:dyDescent="0.35">
      <c r="A3989" s="58" t="s">
        <v>354</v>
      </c>
      <c r="B3989" s="58" t="s">
        <v>182</v>
      </c>
      <c r="C3989" s="58">
        <v>1</v>
      </c>
      <c r="D3989" s="58">
        <v>104</v>
      </c>
      <c r="E3989" s="59">
        <v>11.4519</v>
      </c>
    </row>
    <row r="3990" spans="1:5" ht="15" x14ac:dyDescent="0.35">
      <c r="A3990" s="58" t="s">
        <v>354</v>
      </c>
      <c r="B3990" s="58" t="s">
        <v>182</v>
      </c>
      <c r="C3990" s="58">
        <v>2</v>
      </c>
      <c r="D3990" s="58">
        <v>105</v>
      </c>
      <c r="E3990" s="59">
        <v>0</v>
      </c>
    </row>
    <row r="3991" spans="1:5" ht="15" x14ac:dyDescent="0.35">
      <c r="A3991" s="58" t="s">
        <v>354</v>
      </c>
      <c r="B3991" s="58" t="s">
        <v>182</v>
      </c>
      <c r="C3991" s="58">
        <v>3</v>
      </c>
      <c r="D3991" s="58">
        <v>106</v>
      </c>
      <c r="E3991" s="59">
        <v>0</v>
      </c>
    </row>
    <row r="3992" spans="1:5" ht="15" x14ac:dyDescent="0.35">
      <c r="A3992" s="58" t="s">
        <v>354</v>
      </c>
      <c r="B3992" s="58" t="s">
        <v>182</v>
      </c>
      <c r="C3992" s="58">
        <v>4</v>
      </c>
      <c r="D3992" s="58">
        <v>107</v>
      </c>
      <c r="E3992" s="59">
        <v>0</v>
      </c>
    </row>
    <row r="3993" spans="1:5" ht="15" x14ac:dyDescent="0.35">
      <c r="A3993" s="58" t="s">
        <v>354</v>
      </c>
      <c r="B3993" s="58" t="s">
        <v>182</v>
      </c>
      <c r="C3993" s="58">
        <v>5</v>
      </c>
      <c r="D3993" s="58">
        <v>108</v>
      </c>
      <c r="E3993" s="59">
        <v>0</v>
      </c>
    </row>
    <row r="3994" spans="1:5" ht="15" x14ac:dyDescent="0.35">
      <c r="A3994" s="58" t="s">
        <v>354</v>
      </c>
      <c r="B3994" s="58" t="s">
        <v>182</v>
      </c>
      <c r="C3994" s="58">
        <v>6</v>
      </c>
      <c r="D3994" s="58">
        <v>109</v>
      </c>
      <c r="E3994" s="59">
        <v>0</v>
      </c>
    </row>
    <row r="3995" spans="1:5" ht="15" x14ac:dyDescent="0.35">
      <c r="A3995" s="58" t="s">
        <v>354</v>
      </c>
      <c r="B3995" s="58" t="s">
        <v>182</v>
      </c>
      <c r="C3995" s="58">
        <v>7</v>
      </c>
      <c r="D3995" s="58">
        <v>110</v>
      </c>
      <c r="E3995" s="59">
        <v>0</v>
      </c>
    </row>
    <row r="3996" spans="1:5" ht="15" x14ac:dyDescent="0.35">
      <c r="A3996" s="58" t="s">
        <v>354</v>
      </c>
      <c r="B3996" s="58" t="s">
        <v>182</v>
      </c>
      <c r="C3996" s="58">
        <v>8</v>
      </c>
      <c r="D3996" s="58">
        <v>111</v>
      </c>
      <c r="E3996" s="59">
        <v>0</v>
      </c>
    </row>
    <row r="3997" spans="1:5" ht="15" x14ac:dyDescent="0.35">
      <c r="A3997" s="58" t="s">
        <v>354</v>
      </c>
      <c r="B3997" s="58" t="s">
        <v>182</v>
      </c>
      <c r="C3997" s="58">
        <v>9</v>
      </c>
      <c r="D3997" s="58">
        <v>112</v>
      </c>
      <c r="E3997" s="59">
        <v>0</v>
      </c>
    </row>
    <row r="3998" spans="1:5" ht="15" x14ac:dyDescent="0.35">
      <c r="A3998" s="58" t="s">
        <v>354</v>
      </c>
      <c r="B3998" s="58" t="s">
        <v>182</v>
      </c>
      <c r="C3998" s="58">
        <v>10</v>
      </c>
      <c r="D3998" s="58">
        <v>113</v>
      </c>
      <c r="E3998" s="59">
        <v>0</v>
      </c>
    </row>
    <row r="3999" spans="1:5" ht="15" x14ac:dyDescent="0.35">
      <c r="A3999" s="58" t="s">
        <v>354</v>
      </c>
      <c r="B3999" s="58" t="s">
        <v>182</v>
      </c>
      <c r="C3999" s="58">
        <v>11</v>
      </c>
      <c r="D3999" s="58">
        <v>114</v>
      </c>
      <c r="E3999" s="59">
        <v>0</v>
      </c>
    </row>
    <row r="4000" spans="1:5" ht="15" x14ac:dyDescent="0.35">
      <c r="A4000" s="58" t="s">
        <v>354</v>
      </c>
      <c r="B4000" s="58" t="s">
        <v>182</v>
      </c>
      <c r="C4000" s="58">
        <v>12</v>
      </c>
      <c r="D4000" s="58">
        <v>115</v>
      </c>
      <c r="E4000" s="59">
        <v>0</v>
      </c>
    </row>
    <row r="4001" spans="1:5" ht="15" x14ac:dyDescent="0.35">
      <c r="A4001" s="58" t="s">
        <v>354</v>
      </c>
      <c r="B4001" s="58" t="s">
        <v>176</v>
      </c>
      <c r="C4001" s="58">
        <v>1</v>
      </c>
      <c r="D4001" s="58">
        <v>104</v>
      </c>
      <c r="E4001" s="59">
        <v>21.5</v>
      </c>
    </row>
    <row r="4002" spans="1:5" ht="15" x14ac:dyDescent="0.35">
      <c r="A4002" s="58" t="s">
        <v>354</v>
      </c>
      <c r="B4002" s="58" t="s">
        <v>176</v>
      </c>
      <c r="C4002" s="58">
        <v>2</v>
      </c>
      <c r="D4002" s="58">
        <v>105</v>
      </c>
      <c r="E4002" s="59">
        <v>21.5</v>
      </c>
    </row>
    <row r="4003" spans="1:5" ht="15" x14ac:dyDescent="0.35">
      <c r="A4003" s="58" t="s">
        <v>354</v>
      </c>
      <c r="B4003" s="58" t="s">
        <v>176</v>
      </c>
      <c r="C4003" s="58">
        <v>3</v>
      </c>
      <c r="D4003" s="58">
        <v>106</v>
      </c>
      <c r="E4003" s="59">
        <v>21.5</v>
      </c>
    </row>
    <row r="4004" spans="1:5" ht="15" x14ac:dyDescent="0.35">
      <c r="A4004" s="58" t="s">
        <v>354</v>
      </c>
      <c r="B4004" s="58" t="s">
        <v>176</v>
      </c>
      <c r="C4004" s="58">
        <v>4</v>
      </c>
      <c r="D4004" s="58">
        <v>107</v>
      </c>
      <c r="E4004" s="59">
        <v>21.5</v>
      </c>
    </row>
    <row r="4005" spans="1:5" ht="15" x14ac:dyDescent="0.35">
      <c r="A4005" s="58" t="s">
        <v>354</v>
      </c>
      <c r="B4005" s="58" t="s">
        <v>176</v>
      </c>
      <c r="C4005" s="58">
        <v>5</v>
      </c>
      <c r="D4005" s="58">
        <v>108</v>
      </c>
      <c r="E4005" s="59">
        <v>21.5</v>
      </c>
    </row>
    <row r="4006" spans="1:5" ht="15" x14ac:dyDescent="0.35">
      <c r="A4006" s="58" t="s">
        <v>354</v>
      </c>
      <c r="B4006" s="58" t="s">
        <v>176</v>
      </c>
      <c r="C4006" s="58">
        <v>6</v>
      </c>
      <c r="D4006" s="58">
        <v>109</v>
      </c>
      <c r="E4006" s="59">
        <v>21.5</v>
      </c>
    </row>
    <row r="4007" spans="1:5" ht="15" x14ac:dyDescent="0.35">
      <c r="A4007" s="58" t="s">
        <v>354</v>
      </c>
      <c r="B4007" s="58" t="s">
        <v>176</v>
      </c>
      <c r="C4007" s="58">
        <v>7</v>
      </c>
      <c r="D4007" s="58">
        <v>110</v>
      </c>
      <c r="E4007" s="59">
        <v>21.5</v>
      </c>
    </row>
    <row r="4008" spans="1:5" ht="15" x14ac:dyDescent="0.35">
      <c r="A4008" s="58" t="s">
        <v>354</v>
      </c>
      <c r="B4008" s="58" t="s">
        <v>176</v>
      </c>
      <c r="C4008" s="58">
        <v>8</v>
      </c>
      <c r="D4008" s="58">
        <v>111</v>
      </c>
      <c r="E4008" s="59">
        <v>21.5</v>
      </c>
    </row>
    <row r="4009" spans="1:5" ht="15" x14ac:dyDescent="0.35">
      <c r="A4009" s="58" t="s">
        <v>354</v>
      </c>
      <c r="B4009" s="58" t="s">
        <v>176</v>
      </c>
      <c r="C4009" s="58">
        <v>9</v>
      </c>
      <c r="D4009" s="58">
        <v>112</v>
      </c>
      <c r="E4009" s="59">
        <v>21.5</v>
      </c>
    </row>
    <row r="4010" spans="1:5" ht="15" x14ac:dyDescent="0.35">
      <c r="A4010" s="58" t="s">
        <v>354</v>
      </c>
      <c r="B4010" s="58" t="s">
        <v>176</v>
      </c>
      <c r="C4010" s="58">
        <v>10</v>
      </c>
      <c r="D4010" s="58">
        <v>113</v>
      </c>
      <c r="E4010" s="59">
        <v>21.5</v>
      </c>
    </row>
    <row r="4011" spans="1:5" ht="15" x14ac:dyDescent="0.35">
      <c r="A4011" s="58" t="s">
        <v>354</v>
      </c>
      <c r="B4011" s="58" t="s">
        <v>176</v>
      </c>
      <c r="C4011" s="58">
        <v>11</v>
      </c>
      <c r="D4011" s="58">
        <v>114</v>
      </c>
      <c r="E4011" s="59">
        <v>21.5</v>
      </c>
    </row>
    <row r="4012" spans="1:5" ht="15" x14ac:dyDescent="0.35">
      <c r="A4012" s="58" t="s">
        <v>354</v>
      </c>
      <c r="B4012" s="58" t="s">
        <v>176</v>
      </c>
      <c r="C4012" s="58">
        <v>12</v>
      </c>
      <c r="D4012" s="58">
        <v>115</v>
      </c>
      <c r="E4012" s="59">
        <v>21.5</v>
      </c>
    </row>
    <row r="4013" spans="1:5" ht="15" x14ac:dyDescent="0.35">
      <c r="A4013" s="58" t="s">
        <v>354</v>
      </c>
      <c r="B4013" s="58" t="s">
        <v>172</v>
      </c>
      <c r="C4013" s="58">
        <v>1</v>
      </c>
      <c r="D4013" s="58">
        <v>104</v>
      </c>
      <c r="E4013" s="59">
        <v>0</v>
      </c>
    </row>
    <row r="4014" spans="1:5" ht="15" x14ac:dyDescent="0.35">
      <c r="A4014" s="58" t="s">
        <v>354</v>
      </c>
      <c r="B4014" s="58" t="s">
        <v>172</v>
      </c>
      <c r="C4014" s="58">
        <v>2</v>
      </c>
      <c r="D4014" s="58">
        <v>105</v>
      </c>
      <c r="E4014" s="59">
        <v>0</v>
      </c>
    </row>
    <row r="4015" spans="1:5" ht="15" x14ac:dyDescent="0.35">
      <c r="A4015" s="58" t="s">
        <v>354</v>
      </c>
      <c r="B4015" s="58" t="s">
        <v>172</v>
      </c>
      <c r="C4015" s="58">
        <v>3</v>
      </c>
      <c r="D4015" s="58">
        <v>106</v>
      </c>
      <c r="E4015" s="59">
        <v>0</v>
      </c>
    </row>
    <row r="4016" spans="1:5" ht="15" x14ac:dyDescent="0.35">
      <c r="A4016" s="58" t="s">
        <v>354</v>
      </c>
      <c r="B4016" s="58" t="s">
        <v>172</v>
      </c>
      <c r="C4016" s="58">
        <v>4</v>
      </c>
      <c r="D4016" s="58">
        <v>107</v>
      </c>
      <c r="E4016" s="59">
        <v>0</v>
      </c>
    </row>
    <row r="4017" spans="1:5" ht="15" x14ac:dyDescent="0.35">
      <c r="A4017" s="58" t="s">
        <v>354</v>
      </c>
      <c r="B4017" s="58" t="s">
        <v>172</v>
      </c>
      <c r="C4017" s="58">
        <v>5</v>
      </c>
      <c r="D4017" s="58">
        <v>108</v>
      </c>
      <c r="E4017" s="59">
        <v>0</v>
      </c>
    </row>
    <row r="4018" spans="1:5" ht="15" x14ac:dyDescent="0.35">
      <c r="A4018" s="58" t="s">
        <v>354</v>
      </c>
      <c r="B4018" s="58" t="s">
        <v>172</v>
      </c>
      <c r="C4018" s="58">
        <v>6</v>
      </c>
      <c r="D4018" s="58">
        <v>109</v>
      </c>
      <c r="E4018" s="59">
        <v>0</v>
      </c>
    </row>
    <row r="4019" spans="1:5" ht="15" x14ac:dyDescent="0.35">
      <c r="A4019" s="58" t="s">
        <v>354</v>
      </c>
      <c r="B4019" s="58" t="s">
        <v>172</v>
      </c>
      <c r="C4019" s="58">
        <v>7</v>
      </c>
      <c r="D4019" s="58">
        <v>110</v>
      </c>
      <c r="E4019" s="59">
        <v>0</v>
      </c>
    </row>
    <row r="4020" spans="1:5" ht="15" x14ac:dyDescent="0.35">
      <c r="A4020" s="58" t="s">
        <v>354</v>
      </c>
      <c r="B4020" s="58" t="s">
        <v>172</v>
      </c>
      <c r="C4020" s="58">
        <v>8</v>
      </c>
      <c r="D4020" s="58">
        <v>111</v>
      </c>
      <c r="E4020" s="59">
        <v>0</v>
      </c>
    </row>
    <row r="4021" spans="1:5" ht="15" x14ac:dyDescent="0.35">
      <c r="A4021" s="58" t="s">
        <v>354</v>
      </c>
      <c r="B4021" s="58" t="s">
        <v>172</v>
      </c>
      <c r="C4021" s="58">
        <v>9</v>
      </c>
      <c r="D4021" s="58">
        <v>112</v>
      </c>
      <c r="E4021" s="59">
        <v>0</v>
      </c>
    </row>
    <row r="4022" spans="1:5" ht="15" x14ac:dyDescent="0.35">
      <c r="A4022" s="58" t="s">
        <v>354</v>
      </c>
      <c r="B4022" s="58" t="s">
        <v>172</v>
      </c>
      <c r="C4022" s="58">
        <v>10</v>
      </c>
      <c r="D4022" s="58">
        <v>113</v>
      </c>
      <c r="E4022" s="59">
        <v>0</v>
      </c>
    </row>
    <row r="4023" spans="1:5" ht="15" x14ac:dyDescent="0.35">
      <c r="A4023" s="58" t="s">
        <v>354</v>
      </c>
      <c r="B4023" s="58" t="s">
        <v>172</v>
      </c>
      <c r="C4023" s="58">
        <v>11</v>
      </c>
      <c r="D4023" s="58">
        <v>114</v>
      </c>
      <c r="E4023" s="59">
        <v>0</v>
      </c>
    </row>
    <row r="4024" spans="1:5" ht="15" x14ac:dyDescent="0.35">
      <c r="A4024" s="58" t="s">
        <v>354</v>
      </c>
      <c r="B4024" s="58" t="s">
        <v>172</v>
      </c>
      <c r="C4024" s="58">
        <v>12</v>
      </c>
      <c r="D4024" s="58">
        <v>115</v>
      </c>
      <c r="E4024" s="59">
        <v>0</v>
      </c>
    </row>
    <row r="4025" spans="1:5" ht="15" x14ac:dyDescent="0.35">
      <c r="A4025" s="58" t="s">
        <v>354</v>
      </c>
      <c r="B4025" s="58" t="s">
        <v>180</v>
      </c>
      <c r="C4025" s="58">
        <v>1</v>
      </c>
      <c r="D4025" s="58">
        <v>104</v>
      </c>
      <c r="E4025" s="59">
        <v>8.0737000000000005</v>
      </c>
    </row>
    <row r="4026" spans="1:5" ht="15" x14ac:dyDescent="0.35">
      <c r="A4026" s="58" t="s">
        <v>354</v>
      </c>
      <c r="B4026" s="58" t="s">
        <v>180</v>
      </c>
      <c r="C4026" s="58">
        <v>2</v>
      </c>
      <c r="D4026" s="58">
        <v>105</v>
      </c>
      <c r="E4026" s="59">
        <v>8.0737000000000005</v>
      </c>
    </row>
    <row r="4027" spans="1:5" ht="15" x14ac:dyDescent="0.35">
      <c r="A4027" s="58" t="s">
        <v>354</v>
      </c>
      <c r="B4027" s="58" t="s">
        <v>180</v>
      </c>
      <c r="C4027" s="58">
        <v>3</v>
      </c>
      <c r="D4027" s="58">
        <v>106</v>
      </c>
      <c r="E4027" s="59">
        <v>8.0737000000000005</v>
      </c>
    </row>
    <row r="4028" spans="1:5" ht="15" x14ac:dyDescent="0.35">
      <c r="A4028" s="58" t="s">
        <v>354</v>
      </c>
      <c r="B4028" s="58" t="s">
        <v>180</v>
      </c>
      <c r="C4028" s="58">
        <v>4</v>
      </c>
      <c r="D4028" s="58">
        <v>107</v>
      </c>
      <c r="E4028" s="59">
        <v>8.0737000000000005</v>
      </c>
    </row>
    <row r="4029" spans="1:5" ht="15" x14ac:dyDescent="0.35">
      <c r="A4029" s="58" t="s">
        <v>354</v>
      </c>
      <c r="B4029" s="58" t="s">
        <v>180</v>
      </c>
      <c r="C4029" s="58">
        <v>5</v>
      </c>
      <c r="D4029" s="58">
        <v>108</v>
      </c>
      <c r="E4029" s="59">
        <v>8.0737000000000005</v>
      </c>
    </row>
    <row r="4030" spans="1:5" ht="15" x14ac:dyDescent="0.35">
      <c r="A4030" s="58" t="s">
        <v>354</v>
      </c>
      <c r="B4030" s="58" t="s">
        <v>180</v>
      </c>
      <c r="C4030" s="58">
        <v>6</v>
      </c>
      <c r="D4030" s="58">
        <v>109</v>
      </c>
      <c r="E4030" s="59">
        <v>8.0737000000000005</v>
      </c>
    </row>
    <row r="4031" spans="1:5" ht="15" x14ac:dyDescent="0.35">
      <c r="A4031" s="58" t="s">
        <v>354</v>
      </c>
      <c r="B4031" s="58" t="s">
        <v>180</v>
      </c>
      <c r="C4031" s="58">
        <v>7</v>
      </c>
      <c r="D4031" s="58">
        <v>110</v>
      </c>
      <c r="E4031" s="59">
        <v>8.0737000000000005</v>
      </c>
    </row>
    <row r="4032" spans="1:5" ht="15" x14ac:dyDescent="0.35">
      <c r="A4032" s="58" t="s">
        <v>354</v>
      </c>
      <c r="B4032" s="58" t="s">
        <v>180</v>
      </c>
      <c r="C4032" s="58">
        <v>8</v>
      </c>
      <c r="D4032" s="58">
        <v>111</v>
      </c>
      <c r="E4032" s="59">
        <v>8.0737000000000005</v>
      </c>
    </row>
    <row r="4033" spans="1:5" ht="15" x14ac:dyDescent="0.35">
      <c r="A4033" s="58" t="s">
        <v>354</v>
      </c>
      <c r="B4033" s="58" t="s">
        <v>180</v>
      </c>
      <c r="C4033" s="58">
        <v>9</v>
      </c>
      <c r="D4033" s="58">
        <v>112</v>
      </c>
      <c r="E4033" s="59">
        <v>8.0737000000000005</v>
      </c>
    </row>
    <row r="4034" spans="1:5" ht="15" x14ac:dyDescent="0.35">
      <c r="A4034" s="58" t="s">
        <v>354</v>
      </c>
      <c r="B4034" s="58" t="s">
        <v>180</v>
      </c>
      <c r="C4034" s="58">
        <v>10</v>
      </c>
      <c r="D4034" s="58">
        <v>113</v>
      </c>
      <c r="E4034" s="59">
        <v>8.0737000000000005</v>
      </c>
    </row>
    <row r="4035" spans="1:5" ht="15" x14ac:dyDescent="0.35">
      <c r="A4035" s="58" t="s">
        <v>354</v>
      </c>
      <c r="B4035" s="58" t="s">
        <v>180</v>
      </c>
      <c r="C4035" s="58">
        <v>11</v>
      </c>
      <c r="D4035" s="58">
        <v>114</v>
      </c>
      <c r="E4035" s="59">
        <v>8.0737000000000005</v>
      </c>
    </row>
    <row r="4036" spans="1:5" ht="15" x14ac:dyDescent="0.35">
      <c r="A4036" s="58" t="s">
        <v>354</v>
      </c>
      <c r="B4036" s="58" t="s">
        <v>180</v>
      </c>
      <c r="C4036" s="58">
        <v>12</v>
      </c>
      <c r="D4036" s="58">
        <v>115</v>
      </c>
      <c r="E4036" s="59">
        <v>8.0737000000000005</v>
      </c>
    </row>
    <row r="4037" spans="1:5" ht="15" x14ac:dyDescent="0.35">
      <c r="A4037" s="58" t="s">
        <v>271</v>
      </c>
      <c r="B4037" s="58" t="s">
        <v>182</v>
      </c>
      <c r="C4037" s="58">
        <v>1</v>
      </c>
      <c r="D4037" s="58">
        <v>104</v>
      </c>
      <c r="E4037" s="59">
        <v>160.83199999999999</v>
      </c>
    </row>
    <row r="4038" spans="1:5" ht="15" x14ac:dyDescent="0.35">
      <c r="A4038" s="58" t="s">
        <v>271</v>
      </c>
      <c r="B4038" s="58" t="s">
        <v>182</v>
      </c>
      <c r="C4038" s="58">
        <v>2</v>
      </c>
      <c r="D4038" s="58">
        <v>105</v>
      </c>
      <c r="E4038" s="59">
        <v>0</v>
      </c>
    </row>
    <row r="4039" spans="1:5" ht="15" x14ac:dyDescent="0.35">
      <c r="A4039" s="58" t="s">
        <v>271</v>
      </c>
      <c r="B4039" s="58" t="s">
        <v>182</v>
      </c>
      <c r="C4039" s="58">
        <v>3</v>
      </c>
      <c r="D4039" s="58">
        <v>106</v>
      </c>
      <c r="E4039" s="59">
        <v>0</v>
      </c>
    </row>
    <row r="4040" spans="1:5" ht="15" x14ac:dyDescent="0.35">
      <c r="A4040" s="58" t="s">
        <v>271</v>
      </c>
      <c r="B4040" s="58" t="s">
        <v>182</v>
      </c>
      <c r="C4040" s="58">
        <v>4</v>
      </c>
      <c r="D4040" s="58">
        <v>107</v>
      </c>
      <c r="E4040" s="59">
        <v>0</v>
      </c>
    </row>
    <row r="4041" spans="1:5" ht="15" x14ac:dyDescent="0.35">
      <c r="A4041" s="58" t="s">
        <v>271</v>
      </c>
      <c r="B4041" s="58" t="s">
        <v>182</v>
      </c>
      <c r="C4041" s="58">
        <v>5</v>
      </c>
      <c r="D4041" s="58">
        <v>108</v>
      </c>
      <c r="E4041" s="59">
        <v>0</v>
      </c>
    </row>
    <row r="4042" spans="1:5" ht="15" x14ac:dyDescent="0.35">
      <c r="A4042" s="58" t="s">
        <v>271</v>
      </c>
      <c r="B4042" s="58" t="s">
        <v>182</v>
      </c>
      <c r="C4042" s="58">
        <v>6</v>
      </c>
      <c r="D4042" s="58">
        <v>109</v>
      </c>
      <c r="E4042" s="59">
        <v>0</v>
      </c>
    </row>
    <row r="4043" spans="1:5" ht="15" x14ac:dyDescent="0.35">
      <c r="A4043" s="58" t="s">
        <v>271</v>
      </c>
      <c r="B4043" s="58" t="s">
        <v>182</v>
      </c>
      <c r="C4043" s="58">
        <v>7</v>
      </c>
      <c r="D4043" s="58">
        <v>110</v>
      </c>
      <c r="E4043" s="59">
        <v>0</v>
      </c>
    </row>
    <row r="4044" spans="1:5" ht="15" x14ac:dyDescent="0.35">
      <c r="A4044" s="58" t="s">
        <v>271</v>
      </c>
      <c r="B4044" s="58" t="s">
        <v>182</v>
      </c>
      <c r="C4044" s="58">
        <v>8</v>
      </c>
      <c r="D4044" s="58">
        <v>111</v>
      </c>
      <c r="E4044" s="59">
        <v>0</v>
      </c>
    </row>
    <row r="4045" spans="1:5" ht="15" x14ac:dyDescent="0.35">
      <c r="A4045" s="58" t="s">
        <v>271</v>
      </c>
      <c r="B4045" s="58" t="s">
        <v>182</v>
      </c>
      <c r="C4045" s="58">
        <v>9</v>
      </c>
      <c r="D4045" s="58">
        <v>112</v>
      </c>
      <c r="E4045" s="59">
        <v>0</v>
      </c>
    </row>
    <row r="4046" spans="1:5" ht="15" x14ac:dyDescent="0.35">
      <c r="A4046" s="58" t="s">
        <v>271</v>
      </c>
      <c r="B4046" s="58" t="s">
        <v>182</v>
      </c>
      <c r="C4046" s="58">
        <v>10</v>
      </c>
      <c r="D4046" s="58">
        <v>113</v>
      </c>
      <c r="E4046" s="59">
        <v>0</v>
      </c>
    </row>
    <row r="4047" spans="1:5" ht="15" x14ac:dyDescent="0.35">
      <c r="A4047" s="58" t="s">
        <v>271</v>
      </c>
      <c r="B4047" s="58" t="s">
        <v>182</v>
      </c>
      <c r="C4047" s="58">
        <v>11</v>
      </c>
      <c r="D4047" s="58">
        <v>114</v>
      </c>
      <c r="E4047" s="59">
        <v>0</v>
      </c>
    </row>
    <row r="4048" spans="1:5" ht="15" x14ac:dyDescent="0.35">
      <c r="A4048" s="58" t="s">
        <v>271</v>
      </c>
      <c r="B4048" s="58" t="s">
        <v>182</v>
      </c>
      <c r="C4048" s="58">
        <v>12</v>
      </c>
      <c r="D4048" s="58">
        <v>115</v>
      </c>
      <c r="E4048" s="59">
        <v>0.27650000000000002</v>
      </c>
    </row>
    <row r="4049" spans="1:5" ht="15" x14ac:dyDescent="0.35">
      <c r="A4049" s="58" t="s">
        <v>271</v>
      </c>
      <c r="B4049" s="58" t="s">
        <v>176</v>
      </c>
      <c r="C4049" s="58">
        <v>1</v>
      </c>
      <c r="D4049" s="58">
        <v>104</v>
      </c>
      <c r="E4049" s="59">
        <v>181</v>
      </c>
    </row>
    <row r="4050" spans="1:5" ht="15" x14ac:dyDescent="0.35">
      <c r="A4050" s="58" t="s">
        <v>271</v>
      </c>
      <c r="B4050" s="58" t="s">
        <v>176</v>
      </c>
      <c r="C4050" s="58">
        <v>2</v>
      </c>
      <c r="D4050" s="58">
        <v>105</v>
      </c>
      <c r="E4050" s="59">
        <v>181</v>
      </c>
    </row>
    <row r="4051" spans="1:5" ht="15" x14ac:dyDescent="0.35">
      <c r="A4051" s="58" t="s">
        <v>271</v>
      </c>
      <c r="B4051" s="58" t="s">
        <v>176</v>
      </c>
      <c r="C4051" s="58">
        <v>3</v>
      </c>
      <c r="D4051" s="58">
        <v>106</v>
      </c>
      <c r="E4051" s="59">
        <v>181</v>
      </c>
    </row>
    <row r="4052" spans="1:5" ht="15" x14ac:dyDescent="0.35">
      <c r="A4052" s="58" t="s">
        <v>271</v>
      </c>
      <c r="B4052" s="58" t="s">
        <v>176</v>
      </c>
      <c r="C4052" s="58">
        <v>4</v>
      </c>
      <c r="D4052" s="58">
        <v>107</v>
      </c>
      <c r="E4052" s="59">
        <v>181</v>
      </c>
    </row>
    <row r="4053" spans="1:5" ht="15" x14ac:dyDescent="0.35">
      <c r="A4053" s="58" t="s">
        <v>271</v>
      </c>
      <c r="B4053" s="58" t="s">
        <v>176</v>
      </c>
      <c r="C4053" s="58">
        <v>5</v>
      </c>
      <c r="D4053" s="58">
        <v>108</v>
      </c>
      <c r="E4053" s="59">
        <v>181</v>
      </c>
    </row>
    <row r="4054" spans="1:5" ht="15" x14ac:dyDescent="0.35">
      <c r="A4054" s="58" t="s">
        <v>271</v>
      </c>
      <c r="B4054" s="58" t="s">
        <v>176</v>
      </c>
      <c r="C4054" s="58">
        <v>6</v>
      </c>
      <c r="D4054" s="58">
        <v>109</v>
      </c>
      <c r="E4054" s="59">
        <v>181</v>
      </c>
    </row>
    <row r="4055" spans="1:5" ht="15" x14ac:dyDescent="0.35">
      <c r="A4055" s="58" t="s">
        <v>271</v>
      </c>
      <c r="B4055" s="58" t="s">
        <v>176</v>
      </c>
      <c r="C4055" s="58">
        <v>7</v>
      </c>
      <c r="D4055" s="58">
        <v>110</v>
      </c>
      <c r="E4055" s="59">
        <v>181</v>
      </c>
    </row>
    <row r="4056" spans="1:5" ht="15" x14ac:dyDescent="0.35">
      <c r="A4056" s="58" t="s">
        <v>271</v>
      </c>
      <c r="B4056" s="58" t="s">
        <v>176</v>
      </c>
      <c r="C4056" s="58">
        <v>8</v>
      </c>
      <c r="D4056" s="58">
        <v>111</v>
      </c>
      <c r="E4056" s="59">
        <v>181</v>
      </c>
    </row>
    <row r="4057" spans="1:5" ht="15" x14ac:dyDescent="0.35">
      <c r="A4057" s="58" t="s">
        <v>271</v>
      </c>
      <c r="B4057" s="58" t="s">
        <v>176</v>
      </c>
      <c r="C4057" s="58">
        <v>9</v>
      </c>
      <c r="D4057" s="58">
        <v>112</v>
      </c>
      <c r="E4057" s="59">
        <v>181</v>
      </c>
    </row>
    <row r="4058" spans="1:5" ht="15" x14ac:dyDescent="0.35">
      <c r="A4058" s="58" t="s">
        <v>271</v>
      </c>
      <c r="B4058" s="58" t="s">
        <v>176</v>
      </c>
      <c r="C4058" s="58">
        <v>10</v>
      </c>
      <c r="D4058" s="58">
        <v>113</v>
      </c>
      <c r="E4058" s="59">
        <v>181</v>
      </c>
    </row>
    <row r="4059" spans="1:5" ht="15" x14ac:dyDescent="0.35">
      <c r="A4059" s="58" t="s">
        <v>271</v>
      </c>
      <c r="B4059" s="58" t="s">
        <v>176</v>
      </c>
      <c r="C4059" s="58">
        <v>11</v>
      </c>
      <c r="D4059" s="58">
        <v>114</v>
      </c>
      <c r="E4059" s="59">
        <v>181</v>
      </c>
    </row>
    <row r="4060" spans="1:5" ht="15" x14ac:dyDescent="0.35">
      <c r="A4060" s="58" t="s">
        <v>271</v>
      </c>
      <c r="B4060" s="58" t="s">
        <v>176</v>
      </c>
      <c r="C4060" s="58">
        <v>12</v>
      </c>
      <c r="D4060" s="58">
        <v>115</v>
      </c>
      <c r="E4060" s="59">
        <v>181</v>
      </c>
    </row>
    <row r="4061" spans="1:5" ht="15" x14ac:dyDescent="0.35">
      <c r="A4061" s="58" t="s">
        <v>271</v>
      </c>
      <c r="B4061" s="58" t="s">
        <v>172</v>
      </c>
      <c r="C4061" s="58">
        <v>1</v>
      </c>
      <c r="D4061" s="58">
        <v>104</v>
      </c>
      <c r="E4061" s="59">
        <v>194</v>
      </c>
    </row>
    <row r="4062" spans="1:5" ht="15" x14ac:dyDescent="0.35">
      <c r="A4062" s="58" t="s">
        <v>271</v>
      </c>
      <c r="B4062" s="58" t="s">
        <v>172</v>
      </c>
      <c r="C4062" s="58">
        <v>2</v>
      </c>
      <c r="D4062" s="58">
        <v>105</v>
      </c>
      <c r="E4062" s="59">
        <v>194</v>
      </c>
    </row>
    <row r="4063" spans="1:5" ht="15" x14ac:dyDescent="0.35">
      <c r="A4063" s="58" t="s">
        <v>271</v>
      </c>
      <c r="B4063" s="58" t="s">
        <v>172</v>
      </c>
      <c r="C4063" s="58">
        <v>3</v>
      </c>
      <c r="D4063" s="58">
        <v>106</v>
      </c>
      <c r="E4063" s="59">
        <v>194</v>
      </c>
    </row>
    <row r="4064" spans="1:5" ht="15" x14ac:dyDescent="0.35">
      <c r="A4064" s="58" t="s">
        <v>271</v>
      </c>
      <c r="B4064" s="58" t="s">
        <v>172</v>
      </c>
      <c r="C4064" s="58">
        <v>4</v>
      </c>
      <c r="D4064" s="58">
        <v>107</v>
      </c>
      <c r="E4064" s="59">
        <v>194</v>
      </c>
    </row>
    <row r="4065" spans="1:5" ht="15" x14ac:dyDescent="0.35">
      <c r="A4065" s="58" t="s">
        <v>271</v>
      </c>
      <c r="B4065" s="58" t="s">
        <v>172</v>
      </c>
      <c r="C4065" s="58">
        <v>5</v>
      </c>
      <c r="D4065" s="58">
        <v>108</v>
      </c>
      <c r="E4065" s="59">
        <v>194</v>
      </c>
    </row>
    <row r="4066" spans="1:5" ht="15" x14ac:dyDescent="0.35">
      <c r="A4066" s="58" t="s">
        <v>271</v>
      </c>
      <c r="B4066" s="58" t="s">
        <v>172</v>
      </c>
      <c r="C4066" s="58">
        <v>6</v>
      </c>
      <c r="D4066" s="58">
        <v>109</v>
      </c>
      <c r="E4066" s="59">
        <v>194</v>
      </c>
    </row>
    <row r="4067" spans="1:5" ht="15" x14ac:dyDescent="0.35">
      <c r="A4067" s="58" t="s">
        <v>271</v>
      </c>
      <c r="B4067" s="58" t="s">
        <v>172</v>
      </c>
      <c r="C4067" s="58">
        <v>7</v>
      </c>
      <c r="D4067" s="58">
        <v>110</v>
      </c>
      <c r="E4067" s="59">
        <v>194</v>
      </c>
    </row>
    <row r="4068" spans="1:5" ht="15" x14ac:dyDescent="0.35">
      <c r="A4068" s="58" t="s">
        <v>271</v>
      </c>
      <c r="B4068" s="58" t="s">
        <v>172</v>
      </c>
      <c r="C4068" s="58">
        <v>8</v>
      </c>
      <c r="D4068" s="58">
        <v>111</v>
      </c>
      <c r="E4068" s="59">
        <v>194</v>
      </c>
    </row>
    <row r="4069" spans="1:5" ht="15" x14ac:dyDescent="0.35">
      <c r="A4069" s="58" t="s">
        <v>271</v>
      </c>
      <c r="B4069" s="58" t="s">
        <v>172</v>
      </c>
      <c r="C4069" s="58">
        <v>9</v>
      </c>
      <c r="D4069" s="58">
        <v>112</v>
      </c>
      <c r="E4069" s="59">
        <v>194</v>
      </c>
    </row>
    <row r="4070" spans="1:5" ht="15" x14ac:dyDescent="0.35">
      <c r="A4070" s="58" t="s">
        <v>271</v>
      </c>
      <c r="B4070" s="58" t="s">
        <v>172</v>
      </c>
      <c r="C4070" s="58">
        <v>10</v>
      </c>
      <c r="D4070" s="58">
        <v>113</v>
      </c>
      <c r="E4070" s="59">
        <v>194</v>
      </c>
    </row>
    <row r="4071" spans="1:5" ht="15" x14ac:dyDescent="0.35">
      <c r="A4071" s="58" t="s">
        <v>271</v>
      </c>
      <c r="B4071" s="58" t="s">
        <v>172</v>
      </c>
      <c r="C4071" s="58">
        <v>11</v>
      </c>
      <c r="D4071" s="58">
        <v>114</v>
      </c>
      <c r="E4071" s="59">
        <v>194</v>
      </c>
    </row>
    <row r="4072" spans="1:5" ht="15" x14ac:dyDescent="0.35">
      <c r="A4072" s="58" t="s">
        <v>271</v>
      </c>
      <c r="B4072" s="58" t="s">
        <v>172</v>
      </c>
      <c r="C4072" s="58">
        <v>12</v>
      </c>
      <c r="D4072" s="58">
        <v>115</v>
      </c>
      <c r="E4072" s="59">
        <v>194</v>
      </c>
    </row>
    <row r="4073" spans="1:5" ht="15" x14ac:dyDescent="0.35">
      <c r="A4073" s="58" t="s">
        <v>271</v>
      </c>
      <c r="B4073" s="58" t="s">
        <v>180</v>
      </c>
      <c r="C4073" s="58">
        <v>1</v>
      </c>
      <c r="D4073" s="58">
        <v>104</v>
      </c>
      <c r="E4073" s="59">
        <v>186.0283</v>
      </c>
    </row>
    <row r="4074" spans="1:5" ht="15" x14ac:dyDescent="0.35">
      <c r="A4074" s="58" t="s">
        <v>271</v>
      </c>
      <c r="B4074" s="58" t="s">
        <v>180</v>
      </c>
      <c r="C4074" s="58">
        <v>2</v>
      </c>
      <c r="D4074" s="58">
        <v>105</v>
      </c>
      <c r="E4074" s="59">
        <v>186.0283</v>
      </c>
    </row>
    <row r="4075" spans="1:5" ht="15" x14ac:dyDescent="0.35">
      <c r="A4075" s="58" t="s">
        <v>271</v>
      </c>
      <c r="B4075" s="58" t="s">
        <v>180</v>
      </c>
      <c r="C4075" s="58">
        <v>3</v>
      </c>
      <c r="D4075" s="58">
        <v>106</v>
      </c>
      <c r="E4075" s="59">
        <v>186.0283</v>
      </c>
    </row>
    <row r="4076" spans="1:5" ht="15" x14ac:dyDescent="0.35">
      <c r="A4076" s="58" t="s">
        <v>271</v>
      </c>
      <c r="B4076" s="58" t="s">
        <v>180</v>
      </c>
      <c r="C4076" s="58">
        <v>4</v>
      </c>
      <c r="D4076" s="58">
        <v>107</v>
      </c>
      <c r="E4076" s="59">
        <v>186.0283</v>
      </c>
    </row>
    <row r="4077" spans="1:5" ht="15" x14ac:dyDescent="0.35">
      <c r="A4077" s="58" t="s">
        <v>271</v>
      </c>
      <c r="B4077" s="58" t="s">
        <v>180</v>
      </c>
      <c r="C4077" s="58">
        <v>5</v>
      </c>
      <c r="D4077" s="58">
        <v>108</v>
      </c>
      <c r="E4077" s="59">
        <v>186.0283</v>
      </c>
    </row>
    <row r="4078" spans="1:5" ht="15" x14ac:dyDescent="0.35">
      <c r="A4078" s="58" t="s">
        <v>271</v>
      </c>
      <c r="B4078" s="58" t="s">
        <v>180</v>
      </c>
      <c r="C4078" s="58">
        <v>6</v>
      </c>
      <c r="D4078" s="58">
        <v>109</v>
      </c>
      <c r="E4078" s="59">
        <v>186.0283</v>
      </c>
    </row>
    <row r="4079" spans="1:5" ht="15" x14ac:dyDescent="0.35">
      <c r="A4079" s="58" t="s">
        <v>271</v>
      </c>
      <c r="B4079" s="58" t="s">
        <v>180</v>
      </c>
      <c r="C4079" s="58">
        <v>7</v>
      </c>
      <c r="D4079" s="58">
        <v>110</v>
      </c>
      <c r="E4079" s="59">
        <v>186.0283</v>
      </c>
    </row>
    <row r="4080" spans="1:5" ht="15" x14ac:dyDescent="0.35">
      <c r="A4080" s="58" t="s">
        <v>271</v>
      </c>
      <c r="B4080" s="58" t="s">
        <v>180</v>
      </c>
      <c r="C4080" s="58">
        <v>8</v>
      </c>
      <c r="D4080" s="58">
        <v>111</v>
      </c>
      <c r="E4080" s="59">
        <v>186.0283</v>
      </c>
    </row>
    <row r="4081" spans="1:5" ht="15" x14ac:dyDescent="0.35">
      <c r="A4081" s="58" t="s">
        <v>271</v>
      </c>
      <c r="B4081" s="58" t="s">
        <v>180</v>
      </c>
      <c r="C4081" s="58">
        <v>9</v>
      </c>
      <c r="D4081" s="58">
        <v>112</v>
      </c>
      <c r="E4081" s="59">
        <v>186.0283</v>
      </c>
    </row>
    <row r="4082" spans="1:5" ht="15" x14ac:dyDescent="0.35">
      <c r="A4082" s="58" t="s">
        <v>271</v>
      </c>
      <c r="B4082" s="58" t="s">
        <v>180</v>
      </c>
      <c r="C4082" s="58">
        <v>10</v>
      </c>
      <c r="D4082" s="58">
        <v>113</v>
      </c>
      <c r="E4082" s="59">
        <v>186.0283</v>
      </c>
    </row>
    <row r="4083" spans="1:5" ht="15" x14ac:dyDescent="0.35">
      <c r="A4083" s="58" t="s">
        <v>271</v>
      </c>
      <c r="B4083" s="58" t="s">
        <v>180</v>
      </c>
      <c r="C4083" s="58">
        <v>11</v>
      </c>
      <c r="D4083" s="58">
        <v>114</v>
      </c>
      <c r="E4083" s="59">
        <v>186.0283</v>
      </c>
    </row>
    <row r="4084" spans="1:5" ht="15" x14ac:dyDescent="0.35">
      <c r="A4084" s="58" t="s">
        <v>271</v>
      </c>
      <c r="B4084" s="58" t="s">
        <v>180</v>
      </c>
      <c r="C4084" s="58">
        <v>12</v>
      </c>
      <c r="D4084" s="58">
        <v>115</v>
      </c>
      <c r="E4084" s="59">
        <v>186.0283</v>
      </c>
    </row>
    <row r="4085" spans="1:5" ht="15" x14ac:dyDescent="0.35">
      <c r="A4085" s="58" t="s">
        <v>315</v>
      </c>
      <c r="B4085" s="58" t="s">
        <v>182</v>
      </c>
      <c r="C4085" s="58">
        <v>1</v>
      </c>
      <c r="D4085" s="58">
        <v>104</v>
      </c>
      <c r="E4085" s="59">
        <v>187.2182</v>
      </c>
    </row>
    <row r="4086" spans="1:5" ht="15" x14ac:dyDescent="0.35">
      <c r="A4086" s="58" t="s">
        <v>315</v>
      </c>
      <c r="B4086" s="58" t="s">
        <v>182</v>
      </c>
      <c r="C4086" s="58">
        <v>2</v>
      </c>
      <c r="D4086" s="58">
        <v>105</v>
      </c>
      <c r="E4086" s="59">
        <v>49.440399999999997</v>
      </c>
    </row>
    <row r="4087" spans="1:5" ht="15" x14ac:dyDescent="0.35">
      <c r="A4087" s="58" t="s">
        <v>315</v>
      </c>
      <c r="B4087" s="58" t="s">
        <v>182</v>
      </c>
      <c r="C4087" s="58">
        <v>3</v>
      </c>
      <c r="D4087" s="58">
        <v>106</v>
      </c>
      <c r="E4087" s="59">
        <v>49.440399999999997</v>
      </c>
    </row>
    <row r="4088" spans="1:5" ht="15" x14ac:dyDescent="0.35">
      <c r="A4088" s="58" t="s">
        <v>315</v>
      </c>
      <c r="B4088" s="58" t="s">
        <v>182</v>
      </c>
      <c r="C4088" s="58">
        <v>4</v>
      </c>
      <c r="D4088" s="58">
        <v>107</v>
      </c>
      <c r="E4088" s="59">
        <v>49.440399999999997</v>
      </c>
    </row>
    <row r="4089" spans="1:5" ht="15" x14ac:dyDescent="0.35">
      <c r="A4089" s="58" t="s">
        <v>315</v>
      </c>
      <c r="B4089" s="58" t="s">
        <v>182</v>
      </c>
      <c r="C4089" s="58">
        <v>5</v>
      </c>
      <c r="D4089" s="58">
        <v>108</v>
      </c>
      <c r="E4089" s="59">
        <v>49.440399999999997</v>
      </c>
    </row>
    <row r="4090" spans="1:5" ht="15" x14ac:dyDescent="0.35">
      <c r="A4090" s="58" t="s">
        <v>315</v>
      </c>
      <c r="B4090" s="58" t="s">
        <v>182</v>
      </c>
      <c r="C4090" s="58">
        <v>6</v>
      </c>
      <c r="D4090" s="58">
        <v>109</v>
      </c>
      <c r="E4090" s="59">
        <v>49.440399999999997</v>
      </c>
    </row>
    <row r="4091" spans="1:5" ht="15" x14ac:dyDescent="0.35">
      <c r="A4091" s="58" t="s">
        <v>315</v>
      </c>
      <c r="B4091" s="58" t="s">
        <v>182</v>
      </c>
      <c r="C4091" s="58">
        <v>7</v>
      </c>
      <c r="D4091" s="58">
        <v>110</v>
      </c>
      <c r="E4091" s="59">
        <v>49.440399999999997</v>
      </c>
    </row>
    <row r="4092" spans="1:5" ht="15" x14ac:dyDescent="0.35">
      <c r="A4092" s="58" t="s">
        <v>315</v>
      </c>
      <c r="B4092" s="58" t="s">
        <v>182</v>
      </c>
      <c r="C4092" s="58">
        <v>8</v>
      </c>
      <c r="D4092" s="58">
        <v>111</v>
      </c>
      <c r="E4092" s="59">
        <v>49.440399999999997</v>
      </c>
    </row>
    <row r="4093" spans="1:5" ht="15" x14ac:dyDescent="0.35">
      <c r="A4093" s="58" t="s">
        <v>315</v>
      </c>
      <c r="B4093" s="58" t="s">
        <v>182</v>
      </c>
      <c r="C4093" s="58">
        <v>9</v>
      </c>
      <c r="D4093" s="58">
        <v>112</v>
      </c>
      <c r="E4093" s="59">
        <v>49.440399999999997</v>
      </c>
    </row>
    <row r="4094" spans="1:5" ht="15" x14ac:dyDescent="0.35">
      <c r="A4094" s="58" t="s">
        <v>315</v>
      </c>
      <c r="B4094" s="58" t="s">
        <v>182</v>
      </c>
      <c r="C4094" s="58">
        <v>10</v>
      </c>
      <c r="D4094" s="58">
        <v>113</v>
      </c>
      <c r="E4094" s="59">
        <v>50.884799999999998</v>
      </c>
    </row>
    <row r="4095" spans="1:5" ht="15" x14ac:dyDescent="0.35">
      <c r="A4095" s="58" t="s">
        <v>315</v>
      </c>
      <c r="B4095" s="58" t="s">
        <v>182</v>
      </c>
      <c r="C4095" s="58">
        <v>11</v>
      </c>
      <c r="D4095" s="58">
        <v>114</v>
      </c>
      <c r="E4095" s="59">
        <v>63.107100000000003</v>
      </c>
    </row>
    <row r="4096" spans="1:5" ht="15" x14ac:dyDescent="0.35">
      <c r="A4096" s="58" t="s">
        <v>315</v>
      </c>
      <c r="B4096" s="58" t="s">
        <v>182</v>
      </c>
      <c r="C4096" s="58">
        <v>12</v>
      </c>
      <c r="D4096" s="58">
        <v>115</v>
      </c>
      <c r="E4096" s="59">
        <v>75.218199999999996</v>
      </c>
    </row>
    <row r="4097" spans="1:5" ht="15" x14ac:dyDescent="0.35">
      <c r="A4097" s="58" t="s">
        <v>315</v>
      </c>
      <c r="B4097" s="58" t="s">
        <v>176</v>
      </c>
      <c r="C4097" s="58">
        <v>1</v>
      </c>
      <c r="D4097" s="58">
        <v>104</v>
      </c>
      <c r="E4097" s="59">
        <v>208</v>
      </c>
    </row>
    <row r="4098" spans="1:5" ht="15" x14ac:dyDescent="0.35">
      <c r="A4098" s="58" t="s">
        <v>315</v>
      </c>
      <c r="B4098" s="58" t="s">
        <v>176</v>
      </c>
      <c r="C4098" s="58">
        <v>2</v>
      </c>
      <c r="D4098" s="58">
        <v>105</v>
      </c>
      <c r="E4098" s="59">
        <v>208</v>
      </c>
    </row>
    <row r="4099" spans="1:5" ht="15" x14ac:dyDescent="0.35">
      <c r="A4099" s="58" t="s">
        <v>315</v>
      </c>
      <c r="B4099" s="58" t="s">
        <v>176</v>
      </c>
      <c r="C4099" s="58">
        <v>3</v>
      </c>
      <c r="D4099" s="58">
        <v>106</v>
      </c>
      <c r="E4099" s="59">
        <v>208</v>
      </c>
    </row>
    <row r="4100" spans="1:5" ht="15" x14ac:dyDescent="0.35">
      <c r="A4100" s="58" t="s">
        <v>315</v>
      </c>
      <c r="B4100" s="58" t="s">
        <v>176</v>
      </c>
      <c r="C4100" s="58">
        <v>4</v>
      </c>
      <c r="D4100" s="58">
        <v>107</v>
      </c>
      <c r="E4100" s="59">
        <v>208</v>
      </c>
    </row>
    <row r="4101" spans="1:5" ht="15" x14ac:dyDescent="0.35">
      <c r="A4101" s="58" t="s">
        <v>315</v>
      </c>
      <c r="B4101" s="58" t="s">
        <v>176</v>
      </c>
      <c r="C4101" s="58">
        <v>5</v>
      </c>
      <c r="D4101" s="58">
        <v>108</v>
      </c>
      <c r="E4101" s="59">
        <v>208</v>
      </c>
    </row>
    <row r="4102" spans="1:5" ht="15" x14ac:dyDescent="0.35">
      <c r="A4102" s="58" t="s">
        <v>315</v>
      </c>
      <c r="B4102" s="58" t="s">
        <v>176</v>
      </c>
      <c r="C4102" s="58">
        <v>6</v>
      </c>
      <c r="D4102" s="58">
        <v>109</v>
      </c>
      <c r="E4102" s="59">
        <v>208</v>
      </c>
    </row>
    <row r="4103" spans="1:5" ht="15" x14ac:dyDescent="0.35">
      <c r="A4103" s="58" t="s">
        <v>315</v>
      </c>
      <c r="B4103" s="58" t="s">
        <v>176</v>
      </c>
      <c r="C4103" s="58">
        <v>7</v>
      </c>
      <c r="D4103" s="58">
        <v>110</v>
      </c>
      <c r="E4103" s="59">
        <v>208</v>
      </c>
    </row>
    <row r="4104" spans="1:5" ht="15" x14ac:dyDescent="0.35">
      <c r="A4104" s="58" t="s">
        <v>315</v>
      </c>
      <c r="B4104" s="58" t="s">
        <v>176</v>
      </c>
      <c r="C4104" s="58">
        <v>8</v>
      </c>
      <c r="D4104" s="58">
        <v>111</v>
      </c>
      <c r="E4104" s="59">
        <v>208</v>
      </c>
    </row>
    <row r="4105" spans="1:5" ht="15" x14ac:dyDescent="0.35">
      <c r="A4105" s="58" t="s">
        <v>315</v>
      </c>
      <c r="B4105" s="58" t="s">
        <v>176</v>
      </c>
      <c r="C4105" s="58">
        <v>9</v>
      </c>
      <c r="D4105" s="58">
        <v>112</v>
      </c>
      <c r="E4105" s="59">
        <v>208</v>
      </c>
    </row>
    <row r="4106" spans="1:5" ht="15" x14ac:dyDescent="0.35">
      <c r="A4106" s="58" t="s">
        <v>315</v>
      </c>
      <c r="B4106" s="58" t="s">
        <v>176</v>
      </c>
      <c r="C4106" s="58">
        <v>10</v>
      </c>
      <c r="D4106" s="58">
        <v>113</v>
      </c>
      <c r="E4106" s="59">
        <v>208</v>
      </c>
    </row>
    <row r="4107" spans="1:5" ht="15" x14ac:dyDescent="0.35">
      <c r="A4107" s="58" t="s">
        <v>315</v>
      </c>
      <c r="B4107" s="58" t="s">
        <v>176</v>
      </c>
      <c r="C4107" s="58">
        <v>11</v>
      </c>
      <c r="D4107" s="58">
        <v>114</v>
      </c>
      <c r="E4107" s="59">
        <v>208</v>
      </c>
    </row>
    <row r="4108" spans="1:5" ht="15" x14ac:dyDescent="0.35">
      <c r="A4108" s="58" t="s">
        <v>315</v>
      </c>
      <c r="B4108" s="58" t="s">
        <v>176</v>
      </c>
      <c r="C4108" s="58">
        <v>12</v>
      </c>
      <c r="D4108" s="58">
        <v>115</v>
      </c>
      <c r="E4108" s="59">
        <v>208</v>
      </c>
    </row>
    <row r="4109" spans="1:5" ht="15" x14ac:dyDescent="0.35">
      <c r="A4109" s="58" t="s">
        <v>315</v>
      </c>
      <c r="B4109" s="58" t="s">
        <v>172</v>
      </c>
      <c r="C4109" s="58">
        <v>1</v>
      </c>
      <c r="D4109" s="58">
        <v>104</v>
      </c>
      <c r="E4109" s="59">
        <v>224</v>
      </c>
    </row>
    <row r="4110" spans="1:5" ht="15" x14ac:dyDescent="0.35">
      <c r="A4110" s="58" t="s">
        <v>315</v>
      </c>
      <c r="B4110" s="58" t="s">
        <v>172</v>
      </c>
      <c r="C4110" s="58">
        <v>2</v>
      </c>
      <c r="D4110" s="58">
        <v>105</v>
      </c>
      <c r="E4110" s="59">
        <v>224</v>
      </c>
    </row>
    <row r="4111" spans="1:5" ht="15" x14ac:dyDescent="0.35">
      <c r="A4111" s="58" t="s">
        <v>315</v>
      </c>
      <c r="B4111" s="58" t="s">
        <v>172</v>
      </c>
      <c r="C4111" s="58">
        <v>3</v>
      </c>
      <c r="D4111" s="58">
        <v>106</v>
      </c>
      <c r="E4111" s="59">
        <v>224</v>
      </c>
    </row>
    <row r="4112" spans="1:5" ht="15" x14ac:dyDescent="0.35">
      <c r="A4112" s="58" t="s">
        <v>315</v>
      </c>
      <c r="B4112" s="58" t="s">
        <v>172</v>
      </c>
      <c r="C4112" s="58">
        <v>4</v>
      </c>
      <c r="D4112" s="58">
        <v>107</v>
      </c>
      <c r="E4112" s="59">
        <v>224</v>
      </c>
    </row>
    <row r="4113" spans="1:5" ht="15" x14ac:dyDescent="0.35">
      <c r="A4113" s="58" t="s">
        <v>315</v>
      </c>
      <c r="B4113" s="58" t="s">
        <v>172</v>
      </c>
      <c r="C4113" s="58">
        <v>5</v>
      </c>
      <c r="D4113" s="58">
        <v>108</v>
      </c>
      <c r="E4113" s="59">
        <v>224</v>
      </c>
    </row>
    <row r="4114" spans="1:5" ht="15" x14ac:dyDescent="0.35">
      <c r="A4114" s="58" t="s">
        <v>315</v>
      </c>
      <c r="B4114" s="58" t="s">
        <v>172</v>
      </c>
      <c r="C4114" s="58">
        <v>6</v>
      </c>
      <c r="D4114" s="58">
        <v>109</v>
      </c>
      <c r="E4114" s="59">
        <v>224</v>
      </c>
    </row>
    <row r="4115" spans="1:5" ht="15" x14ac:dyDescent="0.35">
      <c r="A4115" s="58" t="s">
        <v>315</v>
      </c>
      <c r="B4115" s="58" t="s">
        <v>172</v>
      </c>
      <c r="C4115" s="58">
        <v>7</v>
      </c>
      <c r="D4115" s="58">
        <v>110</v>
      </c>
      <c r="E4115" s="59">
        <v>224</v>
      </c>
    </row>
    <row r="4116" spans="1:5" ht="15" x14ac:dyDescent="0.35">
      <c r="A4116" s="58" t="s">
        <v>315</v>
      </c>
      <c r="B4116" s="58" t="s">
        <v>172</v>
      </c>
      <c r="C4116" s="58">
        <v>8</v>
      </c>
      <c r="D4116" s="58">
        <v>111</v>
      </c>
      <c r="E4116" s="59">
        <v>224</v>
      </c>
    </row>
    <row r="4117" spans="1:5" ht="15" x14ac:dyDescent="0.35">
      <c r="A4117" s="58" t="s">
        <v>315</v>
      </c>
      <c r="B4117" s="58" t="s">
        <v>172</v>
      </c>
      <c r="C4117" s="58">
        <v>9</v>
      </c>
      <c r="D4117" s="58">
        <v>112</v>
      </c>
      <c r="E4117" s="59">
        <v>224</v>
      </c>
    </row>
    <row r="4118" spans="1:5" ht="15" x14ac:dyDescent="0.35">
      <c r="A4118" s="58" t="s">
        <v>315</v>
      </c>
      <c r="B4118" s="58" t="s">
        <v>172</v>
      </c>
      <c r="C4118" s="58">
        <v>10</v>
      </c>
      <c r="D4118" s="58">
        <v>113</v>
      </c>
      <c r="E4118" s="59">
        <v>224</v>
      </c>
    </row>
    <row r="4119" spans="1:5" ht="15" x14ac:dyDescent="0.35">
      <c r="A4119" s="58" t="s">
        <v>315</v>
      </c>
      <c r="B4119" s="58" t="s">
        <v>172</v>
      </c>
      <c r="C4119" s="58">
        <v>11</v>
      </c>
      <c r="D4119" s="58">
        <v>114</v>
      </c>
      <c r="E4119" s="59">
        <v>224</v>
      </c>
    </row>
    <row r="4120" spans="1:5" ht="15" x14ac:dyDescent="0.35">
      <c r="A4120" s="58" t="s">
        <v>315</v>
      </c>
      <c r="B4120" s="58" t="s">
        <v>172</v>
      </c>
      <c r="C4120" s="58">
        <v>12</v>
      </c>
      <c r="D4120" s="58">
        <v>115</v>
      </c>
      <c r="E4120" s="59">
        <v>224</v>
      </c>
    </row>
    <row r="4121" spans="1:5" ht="15" x14ac:dyDescent="0.35">
      <c r="A4121" s="58" t="s">
        <v>315</v>
      </c>
      <c r="B4121" s="58" t="s">
        <v>180</v>
      </c>
      <c r="C4121" s="58">
        <v>1</v>
      </c>
      <c r="D4121" s="58">
        <v>104</v>
      </c>
      <c r="E4121" s="59">
        <v>215.2706</v>
      </c>
    </row>
    <row r="4122" spans="1:5" ht="15" x14ac:dyDescent="0.35">
      <c r="A4122" s="58" t="s">
        <v>315</v>
      </c>
      <c r="B4122" s="58" t="s">
        <v>180</v>
      </c>
      <c r="C4122" s="58">
        <v>2</v>
      </c>
      <c r="D4122" s="58">
        <v>105</v>
      </c>
      <c r="E4122" s="59">
        <v>215.2706</v>
      </c>
    </row>
    <row r="4123" spans="1:5" ht="15" x14ac:dyDescent="0.35">
      <c r="A4123" s="58" t="s">
        <v>315</v>
      </c>
      <c r="B4123" s="58" t="s">
        <v>180</v>
      </c>
      <c r="C4123" s="58">
        <v>3</v>
      </c>
      <c r="D4123" s="58">
        <v>106</v>
      </c>
      <c r="E4123" s="59">
        <v>215.2706</v>
      </c>
    </row>
    <row r="4124" spans="1:5" ht="15" x14ac:dyDescent="0.35">
      <c r="A4124" s="58" t="s">
        <v>315</v>
      </c>
      <c r="B4124" s="58" t="s">
        <v>180</v>
      </c>
      <c r="C4124" s="58">
        <v>4</v>
      </c>
      <c r="D4124" s="58">
        <v>107</v>
      </c>
      <c r="E4124" s="59">
        <v>215.2706</v>
      </c>
    </row>
    <row r="4125" spans="1:5" ht="15" x14ac:dyDescent="0.35">
      <c r="A4125" s="58" t="s">
        <v>315</v>
      </c>
      <c r="B4125" s="58" t="s">
        <v>180</v>
      </c>
      <c r="C4125" s="58">
        <v>5</v>
      </c>
      <c r="D4125" s="58">
        <v>108</v>
      </c>
      <c r="E4125" s="59">
        <v>215.2706</v>
      </c>
    </row>
    <row r="4126" spans="1:5" ht="15" x14ac:dyDescent="0.35">
      <c r="A4126" s="58" t="s">
        <v>315</v>
      </c>
      <c r="B4126" s="58" t="s">
        <v>180</v>
      </c>
      <c r="C4126" s="58">
        <v>6</v>
      </c>
      <c r="D4126" s="58">
        <v>109</v>
      </c>
      <c r="E4126" s="59">
        <v>215.2706</v>
      </c>
    </row>
    <row r="4127" spans="1:5" ht="15" x14ac:dyDescent="0.35">
      <c r="A4127" s="58" t="s">
        <v>315</v>
      </c>
      <c r="B4127" s="58" t="s">
        <v>180</v>
      </c>
      <c r="C4127" s="58">
        <v>7</v>
      </c>
      <c r="D4127" s="58">
        <v>110</v>
      </c>
      <c r="E4127" s="59">
        <v>215.2706</v>
      </c>
    </row>
    <row r="4128" spans="1:5" ht="15" x14ac:dyDescent="0.35">
      <c r="A4128" s="58" t="s">
        <v>315</v>
      </c>
      <c r="B4128" s="58" t="s">
        <v>180</v>
      </c>
      <c r="C4128" s="58">
        <v>8</v>
      </c>
      <c r="D4128" s="58">
        <v>111</v>
      </c>
      <c r="E4128" s="59">
        <v>215.2706</v>
      </c>
    </row>
    <row r="4129" spans="1:5" ht="15" x14ac:dyDescent="0.35">
      <c r="A4129" s="58" t="s">
        <v>315</v>
      </c>
      <c r="B4129" s="58" t="s">
        <v>180</v>
      </c>
      <c r="C4129" s="58">
        <v>9</v>
      </c>
      <c r="D4129" s="58">
        <v>112</v>
      </c>
      <c r="E4129" s="59">
        <v>215.2706</v>
      </c>
    </row>
    <row r="4130" spans="1:5" ht="15" x14ac:dyDescent="0.35">
      <c r="A4130" s="58" t="s">
        <v>315</v>
      </c>
      <c r="B4130" s="58" t="s">
        <v>180</v>
      </c>
      <c r="C4130" s="58">
        <v>10</v>
      </c>
      <c r="D4130" s="58">
        <v>113</v>
      </c>
      <c r="E4130" s="59">
        <v>215.2706</v>
      </c>
    </row>
    <row r="4131" spans="1:5" ht="15" x14ac:dyDescent="0.35">
      <c r="A4131" s="58" t="s">
        <v>315</v>
      </c>
      <c r="B4131" s="58" t="s">
        <v>180</v>
      </c>
      <c r="C4131" s="58">
        <v>11</v>
      </c>
      <c r="D4131" s="58">
        <v>114</v>
      </c>
      <c r="E4131" s="59">
        <v>215.2706</v>
      </c>
    </row>
    <row r="4132" spans="1:5" ht="15" x14ac:dyDescent="0.35">
      <c r="A4132" s="58" t="s">
        <v>315</v>
      </c>
      <c r="B4132" s="58" t="s">
        <v>180</v>
      </c>
      <c r="C4132" s="58">
        <v>12</v>
      </c>
      <c r="D4132" s="58">
        <v>115</v>
      </c>
      <c r="E4132" s="59">
        <v>215.2706</v>
      </c>
    </row>
    <row r="4133" spans="1:5" ht="15" x14ac:dyDescent="0.35">
      <c r="A4133" s="58" t="s">
        <v>260</v>
      </c>
      <c r="B4133" s="58" t="s">
        <v>182</v>
      </c>
      <c r="C4133" s="58">
        <v>1</v>
      </c>
      <c r="D4133" s="58">
        <v>104</v>
      </c>
      <c r="E4133" s="59">
        <v>357.52</v>
      </c>
    </row>
    <row r="4134" spans="1:5" ht="15" x14ac:dyDescent="0.35">
      <c r="A4134" s="58" t="s">
        <v>260</v>
      </c>
      <c r="B4134" s="58" t="s">
        <v>182</v>
      </c>
      <c r="C4134" s="58">
        <v>2</v>
      </c>
      <c r="D4134" s="58">
        <v>105</v>
      </c>
      <c r="E4134" s="59">
        <v>7.5499999999999998E-2</v>
      </c>
    </row>
    <row r="4135" spans="1:5" ht="15" x14ac:dyDescent="0.35">
      <c r="A4135" s="58" t="s">
        <v>260</v>
      </c>
      <c r="B4135" s="58" t="s">
        <v>182</v>
      </c>
      <c r="C4135" s="58">
        <v>3</v>
      </c>
      <c r="D4135" s="58">
        <v>106</v>
      </c>
      <c r="E4135" s="59">
        <v>7.5499999999999998E-2</v>
      </c>
    </row>
    <row r="4136" spans="1:5" ht="15" x14ac:dyDescent="0.35">
      <c r="A4136" s="58" t="s">
        <v>260</v>
      </c>
      <c r="B4136" s="58" t="s">
        <v>182</v>
      </c>
      <c r="C4136" s="58">
        <v>4</v>
      </c>
      <c r="D4136" s="58">
        <v>107</v>
      </c>
      <c r="E4136" s="59">
        <v>7.5499999999999998E-2</v>
      </c>
    </row>
    <row r="4137" spans="1:5" ht="15" x14ac:dyDescent="0.35">
      <c r="A4137" s="58" t="s">
        <v>260</v>
      </c>
      <c r="B4137" s="58" t="s">
        <v>182</v>
      </c>
      <c r="C4137" s="58">
        <v>5</v>
      </c>
      <c r="D4137" s="58">
        <v>108</v>
      </c>
      <c r="E4137" s="59">
        <v>7.5499999999999998E-2</v>
      </c>
    </row>
    <row r="4138" spans="1:5" ht="15" x14ac:dyDescent="0.35">
      <c r="A4138" s="58" t="s">
        <v>260</v>
      </c>
      <c r="B4138" s="58" t="s">
        <v>182</v>
      </c>
      <c r="C4138" s="58">
        <v>6</v>
      </c>
      <c r="D4138" s="58">
        <v>109</v>
      </c>
      <c r="E4138" s="59">
        <v>7.5499999999999998E-2</v>
      </c>
    </row>
    <row r="4139" spans="1:5" ht="15" x14ac:dyDescent="0.35">
      <c r="A4139" s="58" t="s">
        <v>260</v>
      </c>
      <c r="B4139" s="58" t="s">
        <v>182</v>
      </c>
      <c r="C4139" s="58">
        <v>7</v>
      </c>
      <c r="D4139" s="58">
        <v>110</v>
      </c>
      <c r="E4139" s="59">
        <v>7.5499999999999998E-2</v>
      </c>
    </row>
    <row r="4140" spans="1:5" ht="15" x14ac:dyDescent="0.35">
      <c r="A4140" s="58" t="s">
        <v>260</v>
      </c>
      <c r="B4140" s="58" t="s">
        <v>182</v>
      </c>
      <c r="C4140" s="58">
        <v>8</v>
      </c>
      <c r="D4140" s="58">
        <v>111</v>
      </c>
      <c r="E4140" s="59">
        <v>7.5499999999999998E-2</v>
      </c>
    </row>
    <row r="4141" spans="1:5" ht="15" x14ac:dyDescent="0.35">
      <c r="A4141" s="58" t="s">
        <v>260</v>
      </c>
      <c r="B4141" s="58" t="s">
        <v>182</v>
      </c>
      <c r="C4141" s="58">
        <v>9</v>
      </c>
      <c r="D4141" s="58">
        <v>112</v>
      </c>
      <c r="E4141" s="59">
        <v>7.5499999999999998E-2</v>
      </c>
    </row>
    <row r="4142" spans="1:5" ht="15" x14ac:dyDescent="0.35">
      <c r="A4142" s="58" t="s">
        <v>260</v>
      </c>
      <c r="B4142" s="58" t="s">
        <v>182</v>
      </c>
      <c r="C4142" s="58">
        <v>10</v>
      </c>
      <c r="D4142" s="58">
        <v>113</v>
      </c>
      <c r="E4142" s="59">
        <v>7.5499999999999998E-2</v>
      </c>
    </row>
    <row r="4143" spans="1:5" ht="15" x14ac:dyDescent="0.35">
      <c r="A4143" s="58" t="s">
        <v>260</v>
      </c>
      <c r="B4143" s="58" t="s">
        <v>182</v>
      </c>
      <c r="C4143" s="58">
        <v>11</v>
      </c>
      <c r="D4143" s="58">
        <v>114</v>
      </c>
      <c r="E4143" s="59">
        <v>7.5499999999999998E-2</v>
      </c>
    </row>
    <row r="4144" spans="1:5" ht="15" x14ac:dyDescent="0.35">
      <c r="A4144" s="58" t="s">
        <v>260</v>
      </c>
      <c r="B4144" s="58" t="s">
        <v>182</v>
      </c>
      <c r="C4144" s="58">
        <v>12</v>
      </c>
      <c r="D4144" s="58">
        <v>115</v>
      </c>
      <c r="E4144" s="59">
        <v>7.5499999999999998E-2</v>
      </c>
    </row>
    <row r="4145" spans="1:5" ht="15" x14ac:dyDescent="0.35">
      <c r="A4145" s="58" t="s">
        <v>260</v>
      </c>
      <c r="B4145" s="58" t="s">
        <v>176</v>
      </c>
      <c r="C4145" s="58">
        <v>1</v>
      </c>
      <c r="D4145" s="58">
        <v>104</v>
      </c>
      <c r="E4145" s="59">
        <v>362.5</v>
      </c>
    </row>
    <row r="4146" spans="1:5" ht="15" x14ac:dyDescent="0.35">
      <c r="A4146" s="58" t="s">
        <v>260</v>
      </c>
      <c r="B4146" s="58" t="s">
        <v>176</v>
      </c>
      <c r="C4146" s="58">
        <v>2</v>
      </c>
      <c r="D4146" s="58">
        <v>105</v>
      </c>
      <c r="E4146" s="59">
        <v>362.5</v>
      </c>
    </row>
    <row r="4147" spans="1:5" ht="15" x14ac:dyDescent="0.35">
      <c r="A4147" s="58" t="s">
        <v>260</v>
      </c>
      <c r="B4147" s="58" t="s">
        <v>176</v>
      </c>
      <c r="C4147" s="58">
        <v>3</v>
      </c>
      <c r="D4147" s="58">
        <v>106</v>
      </c>
      <c r="E4147" s="59">
        <v>362.5</v>
      </c>
    </row>
    <row r="4148" spans="1:5" ht="15" x14ac:dyDescent="0.35">
      <c r="A4148" s="58" t="s">
        <v>260</v>
      </c>
      <c r="B4148" s="58" t="s">
        <v>176</v>
      </c>
      <c r="C4148" s="58">
        <v>4</v>
      </c>
      <c r="D4148" s="58">
        <v>107</v>
      </c>
      <c r="E4148" s="59">
        <v>362.5</v>
      </c>
    </row>
    <row r="4149" spans="1:5" ht="15" x14ac:dyDescent="0.35">
      <c r="A4149" s="58" t="s">
        <v>260</v>
      </c>
      <c r="B4149" s="58" t="s">
        <v>176</v>
      </c>
      <c r="C4149" s="58">
        <v>5</v>
      </c>
      <c r="D4149" s="58">
        <v>108</v>
      </c>
      <c r="E4149" s="59">
        <v>362.5</v>
      </c>
    </row>
    <row r="4150" spans="1:5" ht="15" x14ac:dyDescent="0.35">
      <c r="A4150" s="58" t="s">
        <v>260</v>
      </c>
      <c r="B4150" s="58" t="s">
        <v>176</v>
      </c>
      <c r="C4150" s="58">
        <v>6</v>
      </c>
      <c r="D4150" s="58">
        <v>109</v>
      </c>
      <c r="E4150" s="59">
        <v>362.5</v>
      </c>
    </row>
    <row r="4151" spans="1:5" ht="15" x14ac:dyDescent="0.35">
      <c r="A4151" s="58" t="s">
        <v>260</v>
      </c>
      <c r="B4151" s="58" t="s">
        <v>176</v>
      </c>
      <c r="C4151" s="58">
        <v>7</v>
      </c>
      <c r="D4151" s="58">
        <v>110</v>
      </c>
      <c r="E4151" s="59">
        <v>362.5</v>
      </c>
    </row>
    <row r="4152" spans="1:5" ht="15" x14ac:dyDescent="0.35">
      <c r="A4152" s="58" t="s">
        <v>260</v>
      </c>
      <c r="B4152" s="58" t="s">
        <v>176</v>
      </c>
      <c r="C4152" s="58">
        <v>8</v>
      </c>
      <c r="D4152" s="58">
        <v>111</v>
      </c>
      <c r="E4152" s="59">
        <v>362.5</v>
      </c>
    </row>
    <row r="4153" spans="1:5" ht="15" x14ac:dyDescent="0.35">
      <c r="A4153" s="58" t="s">
        <v>260</v>
      </c>
      <c r="B4153" s="58" t="s">
        <v>176</v>
      </c>
      <c r="C4153" s="58">
        <v>9</v>
      </c>
      <c r="D4153" s="58">
        <v>112</v>
      </c>
      <c r="E4153" s="59">
        <v>362.5</v>
      </c>
    </row>
    <row r="4154" spans="1:5" ht="15" x14ac:dyDescent="0.35">
      <c r="A4154" s="58" t="s">
        <v>260</v>
      </c>
      <c r="B4154" s="58" t="s">
        <v>176</v>
      </c>
      <c r="C4154" s="58">
        <v>10</v>
      </c>
      <c r="D4154" s="58">
        <v>113</v>
      </c>
      <c r="E4154" s="59">
        <v>362.5</v>
      </c>
    </row>
    <row r="4155" spans="1:5" ht="15" x14ac:dyDescent="0.35">
      <c r="A4155" s="58" t="s">
        <v>260</v>
      </c>
      <c r="B4155" s="58" t="s">
        <v>176</v>
      </c>
      <c r="C4155" s="58">
        <v>11</v>
      </c>
      <c r="D4155" s="58">
        <v>114</v>
      </c>
      <c r="E4155" s="59">
        <v>362.5</v>
      </c>
    </row>
    <row r="4156" spans="1:5" ht="15" x14ac:dyDescent="0.35">
      <c r="A4156" s="58" t="s">
        <v>260</v>
      </c>
      <c r="B4156" s="58" t="s">
        <v>176</v>
      </c>
      <c r="C4156" s="58">
        <v>12</v>
      </c>
      <c r="D4156" s="58">
        <v>115</v>
      </c>
      <c r="E4156" s="59">
        <v>362.5</v>
      </c>
    </row>
    <row r="4157" spans="1:5" ht="15" x14ac:dyDescent="0.35">
      <c r="A4157" s="58" t="s">
        <v>260</v>
      </c>
      <c r="B4157" s="58" t="s">
        <v>172</v>
      </c>
      <c r="C4157" s="58">
        <v>1</v>
      </c>
      <c r="D4157" s="58">
        <v>104</v>
      </c>
      <c r="E4157" s="59">
        <v>153</v>
      </c>
    </row>
    <row r="4158" spans="1:5" ht="15" x14ac:dyDescent="0.35">
      <c r="A4158" s="58" t="s">
        <v>260</v>
      </c>
      <c r="B4158" s="58" t="s">
        <v>172</v>
      </c>
      <c r="C4158" s="58">
        <v>2</v>
      </c>
      <c r="D4158" s="58">
        <v>105</v>
      </c>
      <c r="E4158" s="59">
        <v>153</v>
      </c>
    </row>
    <row r="4159" spans="1:5" ht="15" x14ac:dyDescent="0.35">
      <c r="A4159" s="58" t="s">
        <v>260</v>
      </c>
      <c r="B4159" s="58" t="s">
        <v>172</v>
      </c>
      <c r="C4159" s="58">
        <v>3</v>
      </c>
      <c r="D4159" s="58">
        <v>106</v>
      </c>
      <c r="E4159" s="59">
        <v>153</v>
      </c>
    </row>
    <row r="4160" spans="1:5" ht="15" x14ac:dyDescent="0.35">
      <c r="A4160" s="58" t="s">
        <v>260</v>
      </c>
      <c r="B4160" s="58" t="s">
        <v>172</v>
      </c>
      <c r="C4160" s="58">
        <v>4</v>
      </c>
      <c r="D4160" s="58">
        <v>107</v>
      </c>
      <c r="E4160" s="59">
        <v>153</v>
      </c>
    </row>
    <row r="4161" spans="1:5" ht="15" x14ac:dyDescent="0.35">
      <c r="A4161" s="58" t="s">
        <v>260</v>
      </c>
      <c r="B4161" s="58" t="s">
        <v>172</v>
      </c>
      <c r="C4161" s="58">
        <v>5</v>
      </c>
      <c r="D4161" s="58">
        <v>108</v>
      </c>
      <c r="E4161" s="59">
        <v>153</v>
      </c>
    </row>
    <row r="4162" spans="1:5" ht="15" x14ac:dyDescent="0.35">
      <c r="A4162" s="58" t="s">
        <v>260</v>
      </c>
      <c r="B4162" s="58" t="s">
        <v>172</v>
      </c>
      <c r="C4162" s="58">
        <v>6</v>
      </c>
      <c r="D4162" s="58">
        <v>109</v>
      </c>
      <c r="E4162" s="59">
        <v>153</v>
      </c>
    </row>
    <row r="4163" spans="1:5" ht="15" x14ac:dyDescent="0.35">
      <c r="A4163" s="58" t="s">
        <v>260</v>
      </c>
      <c r="B4163" s="58" t="s">
        <v>172</v>
      </c>
      <c r="C4163" s="58">
        <v>7</v>
      </c>
      <c r="D4163" s="58">
        <v>110</v>
      </c>
      <c r="E4163" s="59">
        <v>153</v>
      </c>
    </row>
    <row r="4164" spans="1:5" ht="15" x14ac:dyDescent="0.35">
      <c r="A4164" s="58" t="s">
        <v>260</v>
      </c>
      <c r="B4164" s="58" t="s">
        <v>172</v>
      </c>
      <c r="C4164" s="58">
        <v>8</v>
      </c>
      <c r="D4164" s="58">
        <v>111</v>
      </c>
      <c r="E4164" s="59">
        <v>153</v>
      </c>
    </row>
    <row r="4165" spans="1:5" ht="15" x14ac:dyDescent="0.35">
      <c r="A4165" s="58" t="s">
        <v>260</v>
      </c>
      <c r="B4165" s="58" t="s">
        <v>172</v>
      </c>
      <c r="C4165" s="58">
        <v>9</v>
      </c>
      <c r="D4165" s="58">
        <v>112</v>
      </c>
      <c r="E4165" s="59">
        <v>153</v>
      </c>
    </row>
    <row r="4166" spans="1:5" ht="15" x14ac:dyDescent="0.35">
      <c r="A4166" s="58" t="s">
        <v>260</v>
      </c>
      <c r="B4166" s="58" t="s">
        <v>172</v>
      </c>
      <c r="C4166" s="58">
        <v>10</v>
      </c>
      <c r="D4166" s="58">
        <v>113</v>
      </c>
      <c r="E4166" s="59">
        <v>153</v>
      </c>
    </row>
    <row r="4167" spans="1:5" ht="15" x14ac:dyDescent="0.35">
      <c r="A4167" s="58" t="s">
        <v>260</v>
      </c>
      <c r="B4167" s="58" t="s">
        <v>172</v>
      </c>
      <c r="C4167" s="58">
        <v>11</v>
      </c>
      <c r="D4167" s="58">
        <v>114</v>
      </c>
      <c r="E4167" s="59">
        <v>153</v>
      </c>
    </row>
    <row r="4168" spans="1:5" ht="15" x14ac:dyDescent="0.35">
      <c r="A4168" s="58" t="s">
        <v>260</v>
      </c>
      <c r="B4168" s="58" t="s">
        <v>172</v>
      </c>
      <c r="C4168" s="58">
        <v>12</v>
      </c>
      <c r="D4168" s="58">
        <v>115</v>
      </c>
      <c r="E4168" s="59">
        <v>153</v>
      </c>
    </row>
    <row r="4169" spans="1:5" ht="15" x14ac:dyDescent="0.35">
      <c r="A4169" s="58" t="s">
        <v>260</v>
      </c>
      <c r="B4169" s="58" t="s">
        <v>180</v>
      </c>
      <c r="C4169" s="58">
        <v>1</v>
      </c>
      <c r="D4169" s="58">
        <v>104</v>
      </c>
      <c r="E4169" s="59">
        <v>360.83890000000002</v>
      </c>
    </row>
    <row r="4170" spans="1:5" ht="15" x14ac:dyDescent="0.35">
      <c r="A4170" s="58" t="s">
        <v>260</v>
      </c>
      <c r="B4170" s="58" t="s">
        <v>180</v>
      </c>
      <c r="C4170" s="58">
        <v>2</v>
      </c>
      <c r="D4170" s="58">
        <v>105</v>
      </c>
      <c r="E4170" s="59">
        <v>360.83890000000002</v>
      </c>
    </row>
    <row r="4171" spans="1:5" ht="15" x14ac:dyDescent="0.35">
      <c r="A4171" s="58" t="s">
        <v>260</v>
      </c>
      <c r="B4171" s="58" t="s">
        <v>180</v>
      </c>
      <c r="C4171" s="58">
        <v>3</v>
      </c>
      <c r="D4171" s="58">
        <v>106</v>
      </c>
      <c r="E4171" s="59">
        <v>360.83890000000002</v>
      </c>
    </row>
    <row r="4172" spans="1:5" ht="15" x14ac:dyDescent="0.35">
      <c r="A4172" s="58" t="s">
        <v>260</v>
      </c>
      <c r="B4172" s="58" t="s">
        <v>180</v>
      </c>
      <c r="C4172" s="58">
        <v>4</v>
      </c>
      <c r="D4172" s="58">
        <v>107</v>
      </c>
      <c r="E4172" s="59">
        <v>360.83890000000002</v>
      </c>
    </row>
    <row r="4173" spans="1:5" ht="15" x14ac:dyDescent="0.35">
      <c r="A4173" s="58" t="s">
        <v>260</v>
      </c>
      <c r="B4173" s="58" t="s">
        <v>180</v>
      </c>
      <c r="C4173" s="58">
        <v>5</v>
      </c>
      <c r="D4173" s="58">
        <v>108</v>
      </c>
      <c r="E4173" s="59">
        <v>360.83890000000002</v>
      </c>
    </row>
    <row r="4174" spans="1:5" ht="15" x14ac:dyDescent="0.35">
      <c r="A4174" s="58" t="s">
        <v>260</v>
      </c>
      <c r="B4174" s="58" t="s">
        <v>180</v>
      </c>
      <c r="C4174" s="58">
        <v>6</v>
      </c>
      <c r="D4174" s="58">
        <v>109</v>
      </c>
      <c r="E4174" s="59">
        <v>360.83890000000002</v>
      </c>
    </row>
    <row r="4175" spans="1:5" ht="15" x14ac:dyDescent="0.35">
      <c r="A4175" s="58" t="s">
        <v>260</v>
      </c>
      <c r="B4175" s="58" t="s">
        <v>180</v>
      </c>
      <c r="C4175" s="58">
        <v>7</v>
      </c>
      <c r="D4175" s="58">
        <v>110</v>
      </c>
      <c r="E4175" s="59">
        <v>360.83890000000002</v>
      </c>
    </row>
    <row r="4176" spans="1:5" ht="15" x14ac:dyDescent="0.35">
      <c r="A4176" s="58" t="s">
        <v>260</v>
      </c>
      <c r="B4176" s="58" t="s">
        <v>180</v>
      </c>
      <c r="C4176" s="58">
        <v>8</v>
      </c>
      <c r="D4176" s="58">
        <v>111</v>
      </c>
      <c r="E4176" s="59">
        <v>360.83890000000002</v>
      </c>
    </row>
    <row r="4177" spans="1:5" ht="15" x14ac:dyDescent="0.35">
      <c r="A4177" s="58" t="s">
        <v>260</v>
      </c>
      <c r="B4177" s="58" t="s">
        <v>180</v>
      </c>
      <c r="C4177" s="58">
        <v>9</v>
      </c>
      <c r="D4177" s="58">
        <v>112</v>
      </c>
      <c r="E4177" s="59">
        <v>360.83890000000002</v>
      </c>
    </row>
    <row r="4178" spans="1:5" ht="15" x14ac:dyDescent="0.35">
      <c r="A4178" s="58" t="s">
        <v>260</v>
      </c>
      <c r="B4178" s="58" t="s">
        <v>180</v>
      </c>
      <c r="C4178" s="58">
        <v>10</v>
      </c>
      <c r="D4178" s="58">
        <v>113</v>
      </c>
      <c r="E4178" s="59">
        <v>360.83890000000002</v>
      </c>
    </row>
    <row r="4179" spans="1:5" ht="15" x14ac:dyDescent="0.35">
      <c r="A4179" s="58" t="s">
        <v>260</v>
      </c>
      <c r="B4179" s="58" t="s">
        <v>180</v>
      </c>
      <c r="C4179" s="58">
        <v>11</v>
      </c>
      <c r="D4179" s="58">
        <v>114</v>
      </c>
      <c r="E4179" s="59">
        <v>360.83890000000002</v>
      </c>
    </row>
    <row r="4180" spans="1:5" ht="15" x14ac:dyDescent="0.35">
      <c r="A4180" s="58" t="s">
        <v>260</v>
      </c>
      <c r="B4180" s="58" t="s">
        <v>180</v>
      </c>
      <c r="C4180" s="58">
        <v>12</v>
      </c>
      <c r="D4180" s="58">
        <v>115</v>
      </c>
      <c r="E4180" s="59">
        <v>360.83890000000002</v>
      </c>
    </row>
    <row r="4181" spans="1:5" ht="15" x14ac:dyDescent="0.35">
      <c r="A4181" s="58" t="s">
        <v>265</v>
      </c>
      <c r="B4181" s="58" t="s">
        <v>182</v>
      </c>
      <c r="C4181" s="58">
        <v>1</v>
      </c>
      <c r="D4181" s="58">
        <v>104</v>
      </c>
      <c r="E4181" s="59">
        <v>143.69319999999999</v>
      </c>
    </row>
    <row r="4182" spans="1:5" ht="15" x14ac:dyDescent="0.35">
      <c r="A4182" s="58" t="s">
        <v>265</v>
      </c>
      <c r="B4182" s="58" t="s">
        <v>182</v>
      </c>
      <c r="C4182" s="58">
        <v>2</v>
      </c>
      <c r="D4182" s="58">
        <v>105</v>
      </c>
      <c r="E4182" s="59">
        <v>0</v>
      </c>
    </row>
    <row r="4183" spans="1:5" ht="15" x14ac:dyDescent="0.35">
      <c r="A4183" s="58" t="s">
        <v>265</v>
      </c>
      <c r="B4183" s="58" t="s">
        <v>182</v>
      </c>
      <c r="C4183" s="58">
        <v>3</v>
      </c>
      <c r="D4183" s="58">
        <v>106</v>
      </c>
      <c r="E4183" s="59">
        <v>0</v>
      </c>
    </row>
    <row r="4184" spans="1:5" ht="15" x14ac:dyDescent="0.35">
      <c r="A4184" s="58" t="s">
        <v>265</v>
      </c>
      <c r="B4184" s="58" t="s">
        <v>182</v>
      </c>
      <c r="C4184" s="58">
        <v>4</v>
      </c>
      <c r="D4184" s="58">
        <v>107</v>
      </c>
      <c r="E4184" s="59">
        <v>0</v>
      </c>
    </row>
    <row r="4185" spans="1:5" ht="15" x14ac:dyDescent="0.35">
      <c r="A4185" s="58" t="s">
        <v>265</v>
      </c>
      <c r="B4185" s="58" t="s">
        <v>182</v>
      </c>
      <c r="C4185" s="58">
        <v>5</v>
      </c>
      <c r="D4185" s="58">
        <v>108</v>
      </c>
      <c r="E4185" s="59">
        <v>0</v>
      </c>
    </row>
    <row r="4186" spans="1:5" ht="15" x14ac:dyDescent="0.35">
      <c r="A4186" s="58" t="s">
        <v>265</v>
      </c>
      <c r="B4186" s="58" t="s">
        <v>182</v>
      </c>
      <c r="C4186" s="58">
        <v>6</v>
      </c>
      <c r="D4186" s="58">
        <v>109</v>
      </c>
      <c r="E4186" s="59">
        <v>0</v>
      </c>
    </row>
    <row r="4187" spans="1:5" ht="15" x14ac:dyDescent="0.35">
      <c r="A4187" s="58" t="s">
        <v>265</v>
      </c>
      <c r="B4187" s="58" t="s">
        <v>182</v>
      </c>
      <c r="C4187" s="58">
        <v>7</v>
      </c>
      <c r="D4187" s="58">
        <v>110</v>
      </c>
      <c r="E4187" s="59">
        <v>0</v>
      </c>
    </row>
    <row r="4188" spans="1:5" ht="15" x14ac:dyDescent="0.35">
      <c r="A4188" s="58" t="s">
        <v>265</v>
      </c>
      <c r="B4188" s="58" t="s">
        <v>182</v>
      </c>
      <c r="C4188" s="58">
        <v>8</v>
      </c>
      <c r="D4188" s="58">
        <v>111</v>
      </c>
      <c r="E4188" s="59">
        <v>0</v>
      </c>
    </row>
    <row r="4189" spans="1:5" ht="15" x14ac:dyDescent="0.35">
      <c r="A4189" s="58" t="s">
        <v>265</v>
      </c>
      <c r="B4189" s="58" t="s">
        <v>182</v>
      </c>
      <c r="C4189" s="58">
        <v>9</v>
      </c>
      <c r="D4189" s="58">
        <v>112</v>
      </c>
      <c r="E4189" s="59">
        <v>0</v>
      </c>
    </row>
    <row r="4190" spans="1:5" ht="15" x14ac:dyDescent="0.35">
      <c r="A4190" s="58" t="s">
        <v>265</v>
      </c>
      <c r="B4190" s="58" t="s">
        <v>182</v>
      </c>
      <c r="C4190" s="58">
        <v>10</v>
      </c>
      <c r="D4190" s="58">
        <v>113</v>
      </c>
      <c r="E4190" s="59">
        <v>0</v>
      </c>
    </row>
    <row r="4191" spans="1:5" ht="15" x14ac:dyDescent="0.35">
      <c r="A4191" s="58" t="s">
        <v>265</v>
      </c>
      <c r="B4191" s="58" t="s">
        <v>182</v>
      </c>
      <c r="C4191" s="58">
        <v>11</v>
      </c>
      <c r="D4191" s="58">
        <v>114</v>
      </c>
      <c r="E4191" s="59">
        <v>0</v>
      </c>
    </row>
    <row r="4192" spans="1:5" ht="15" x14ac:dyDescent="0.35">
      <c r="A4192" s="58" t="s">
        <v>265</v>
      </c>
      <c r="B4192" s="58" t="s">
        <v>182</v>
      </c>
      <c r="C4192" s="58">
        <v>12</v>
      </c>
      <c r="D4192" s="58">
        <v>115</v>
      </c>
      <c r="E4192" s="59">
        <v>0</v>
      </c>
    </row>
    <row r="4193" spans="1:5" ht="15" x14ac:dyDescent="0.35">
      <c r="A4193" s="58" t="s">
        <v>265</v>
      </c>
      <c r="B4193" s="58" t="s">
        <v>176</v>
      </c>
      <c r="C4193" s="58">
        <v>1</v>
      </c>
      <c r="D4193" s="58">
        <v>104</v>
      </c>
      <c r="E4193" s="59">
        <v>183.5</v>
      </c>
    </row>
    <row r="4194" spans="1:5" ht="15" x14ac:dyDescent="0.35">
      <c r="A4194" s="58" t="s">
        <v>265</v>
      </c>
      <c r="B4194" s="58" t="s">
        <v>176</v>
      </c>
      <c r="C4194" s="58">
        <v>2</v>
      </c>
      <c r="D4194" s="58">
        <v>105</v>
      </c>
      <c r="E4194" s="59">
        <v>183.5</v>
      </c>
    </row>
    <row r="4195" spans="1:5" ht="15" x14ac:dyDescent="0.35">
      <c r="A4195" s="58" t="s">
        <v>265</v>
      </c>
      <c r="B4195" s="58" t="s">
        <v>176</v>
      </c>
      <c r="C4195" s="58">
        <v>3</v>
      </c>
      <c r="D4195" s="58">
        <v>106</v>
      </c>
      <c r="E4195" s="59">
        <v>183.5</v>
      </c>
    </row>
    <row r="4196" spans="1:5" ht="15" x14ac:dyDescent="0.35">
      <c r="A4196" s="58" t="s">
        <v>265</v>
      </c>
      <c r="B4196" s="58" t="s">
        <v>176</v>
      </c>
      <c r="C4196" s="58">
        <v>4</v>
      </c>
      <c r="D4196" s="58">
        <v>107</v>
      </c>
      <c r="E4196" s="59">
        <v>183.5</v>
      </c>
    </row>
    <row r="4197" spans="1:5" ht="15" x14ac:dyDescent="0.35">
      <c r="A4197" s="58" t="s">
        <v>265</v>
      </c>
      <c r="B4197" s="58" t="s">
        <v>176</v>
      </c>
      <c r="C4197" s="58">
        <v>5</v>
      </c>
      <c r="D4197" s="58">
        <v>108</v>
      </c>
      <c r="E4197" s="59">
        <v>183.5</v>
      </c>
    </row>
    <row r="4198" spans="1:5" ht="15" x14ac:dyDescent="0.35">
      <c r="A4198" s="58" t="s">
        <v>265</v>
      </c>
      <c r="B4198" s="58" t="s">
        <v>176</v>
      </c>
      <c r="C4198" s="58">
        <v>6</v>
      </c>
      <c r="D4198" s="58">
        <v>109</v>
      </c>
      <c r="E4198" s="59">
        <v>183.5</v>
      </c>
    </row>
    <row r="4199" spans="1:5" ht="15" x14ac:dyDescent="0.35">
      <c r="A4199" s="58" t="s">
        <v>265</v>
      </c>
      <c r="B4199" s="58" t="s">
        <v>176</v>
      </c>
      <c r="C4199" s="58">
        <v>7</v>
      </c>
      <c r="D4199" s="58">
        <v>110</v>
      </c>
      <c r="E4199" s="59">
        <v>183.5</v>
      </c>
    </row>
    <row r="4200" spans="1:5" ht="15" x14ac:dyDescent="0.35">
      <c r="A4200" s="58" t="s">
        <v>265</v>
      </c>
      <c r="B4200" s="58" t="s">
        <v>176</v>
      </c>
      <c r="C4200" s="58">
        <v>8</v>
      </c>
      <c r="D4200" s="58">
        <v>111</v>
      </c>
      <c r="E4200" s="59">
        <v>183.5</v>
      </c>
    </row>
    <row r="4201" spans="1:5" ht="15" x14ac:dyDescent="0.35">
      <c r="A4201" s="58" t="s">
        <v>265</v>
      </c>
      <c r="B4201" s="58" t="s">
        <v>176</v>
      </c>
      <c r="C4201" s="58">
        <v>9</v>
      </c>
      <c r="D4201" s="58">
        <v>112</v>
      </c>
      <c r="E4201" s="59">
        <v>183.5</v>
      </c>
    </row>
    <row r="4202" spans="1:5" ht="15" x14ac:dyDescent="0.35">
      <c r="A4202" s="58" t="s">
        <v>265</v>
      </c>
      <c r="B4202" s="58" t="s">
        <v>176</v>
      </c>
      <c r="C4202" s="58">
        <v>10</v>
      </c>
      <c r="D4202" s="58">
        <v>113</v>
      </c>
      <c r="E4202" s="59">
        <v>183.5</v>
      </c>
    </row>
    <row r="4203" spans="1:5" ht="15" x14ac:dyDescent="0.35">
      <c r="A4203" s="58" t="s">
        <v>265</v>
      </c>
      <c r="B4203" s="58" t="s">
        <v>176</v>
      </c>
      <c r="C4203" s="58">
        <v>11</v>
      </c>
      <c r="D4203" s="58">
        <v>114</v>
      </c>
      <c r="E4203" s="59">
        <v>183.5</v>
      </c>
    </row>
    <row r="4204" spans="1:5" ht="15" x14ac:dyDescent="0.35">
      <c r="A4204" s="58" t="s">
        <v>265</v>
      </c>
      <c r="B4204" s="58" t="s">
        <v>176</v>
      </c>
      <c r="C4204" s="58">
        <v>12</v>
      </c>
      <c r="D4204" s="58">
        <v>115</v>
      </c>
      <c r="E4204" s="59">
        <v>183.5</v>
      </c>
    </row>
    <row r="4205" spans="1:5" ht="15" x14ac:dyDescent="0.35">
      <c r="A4205" s="58" t="s">
        <v>265</v>
      </c>
      <c r="B4205" s="58" t="s">
        <v>172</v>
      </c>
      <c r="C4205" s="58">
        <v>1</v>
      </c>
      <c r="D4205" s="58">
        <v>104</v>
      </c>
      <c r="E4205" s="59">
        <v>155</v>
      </c>
    </row>
    <row r="4206" spans="1:5" ht="15" x14ac:dyDescent="0.35">
      <c r="A4206" s="58" t="s">
        <v>265</v>
      </c>
      <c r="B4206" s="58" t="s">
        <v>172</v>
      </c>
      <c r="C4206" s="58">
        <v>2</v>
      </c>
      <c r="D4206" s="58">
        <v>105</v>
      </c>
      <c r="E4206" s="59">
        <v>155</v>
      </c>
    </row>
    <row r="4207" spans="1:5" ht="15" x14ac:dyDescent="0.35">
      <c r="A4207" s="58" t="s">
        <v>265</v>
      </c>
      <c r="B4207" s="58" t="s">
        <v>172</v>
      </c>
      <c r="C4207" s="58">
        <v>3</v>
      </c>
      <c r="D4207" s="58">
        <v>106</v>
      </c>
      <c r="E4207" s="59">
        <v>155</v>
      </c>
    </row>
    <row r="4208" spans="1:5" ht="15" x14ac:dyDescent="0.35">
      <c r="A4208" s="58" t="s">
        <v>265</v>
      </c>
      <c r="B4208" s="58" t="s">
        <v>172</v>
      </c>
      <c r="C4208" s="58">
        <v>4</v>
      </c>
      <c r="D4208" s="58">
        <v>107</v>
      </c>
      <c r="E4208" s="59">
        <v>155</v>
      </c>
    </row>
    <row r="4209" spans="1:5" ht="15" x14ac:dyDescent="0.35">
      <c r="A4209" s="58" t="s">
        <v>265</v>
      </c>
      <c r="B4209" s="58" t="s">
        <v>172</v>
      </c>
      <c r="C4209" s="58">
        <v>5</v>
      </c>
      <c r="D4209" s="58">
        <v>108</v>
      </c>
      <c r="E4209" s="59">
        <v>155</v>
      </c>
    </row>
    <row r="4210" spans="1:5" ht="15" x14ac:dyDescent="0.35">
      <c r="A4210" s="58" t="s">
        <v>265</v>
      </c>
      <c r="B4210" s="58" t="s">
        <v>172</v>
      </c>
      <c r="C4210" s="58">
        <v>6</v>
      </c>
      <c r="D4210" s="58">
        <v>109</v>
      </c>
      <c r="E4210" s="59">
        <v>155</v>
      </c>
    </row>
    <row r="4211" spans="1:5" ht="15" x14ac:dyDescent="0.35">
      <c r="A4211" s="58" t="s">
        <v>265</v>
      </c>
      <c r="B4211" s="58" t="s">
        <v>172</v>
      </c>
      <c r="C4211" s="58">
        <v>7</v>
      </c>
      <c r="D4211" s="58">
        <v>110</v>
      </c>
      <c r="E4211" s="59">
        <v>155</v>
      </c>
    </row>
    <row r="4212" spans="1:5" ht="15" x14ac:dyDescent="0.35">
      <c r="A4212" s="58" t="s">
        <v>265</v>
      </c>
      <c r="B4212" s="58" t="s">
        <v>172</v>
      </c>
      <c r="C4212" s="58">
        <v>8</v>
      </c>
      <c r="D4212" s="58">
        <v>111</v>
      </c>
      <c r="E4212" s="59">
        <v>155</v>
      </c>
    </row>
    <row r="4213" spans="1:5" ht="15" x14ac:dyDescent="0.35">
      <c r="A4213" s="58" t="s">
        <v>265</v>
      </c>
      <c r="B4213" s="58" t="s">
        <v>172</v>
      </c>
      <c r="C4213" s="58">
        <v>9</v>
      </c>
      <c r="D4213" s="58">
        <v>112</v>
      </c>
      <c r="E4213" s="59">
        <v>155</v>
      </c>
    </row>
    <row r="4214" spans="1:5" ht="15" x14ac:dyDescent="0.35">
      <c r="A4214" s="58" t="s">
        <v>265</v>
      </c>
      <c r="B4214" s="58" t="s">
        <v>172</v>
      </c>
      <c r="C4214" s="58">
        <v>10</v>
      </c>
      <c r="D4214" s="58">
        <v>113</v>
      </c>
      <c r="E4214" s="59">
        <v>155</v>
      </c>
    </row>
    <row r="4215" spans="1:5" ht="15" x14ac:dyDescent="0.35">
      <c r="A4215" s="58" t="s">
        <v>265</v>
      </c>
      <c r="B4215" s="58" t="s">
        <v>172</v>
      </c>
      <c r="C4215" s="58">
        <v>11</v>
      </c>
      <c r="D4215" s="58">
        <v>114</v>
      </c>
      <c r="E4215" s="59">
        <v>155</v>
      </c>
    </row>
    <row r="4216" spans="1:5" ht="15" x14ac:dyDescent="0.35">
      <c r="A4216" s="58" t="s">
        <v>265</v>
      </c>
      <c r="B4216" s="58" t="s">
        <v>172</v>
      </c>
      <c r="C4216" s="58">
        <v>12</v>
      </c>
      <c r="D4216" s="58">
        <v>115</v>
      </c>
      <c r="E4216" s="59">
        <v>155</v>
      </c>
    </row>
    <row r="4217" spans="1:5" ht="15" x14ac:dyDescent="0.35">
      <c r="A4217" s="58" t="s">
        <v>265</v>
      </c>
      <c r="B4217" s="58" t="s">
        <v>180</v>
      </c>
      <c r="C4217" s="58">
        <v>1</v>
      </c>
      <c r="D4217" s="58">
        <v>104</v>
      </c>
      <c r="E4217" s="59">
        <v>185.8237</v>
      </c>
    </row>
    <row r="4218" spans="1:5" ht="15" x14ac:dyDescent="0.35">
      <c r="A4218" s="58" t="s">
        <v>265</v>
      </c>
      <c r="B4218" s="58" t="s">
        <v>180</v>
      </c>
      <c r="C4218" s="58">
        <v>2</v>
      </c>
      <c r="D4218" s="58">
        <v>105</v>
      </c>
      <c r="E4218" s="59">
        <v>185.8237</v>
      </c>
    </row>
    <row r="4219" spans="1:5" ht="15" x14ac:dyDescent="0.35">
      <c r="A4219" s="58" t="s">
        <v>265</v>
      </c>
      <c r="B4219" s="58" t="s">
        <v>180</v>
      </c>
      <c r="C4219" s="58">
        <v>3</v>
      </c>
      <c r="D4219" s="58">
        <v>106</v>
      </c>
      <c r="E4219" s="59">
        <v>185.8237</v>
      </c>
    </row>
    <row r="4220" spans="1:5" ht="15" x14ac:dyDescent="0.35">
      <c r="A4220" s="58" t="s">
        <v>265</v>
      </c>
      <c r="B4220" s="58" t="s">
        <v>180</v>
      </c>
      <c r="C4220" s="58">
        <v>4</v>
      </c>
      <c r="D4220" s="58">
        <v>107</v>
      </c>
      <c r="E4220" s="59">
        <v>185.8237</v>
      </c>
    </row>
    <row r="4221" spans="1:5" ht="15" x14ac:dyDescent="0.35">
      <c r="A4221" s="58" t="s">
        <v>265</v>
      </c>
      <c r="B4221" s="58" t="s">
        <v>180</v>
      </c>
      <c r="C4221" s="58">
        <v>5</v>
      </c>
      <c r="D4221" s="58">
        <v>108</v>
      </c>
      <c r="E4221" s="59">
        <v>185.8237</v>
      </c>
    </row>
    <row r="4222" spans="1:5" ht="15" x14ac:dyDescent="0.35">
      <c r="A4222" s="58" t="s">
        <v>265</v>
      </c>
      <c r="B4222" s="58" t="s">
        <v>180</v>
      </c>
      <c r="C4222" s="58">
        <v>6</v>
      </c>
      <c r="D4222" s="58">
        <v>109</v>
      </c>
      <c r="E4222" s="59">
        <v>185.8237</v>
      </c>
    </row>
    <row r="4223" spans="1:5" ht="15" x14ac:dyDescent="0.35">
      <c r="A4223" s="58" t="s">
        <v>265</v>
      </c>
      <c r="B4223" s="58" t="s">
        <v>180</v>
      </c>
      <c r="C4223" s="58">
        <v>7</v>
      </c>
      <c r="D4223" s="58">
        <v>110</v>
      </c>
      <c r="E4223" s="59">
        <v>185.8237</v>
      </c>
    </row>
    <row r="4224" spans="1:5" ht="15" x14ac:dyDescent="0.35">
      <c r="A4224" s="58" t="s">
        <v>265</v>
      </c>
      <c r="B4224" s="58" t="s">
        <v>180</v>
      </c>
      <c r="C4224" s="58">
        <v>8</v>
      </c>
      <c r="D4224" s="58">
        <v>111</v>
      </c>
      <c r="E4224" s="59">
        <v>185.8237</v>
      </c>
    </row>
    <row r="4225" spans="1:5" ht="15" x14ac:dyDescent="0.35">
      <c r="A4225" s="58" t="s">
        <v>265</v>
      </c>
      <c r="B4225" s="58" t="s">
        <v>180</v>
      </c>
      <c r="C4225" s="58">
        <v>9</v>
      </c>
      <c r="D4225" s="58">
        <v>112</v>
      </c>
      <c r="E4225" s="59">
        <v>185.8237</v>
      </c>
    </row>
    <row r="4226" spans="1:5" ht="15" x14ac:dyDescent="0.35">
      <c r="A4226" s="58" t="s">
        <v>265</v>
      </c>
      <c r="B4226" s="58" t="s">
        <v>180</v>
      </c>
      <c r="C4226" s="58">
        <v>10</v>
      </c>
      <c r="D4226" s="58">
        <v>113</v>
      </c>
      <c r="E4226" s="59">
        <v>185.8237</v>
      </c>
    </row>
    <row r="4227" spans="1:5" ht="15" x14ac:dyDescent="0.35">
      <c r="A4227" s="58" t="s">
        <v>265</v>
      </c>
      <c r="B4227" s="58" t="s">
        <v>180</v>
      </c>
      <c r="C4227" s="58">
        <v>11</v>
      </c>
      <c r="D4227" s="58">
        <v>114</v>
      </c>
      <c r="E4227" s="59">
        <v>185.8237</v>
      </c>
    </row>
    <row r="4228" spans="1:5" ht="15" x14ac:dyDescent="0.35">
      <c r="A4228" s="58" t="s">
        <v>265</v>
      </c>
      <c r="B4228" s="58" t="s">
        <v>180</v>
      </c>
      <c r="C4228" s="58">
        <v>12</v>
      </c>
      <c r="D4228" s="58">
        <v>115</v>
      </c>
      <c r="E4228" s="59">
        <v>185.8237</v>
      </c>
    </row>
    <row r="4229" spans="1:5" ht="15" x14ac:dyDescent="0.35">
      <c r="A4229" s="58" t="s">
        <v>324</v>
      </c>
      <c r="B4229" s="58" t="s">
        <v>182</v>
      </c>
      <c r="C4229" s="58">
        <v>1</v>
      </c>
      <c r="D4229" s="58">
        <v>104</v>
      </c>
      <c r="E4229" s="59">
        <v>628.59670000000006</v>
      </c>
    </row>
    <row r="4230" spans="1:5" ht="15" x14ac:dyDescent="0.35">
      <c r="A4230" s="58" t="s">
        <v>324</v>
      </c>
      <c r="B4230" s="58" t="s">
        <v>182</v>
      </c>
      <c r="C4230" s="58">
        <v>2</v>
      </c>
      <c r="D4230" s="58">
        <v>105</v>
      </c>
      <c r="E4230" s="59">
        <v>88.0411</v>
      </c>
    </row>
    <row r="4231" spans="1:5" ht="15" x14ac:dyDescent="0.35">
      <c r="A4231" s="58" t="s">
        <v>324</v>
      </c>
      <c r="B4231" s="58" t="s">
        <v>182</v>
      </c>
      <c r="C4231" s="58">
        <v>3</v>
      </c>
      <c r="D4231" s="58">
        <v>106</v>
      </c>
      <c r="E4231" s="59">
        <v>88.0411</v>
      </c>
    </row>
    <row r="4232" spans="1:5" ht="15" x14ac:dyDescent="0.35">
      <c r="A4232" s="58" t="s">
        <v>324</v>
      </c>
      <c r="B4232" s="58" t="s">
        <v>182</v>
      </c>
      <c r="C4232" s="58">
        <v>4</v>
      </c>
      <c r="D4232" s="58">
        <v>107</v>
      </c>
      <c r="E4232" s="59">
        <v>88.0411</v>
      </c>
    </row>
    <row r="4233" spans="1:5" ht="15" x14ac:dyDescent="0.35">
      <c r="A4233" s="58" t="s">
        <v>324</v>
      </c>
      <c r="B4233" s="58" t="s">
        <v>182</v>
      </c>
      <c r="C4233" s="58">
        <v>5</v>
      </c>
      <c r="D4233" s="58">
        <v>108</v>
      </c>
      <c r="E4233" s="59">
        <v>88.0411</v>
      </c>
    </row>
    <row r="4234" spans="1:5" ht="15" x14ac:dyDescent="0.35">
      <c r="A4234" s="58" t="s">
        <v>324</v>
      </c>
      <c r="B4234" s="58" t="s">
        <v>182</v>
      </c>
      <c r="C4234" s="58">
        <v>6</v>
      </c>
      <c r="D4234" s="58">
        <v>109</v>
      </c>
      <c r="E4234" s="59">
        <v>88.0411</v>
      </c>
    </row>
    <row r="4235" spans="1:5" ht="15" x14ac:dyDescent="0.35">
      <c r="A4235" s="58" t="s">
        <v>324</v>
      </c>
      <c r="B4235" s="58" t="s">
        <v>182</v>
      </c>
      <c r="C4235" s="58">
        <v>7</v>
      </c>
      <c r="D4235" s="58">
        <v>110</v>
      </c>
      <c r="E4235" s="59">
        <v>88.0411</v>
      </c>
    </row>
    <row r="4236" spans="1:5" ht="15" x14ac:dyDescent="0.35">
      <c r="A4236" s="58" t="s">
        <v>324</v>
      </c>
      <c r="B4236" s="58" t="s">
        <v>182</v>
      </c>
      <c r="C4236" s="58">
        <v>8</v>
      </c>
      <c r="D4236" s="58">
        <v>111</v>
      </c>
      <c r="E4236" s="59">
        <v>88.0411</v>
      </c>
    </row>
    <row r="4237" spans="1:5" ht="15" x14ac:dyDescent="0.35">
      <c r="A4237" s="58" t="s">
        <v>324</v>
      </c>
      <c r="B4237" s="58" t="s">
        <v>182</v>
      </c>
      <c r="C4237" s="58">
        <v>9</v>
      </c>
      <c r="D4237" s="58">
        <v>112</v>
      </c>
      <c r="E4237" s="59">
        <v>88.0411</v>
      </c>
    </row>
    <row r="4238" spans="1:5" ht="15" x14ac:dyDescent="0.35">
      <c r="A4238" s="58" t="s">
        <v>324</v>
      </c>
      <c r="B4238" s="58" t="s">
        <v>182</v>
      </c>
      <c r="C4238" s="58">
        <v>10</v>
      </c>
      <c r="D4238" s="58">
        <v>113</v>
      </c>
      <c r="E4238" s="59">
        <v>88.0411</v>
      </c>
    </row>
    <row r="4239" spans="1:5" ht="15" x14ac:dyDescent="0.35">
      <c r="A4239" s="58" t="s">
        <v>324</v>
      </c>
      <c r="B4239" s="58" t="s">
        <v>182</v>
      </c>
      <c r="C4239" s="58">
        <v>11</v>
      </c>
      <c r="D4239" s="58">
        <v>114</v>
      </c>
      <c r="E4239" s="59">
        <v>88.0411</v>
      </c>
    </row>
    <row r="4240" spans="1:5" ht="15" x14ac:dyDescent="0.35">
      <c r="A4240" s="58" t="s">
        <v>324</v>
      </c>
      <c r="B4240" s="58" t="s">
        <v>182</v>
      </c>
      <c r="C4240" s="58">
        <v>12</v>
      </c>
      <c r="D4240" s="58">
        <v>115</v>
      </c>
      <c r="E4240" s="59">
        <v>88.0411</v>
      </c>
    </row>
    <row r="4241" spans="1:5" ht="15" x14ac:dyDescent="0.35">
      <c r="A4241" s="58" t="s">
        <v>324</v>
      </c>
      <c r="B4241" s="58" t="s">
        <v>176</v>
      </c>
      <c r="C4241" s="58">
        <v>1</v>
      </c>
      <c r="D4241" s="58">
        <v>104</v>
      </c>
      <c r="E4241" s="59">
        <v>761</v>
      </c>
    </row>
    <row r="4242" spans="1:5" ht="15" x14ac:dyDescent="0.35">
      <c r="A4242" s="58" t="s">
        <v>324</v>
      </c>
      <c r="B4242" s="58" t="s">
        <v>176</v>
      </c>
      <c r="C4242" s="58">
        <v>2</v>
      </c>
      <c r="D4242" s="58">
        <v>105</v>
      </c>
      <c r="E4242" s="59">
        <v>761</v>
      </c>
    </row>
    <row r="4243" spans="1:5" ht="15" x14ac:dyDescent="0.35">
      <c r="A4243" s="58" t="s">
        <v>324</v>
      </c>
      <c r="B4243" s="58" t="s">
        <v>176</v>
      </c>
      <c r="C4243" s="58">
        <v>3</v>
      </c>
      <c r="D4243" s="58">
        <v>106</v>
      </c>
      <c r="E4243" s="59">
        <v>761</v>
      </c>
    </row>
    <row r="4244" spans="1:5" ht="15" x14ac:dyDescent="0.35">
      <c r="A4244" s="58" t="s">
        <v>324</v>
      </c>
      <c r="B4244" s="58" t="s">
        <v>176</v>
      </c>
      <c r="C4244" s="58">
        <v>4</v>
      </c>
      <c r="D4244" s="58">
        <v>107</v>
      </c>
      <c r="E4244" s="59">
        <v>761</v>
      </c>
    </row>
    <row r="4245" spans="1:5" ht="15" x14ac:dyDescent="0.35">
      <c r="A4245" s="58" t="s">
        <v>324</v>
      </c>
      <c r="B4245" s="58" t="s">
        <v>176</v>
      </c>
      <c r="C4245" s="58">
        <v>5</v>
      </c>
      <c r="D4245" s="58">
        <v>108</v>
      </c>
      <c r="E4245" s="59">
        <v>761</v>
      </c>
    </row>
    <row r="4246" spans="1:5" ht="15" x14ac:dyDescent="0.35">
      <c r="A4246" s="58" t="s">
        <v>324</v>
      </c>
      <c r="B4246" s="58" t="s">
        <v>176</v>
      </c>
      <c r="C4246" s="58">
        <v>6</v>
      </c>
      <c r="D4246" s="58">
        <v>109</v>
      </c>
      <c r="E4246" s="59">
        <v>761</v>
      </c>
    </row>
    <row r="4247" spans="1:5" ht="15" x14ac:dyDescent="0.35">
      <c r="A4247" s="58" t="s">
        <v>324</v>
      </c>
      <c r="B4247" s="58" t="s">
        <v>176</v>
      </c>
      <c r="C4247" s="58">
        <v>7</v>
      </c>
      <c r="D4247" s="58">
        <v>110</v>
      </c>
      <c r="E4247" s="59">
        <v>761</v>
      </c>
    </row>
    <row r="4248" spans="1:5" ht="15" x14ac:dyDescent="0.35">
      <c r="A4248" s="58" t="s">
        <v>324</v>
      </c>
      <c r="B4248" s="58" t="s">
        <v>176</v>
      </c>
      <c r="C4248" s="58">
        <v>8</v>
      </c>
      <c r="D4248" s="58">
        <v>111</v>
      </c>
      <c r="E4248" s="59">
        <v>761</v>
      </c>
    </row>
    <row r="4249" spans="1:5" ht="15" x14ac:dyDescent="0.35">
      <c r="A4249" s="58" t="s">
        <v>324</v>
      </c>
      <c r="B4249" s="58" t="s">
        <v>176</v>
      </c>
      <c r="C4249" s="58">
        <v>9</v>
      </c>
      <c r="D4249" s="58">
        <v>112</v>
      </c>
      <c r="E4249" s="59">
        <v>761</v>
      </c>
    </row>
    <row r="4250" spans="1:5" ht="15" x14ac:dyDescent="0.35">
      <c r="A4250" s="58" t="s">
        <v>324</v>
      </c>
      <c r="B4250" s="58" t="s">
        <v>176</v>
      </c>
      <c r="C4250" s="58">
        <v>10</v>
      </c>
      <c r="D4250" s="58">
        <v>113</v>
      </c>
      <c r="E4250" s="59">
        <v>761</v>
      </c>
    </row>
    <row r="4251" spans="1:5" ht="15" x14ac:dyDescent="0.35">
      <c r="A4251" s="58" t="s">
        <v>324</v>
      </c>
      <c r="B4251" s="58" t="s">
        <v>176</v>
      </c>
      <c r="C4251" s="58">
        <v>11</v>
      </c>
      <c r="D4251" s="58">
        <v>114</v>
      </c>
      <c r="E4251" s="59">
        <v>761</v>
      </c>
    </row>
    <row r="4252" spans="1:5" ht="15" x14ac:dyDescent="0.35">
      <c r="A4252" s="58" t="s">
        <v>324</v>
      </c>
      <c r="B4252" s="58" t="s">
        <v>176</v>
      </c>
      <c r="C4252" s="58">
        <v>12</v>
      </c>
      <c r="D4252" s="58">
        <v>115</v>
      </c>
      <c r="E4252" s="59">
        <v>761</v>
      </c>
    </row>
    <row r="4253" spans="1:5" ht="15" x14ac:dyDescent="0.35">
      <c r="A4253" s="58" t="s">
        <v>324</v>
      </c>
      <c r="B4253" s="58" t="s">
        <v>172</v>
      </c>
      <c r="C4253" s="58">
        <v>1</v>
      </c>
      <c r="D4253" s="58">
        <v>104</v>
      </c>
      <c r="E4253" s="59">
        <v>400</v>
      </c>
    </row>
    <row r="4254" spans="1:5" ht="15" x14ac:dyDescent="0.35">
      <c r="A4254" s="58" t="s">
        <v>324</v>
      </c>
      <c r="B4254" s="58" t="s">
        <v>172</v>
      </c>
      <c r="C4254" s="58">
        <v>2</v>
      </c>
      <c r="D4254" s="58">
        <v>105</v>
      </c>
      <c r="E4254" s="59">
        <v>400</v>
      </c>
    </row>
    <row r="4255" spans="1:5" ht="15" x14ac:dyDescent="0.35">
      <c r="A4255" s="58" t="s">
        <v>324</v>
      </c>
      <c r="B4255" s="58" t="s">
        <v>172</v>
      </c>
      <c r="C4255" s="58">
        <v>3</v>
      </c>
      <c r="D4255" s="58">
        <v>106</v>
      </c>
      <c r="E4255" s="59">
        <v>400</v>
      </c>
    </row>
    <row r="4256" spans="1:5" ht="15" x14ac:dyDescent="0.35">
      <c r="A4256" s="58" t="s">
        <v>324</v>
      </c>
      <c r="B4256" s="58" t="s">
        <v>172</v>
      </c>
      <c r="C4256" s="58">
        <v>4</v>
      </c>
      <c r="D4256" s="58">
        <v>107</v>
      </c>
      <c r="E4256" s="59">
        <v>400</v>
      </c>
    </row>
    <row r="4257" spans="1:5" ht="15" x14ac:dyDescent="0.35">
      <c r="A4257" s="58" t="s">
        <v>324</v>
      </c>
      <c r="B4257" s="58" t="s">
        <v>172</v>
      </c>
      <c r="C4257" s="58">
        <v>5</v>
      </c>
      <c r="D4257" s="58">
        <v>108</v>
      </c>
      <c r="E4257" s="59">
        <v>400</v>
      </c>
    </row>
    <row r="4258" spans="1:5" ht="15" x14ac:dyDescent="0.35">
      <c r="A4258" s="58" t="s">
        <v>324</v>
      </c>
      <c r="B4258" s="58" t="s">
        <v>172</v>
      </c>
      <c r="C4258" s="58">
        <v>6</v>
      </c>
      <c r="D4258" s="58">
        <v>109</v>
      </c>
      <c r="E4258" s="59">
        <v>400</v>
      </c>
    </row>
    <row r="4259" spans="1:5" ht="15" x14ac:dyDescent="0.35">
      <c r="A4259" s="58" t="s">
        <v>324</v>
      </c>
      <c r="B4259" s="58" t="s">
        <v>172</v>
      </c>
      <c r="C4259" s="58">
        <v>7</v>
      </c>
      <c r="D4259" s="58">
        <v>110</v>
      </c>
      <c r="E4259" s="59">
        <v>400</v>
      </c>
    </row>
    <row r="4260" spans="1:5" ht="15" x14ac:dyDescent="0.35">
      <c r="A4260" s="58" t="s">
        <v>324</v>
      </c>
      <c r="B4260" s="58" t="s">
        <v>172</v>
      </c>
      <c r="C4260" s="58">
        <v>8</v>
      </c>
      <c r="D4260" s="58">
        <v>111</v>
      </c>
      <c r="E4260" s="59">
        <v>400</v>
      </c>
    </row>
    <row r="4261" spans="1:5" ht="15" x14ac:dyDescent="0.35">
      <c r="A4261" s="58" t="s">
        <v>324</v>
      </c>
      <c r="B4261" s="58" t="s">
        <v>172</v>
      </c>
      <c r="C4261" s="58">
        <v>9</v>
      </c>
      <c r="D4261" s="58">
        <v>112</v>
      </c>
      <c r="E4261" s="59">
        <v>400</v>
      </c>
    </row>
    <row r="4262" spans="1:5" ht="15" x14ac:dyDescent="0.35">
      <c r="A4262" s="58" t="s">
        <v>324</v>
      </c>
      <c r="B4262" s="58" t="s">
        <v>172</v>
      </c>
      <c r="C4262" s="58">
        <v>10</v>
      </c>
      <c r="D4262" s="58">
        <v>113</v>
      </c>
      <c r="E4262" s="59">
        <v>400</v>
      </c>
    </row>
    <row r="4263" spans="1:5" ht="15" x14ac:dyDescent="0.35">
      <c r="A4263" s="58" t="s">
        <v>324</v>
      </c>
      <c r="B4263" s="58" t="s">
        <v>172</v>
      </c>
      <c r="C4263" s="58">
        <v>11</v>
      </c>
      <c r="D4263" s="58">
        <v>114</v>
      </c>
      <c r="E4263" s="59">
        <v>400</v>
      </c>
    </row>
    <row r="4264" spans="1:5" ht="15" x14ac:dyDescent="0.35">
      <c r="A4264" s="58" t="s">
        <v>324</v>
      </c>
      <c r="B4264" s="58" t="s">
        <v>172</v>
      </c>
      <c r="C4264" s="58">
        <v>12</v>
      </c>
      <c r="D4264" s="58">
        <v>115</v>
      </c>
      <c r="E4264" s="59">
        <v>400</v>
      </c>
    </row>
    <row r="4265" spans="1:5" ht="15" x14ac:dyDescent="0.35">
      <c r="A4265" s="58" t="s">
        <v>324</v>
      </c>
      <c r="B4265" s="58" t="s">
        <v>180</v>
      </c>
      <c r="C4265" s="58">
        <v>1</v>
      </c>
      <c r="D4265" s="58">
        <v>104</v>
      </c>
      <c r="E4265" s="59">
        <v>693.81460000000004</v>
      </c>
    </row>
    <row r="4266" spans="1:5" ht="15" x14ac:dyDescent="0.35">
      <c r="A4266" s="58" t="s">
        <v>324</v>
      </c>
      <c r="B4266" s="58" t="s">
        <v>180</v>
      </c>
      <c r="C4266" s="58">
        <v>2</v>
      </c>
      <c r="D4266" s="58">
        <v>105</v>
      </c>
      <c r="E4266" s="59">
        <v>693.81460000000004</v>
      </c>
    </row>
    <row r="4267" spans="1:5" ht="15" x14ac:dyDescent="0.35">
      <c r="A4267" s="58" t="s">
        <v>324</v>
      </c>
      <c r="B4267" s="58" t="s">
        <v>180</v>
      </c>
      <c r="C4267" s="58">
        <v>3</v>
      </c>
      <c r="D4267" s="58">
        <v>106</v>
      </c>
      <c r="E4267" s="59">
        <v>693.81460000000004</v>
      </c>
    </row>
    <row r="4268" spans="1:5" ht="15" x14ac:dyDescent="0.35">
      <c r="A4268" s="58" t="s">
        <v>324</v>
      </c>
      <c r="B4268" s="58" t="s">
        <v>180</v>
      </c>
      <c r="C4268" s="58">
        <v>4</v>
      </c>
      <c r="D4268" s="58">
        <v>107</v>
      </c>
      <c r="E4268" s="59">
        <v>693.81460000000004</v>
      </c>
    </row>
    <row r="4269" spans="1:5" ht="15" x14ac:dyDescent="0.35">
      <c r="A4269" s="58" t="s">
        <v>324</v>
      </c>
      <c r="B4269" s="58" t="s">
        <v>180</v>
      </c>
      <c r="C4269" s="58">
        <v>5</v>
      </c>
      <c r="D4269" s="58">
        <v>108</v>
      </c>
      <c r="E4269" s="59">
        <v>693.81460000000004</v>
      </c>
    </row>
    <row r="4270" spans="1:5" ht="15" x14ac:dyDescent="0.35">
      <c r="A4270" s="58" t="s">
        <v>324</v>
      </c>
      <c r="B4270" s="58" t="s">
        <v>180</v>
      </c>
      <c r="C4270" s="58">
        <v>6</v>
      </c>
      <c r="D4270" s="58">
        <v>109</v>
      </c>
      <c r="E4270" s="59">
        <v>693.81460000000004</v>
      </c>
    </row>
    <row r="4271" spans="1:5" ht="15" x14ac:dyDescent="0.35">
      <c r="A4271" s="58" t="s">
        <v>324</v>
      </c>
      <c r="B4271" s="58" t="s">
        <v>180</v>
      </c>
      <c r="C4271" s="58">
        <v>7</v>
      </c>
      <c r="D4271" s="58">
        <v>110</v>
      </c>
      <c r="E4271" s="59">
        <v>693.81460000000004</v>
      </c>
    </row>
    <row r="4272" spans="1:5" ht="15" x14ac:dyDescent="0.35">
      <c r="A4272" s="58" t="s">
        <v>324</v>
      </c>
      <c r="B4272" s="58" t="s">
        <v>180</v>
      </c>
      <c r="C4272" s="58">
        <v>8</v>
      </c>
      <c r="D4272" s="58">
        <v>111</v>
      </c>
      <c r="E4272" s="59">
        <v>693.81460000000004</v>
      </c>
    </row>
    <row r="4273" spans="1:5" ht="15" x14ac:dyDescent="0.35">
      <c r="A4273" s="58" t="s">
        <v>324</v>
      </c>
      <c r="B4273" s="58" t="s">
        <v>180</v>
      </c>
      <c r="C4273" s="58">
        <v>9</v>
      </c>
      <c r="D4273" s="58">
        <v>112</v>
      </c>
      <c r="E4273" s="59">
        <v>693.81460000000004</v>
      </c>
    </row>
    <row r="4274" spans="1:5" ht="15" x14ac:dyDescent="0.35">
      <c r="A4274" s="58" t="s">
        <v>324</v>
      </c>
      <c r="B4274" s="58" t="s">
        <v>180</v>
      </c>
      <c r="C4274" s="58">
        <v>10</v>
      </c>
      <c r="D4274" s="58">
        <v>113</v>
      </c>
      <c r="E4274" s="59">
        <v>693.81460000000004</v>
      </c>
    </row>
    <row r="4275" spans="1:5" ht="15" x14ac:dyDescent="0.35">
      <c r="A4275" s="58" t="s">
        <v>324</v>
      </c>
      <c r="B4275" s="58" t="s">
        <v>180</v>
      </c>
      <c r="C4275" s="58">
        <v>11</v>
      </c>
      <c r="D4275" s="58">
        <v>114</v>
      </c>
      <c r="E4275" s="59">
        <v>693.81460000000004</v>
      </c>
    </row>
    <row r="4276" spans="1:5" ht="15" x14ac:dyDescent="0.35">
      <c r="A4276" s="58" t="s">
        <v>324</v>
      </c>
      <c r="B4276" s="58" t="s">
        <v>180</v>
      </c>
      <c r="C4276" s="58">
        <v>12</v>
      </c>
      <c r="D4276" s="58">
        <v>115</v>
      </c>
      <c r="E4276" s="59">
        <v>693.81460000000004</v>
      </c>
    </row>
    <row r="4277" spans="1:5" ht="15" x14ac:dyDescent="0.35">
      <c r="A4277" s="58" t="s">
        <v>353</v>
      </c>
      <c r="B4277" s="58" t="s">
        <v>182</v>
      </c>
      <c r="C4277" s="58">
        <v>1</v>
      </c>
      <c r="D4277" s="58">
        <v>104</v>
      </c>
      <c r="E4277" s="59">
        <v>8.4236000000000004</v>
      </c>
    </row>
    <row r="4278" spans="1:5" ht="15" x14ac:dyDescent="0.35">
      <c r="A4278" s="58" t="s">
        <v>353</v>
      </c>
      <c r="B4278" s="58" t="s">
        <v>182</v>
      </c>
      <c r="C4278" s="58">
        <v>2</v>
      </c>
      <c r="D4278" s="58">
        <v>105</v>
      </c>
      <c r="E4278" s="59">
        <v>0</v>
      </c>
    </row>
    <row r="4279" spans="1:5" ht="15" x14ac:dyDescent="0.35">
      <c r="A4279" s="58" t="s">
        <v>353</v>
      </c>
      <c r="B4279" s="58" t="s">
        <v>182</v>
      </c>
      <c r="C4279" s="58">
        <v>3</v>
      </c>
      <c r="D4279" s="58">
        <v>106</v>
      </c>
      <c r="E4279" s="59">
        <v>0</v>
      </c>
    </row>
    <row r="4280" spans="1:5" ht="15" x14ac:dyDescent="0.35">
      <c r="A4280" s="58" t="s">
        <v>353</v>
      </c>
      <c r="B4280" s="58" t="s">
        <v>182</v>
      </c>
      <c r="C4280" s="58">
        <v>4</v>
      </c>
      <c r="D4280" s="58">
        <v>107</v>
      </c>
      <c r="E4280" s="59">
        <v>0</v>
      </c>
    </row>
    <row r="4281" spans="1:5" ht="15" x14ac:dyDescent="0.35">
      <c r="A4281" s="58" t="s">
        <v>353</v>
      </c>
      <c r="B4281" s="58" t="s">
        <v>182</v>
      </c>
      <c r="C4281" s="58">
        <v>5</v>
      </c>
      <c r="D4281" s="58">
        <v>108</v>
      </c>
      <c r="E4281" s="59">
        <v>0</v>
      </c>
    </row>
    <row r="4282" spans="1:5" ht="15" x14ac:dyDescent="0.35">
      <c r="A4282" s="58" t="s">
        <v>353</v>
      </c>
      <c r="B4282" s="58" t="s">
        <v>182</v>
      </c>
      <c r="C4282" s="58">
        <v>6</v>
      </c>
      <c r="D4282" s="58">
        <v>109</v>
      </c>
      <c r="E4282" s="59">
        <v>0</v>
      </c>
    </row>
    <row r="4283" spans="1:5" ht="15" x14ac:dyDescent="0.35">
      <c r="A4283" s="58" t="s">
        <v>353</v>
      </c>
      <c r="B4283" s="58" t="s">
        <v>182</v>
      </c>
      <c r="C4283" s="58">
        <v>7</v>
      </c>
      <c r="D4283" s="58">
        <v>110</v>
      </c>
      <c r="E4283" s="59">
        <v>3.2014</v>
      </c>
    </row>
    <row r="4284" spans="1:5" ht="15" x14ac:dyDescent="0.35">
      <c r="A4284" s="58" t="s">
        <v>353</v>
      </c>
      <c r="B4284" s="58" t="s">
        <v>182</v>
      </c>
      <c r="C4284" s="58">
        <v>8</v>
      </c>
      <c r="D4284" s="58">
        <v>111</v>
      </c>
      <c r="E4284" s="59">
        <v>15.090299999999999</v>
      </c>
    </row>
    <row r="4285" spans="1:5" ht="15" x14ac:dyDescent="0.35">
      <c r="A4285" s="58" t="s">
        <v>353</v>
      </c>
      <c r="B4285" s="58" t="s">
        <v>182</v>
      </c>
      <c r="C4285" s="58">
        <v>9</v>
      </c>
      <c r="D4285" s="58">
        <v>112</v>
      </c>
      <c r="E4285" s="59">
        <v>19.645900000000001</v>
      </c>
    </row>
    <row r="4286" spans="1:5" ht="15" x14ac:dyDescent="0.35">
      <c r="A4286" s="58" t="s">
        <v>353</v>
      </c>
      <c r="B4286" s="58" t="s">
        <v>182</v>
      </c>
      <c r="C4286" s="58">
        <v>10</v>
      </c>
      <c r="D4286" s="58">
        <v>113</v>
      </c>
      <c r="E4286" s="59">
        <v>29.534700000000001</v>
      </c>
    </row>
    <row r="4287" spans="1:5" ht="15" x14ac:dyDescent="0.35">
      <c r="A4287" s="58" t="s">
        <v>353</v>
      </c>
      <c r="B4287" s="58" t="s">
        <v>182</v>
      </c>
      <c r="C4287" s="58">
        <v>11</v>
      </c>
      <c r="D4287" s="58">
        <v>114</v>
      </c>
      <c r="E4287" s="59">
        <v>32.3125</v>
      </c>
    </row>
    <row r="4288" spans="1:5" ht="15" x14ac:dyDescent="0.35">
      <c r="A4288" s="58" t="s">
        <v>353</v>
      </c>
      <c r="B4288" s="58" t="s">
        <v>182</v>
      </c>
      <c r="C4288" s="58">
        <v>12</v>
      </c>
      <c r="D4288" s="58">
        <v>115</v>
      </c>
      <c r="E4288" s="59">
        <v>41.090299999999999</v>
      </c>
    </row>
    <row r="4289" spans="1:5" ht="15" x14ac:dyDescent="0.35">
      <c r="A4289" s="58" t="s">
        <v>353</v>
      </c>
      <c r="B4289" s="58" t="s">
        <v>176</v>
      </c>
      <c r="C4289" s="58">
        <v>1</v>
      </c>
      <c r="D4289" s="58">
        <v>104</v>
      </c>
      <c r="E4289" s="59">
        <v>7.25</v>
      </c>
    </row>
    <row r="4290" spans="1:5" ht="15" x14ac:dyDescent="0.35">
      <c r="A4290" s="58" t="s">
        <v>353</v>
      </c>
      <c r="B4290" s="58" t="s">
        <v>176</v>
      </c>
      <c r="C4290" s="58">
        <v>2</v>
      </c>
      <c r="D4290" s="58">
        <v>105</v>
      </c>
      <c r="E4290" s="59">
        <v>7.25</v>
      </c>
    </row>
    <row r="4291" spans="1:5" ht="15" x14ac:dyDescent="0.35">
      <c r="A4291" s="58" t="s">
        <v>353</v>
      </c>
      <c r="B4291" s="58" t="s">
        <v>176</v>
      </c>
      <c r="C4291" s="58">
        <v>3</v>
      </c>
      <c r="D4291" s="58">
        <v>106</v>
      </c>
      <c r="E4291" s="59">
        <v>7.25</v>
      </c>
    </row>
    <row r="4292" spans="1:5" ht="15" x14ac:dyDescent="0.35">
      <c r="A4292" s="58" t="s">
        <v>353</v>
      </c>
      <c r="B4292" s="58" t="s">
        <v>176</v>
      </c>
      <c r="C4292" s="58">
        <v>4</v>
      </c>
      <c r="D4292" s="58">
        <v>107</v>
      </c>
      <c r="E4292" s="59">
        <v>7.25</v>
      </c>
    </row>
    <row r="4293" spans="1:5" ht="15" x14ac:dyDescent="0.35">
      <c r="A4293" s="58" t="s">
        <v>353</v>
      </c>
      <c r="B4293" s="58" t="s">
        <v>176</v>
      </c>
      <c r="C4293" s="58">
        <v>5</v>
      </c>
      <c r="D4293" s="58">
        <v>108</v>
      </c>
      <c r="E4293" s="59">
        <v>7.25</v>
      </c>
    </row>
    <row r="4294" spans="1:5" ht="15" x14ac:dyDescent="0.35">
      <c r="A4294" s="58" t="s">
        <v>353</v>
      </c>
      <c r="B4294" s="58" t="s">
        <v>176</v>
      </c>
      <c r="C4294" s="58">
        <v>6</v>
      </c>
      <c r="D4294" s="58">
        <v>109</v>
      </c>
      <c r="E4294" s="59">
        <v>7.25</v>
      </c>
    </row>
    <row r="4295" spans="1:5" ht="15" x14ac:dyDescent="0.35">
      <c r="A4295" s="58" t="s">
        <v>353</v>
      </c>
      <c r="B4295" s="58" t="s">
        <v>176</v>
      </c>
      <c r="C4295" s="58">
        <v>7</v>
      </c>
      <c r="D4295" s="58">
        <v>110</v>
      </c>
      <c r="E4295" s="59">
        <v>7.25</v>
      </c>
    </row>
    <row r="4296" spans="1:5" ht="15" x14ac:dyDescent="0.35">
      <c r="A4296" s="58" t="s">
        <v>353</v>
      </c>
      <c r="B4296" s="58" t="s">
        <v>176</v>
      </c>
      <c r="C4296" s="58">
        <v>8</v>
      </c>
      <c r="D4296" s="58">
        <v>111</v>
      </c>
      <c r="E4296" s="59">
        <v>7.25</v>
      </c>
    </row>
    <row r="4297" spans="1:5" ht="15" x14ac:dyDescent="0.35">
      <c r="A4297" s="58" t="s">
        <v>353</v>
      </c>
      <c r="B4297" s="58" t="s">
        <v>176</v>
      </c>
      <c r="C4297" s="58">
        <v>9</v>
      </c>
      <c r="D4297" s="58">
        <v>112</v>
      </c>
      <c r="E4297" s="59">
        <v>7.25</v>
      </c>
    </row>
    <row r="4298" spans="1:5" ht="15" x14ac:dyDescent="0.35">
      <c r="A4298" s="58" t="s">
        <v>353</v>
      </c>
      <c r="B4298" s="58" t="s">
        <v>176</v>
      </c>
      <c r="C4298" s="58">
        <v>10</v>
      </c>
      <c r="D4298" s="58">
        <v>113</v>
      </c>
      <c r="E4298" s="59">
        <v>7.25</v>
      </c>
    </row>
    <row r="4299" spans="1:5" ht="15" x14ac:dyDescent="0.35">
      <c r="A4299" s="58" t="s">
        <v>353</v>
      </c>
      <c r="B4299" s="58" t="s">
        <v>176</v>
      </c>
      <c r="C4299" s="58">
        <v>11</v>
      </c>
      <c r="D4299" s="58">
        <v>114</v>
      </c>
      <c r="E4299" s="59">
        <v>7.25</v>
      </c>
    </row>
    <row r="4300" spans="1:5" ht="15" x14ac:dyDescent="0.35">
      <c r="A4300" s="58" t="s">
        <v>353</v>
      </c>
      <c r="B4300" s="58" t="s">
        <v>176</v>
      </c>
      <c r="C4300" s="58">
        <v>12</v>
      </c>
      <c r="D4300" s="58">
        <v>115</v>
      </c>
      <c r="E4300" s="59">
        <v>7.25</v>
      </c>
    </row>
    <row r="4301" spans="1:5" ht="15" x14ac:dyDescent="0.35">
      <c r="A4301" s="58" t="s">
        <v>353</v>
      </c>
      <c r="B4301" s="58" t="s">
        <v>172</v>
      </c>
      <c r="C4301" s="58">
        <v>1</v>
      </c>
      <c r="D4301" s="58">
        <v>104</v>
      </c>
      <c r="E4301" s="59">
        <v>14</v>
      </c>
    </row>
    <row r="4302" spans="1:5" ht="15" x14ac:dyDescent="0.35">
      <c r="A4302" s="58" t="s">
        <v>353</v>
      </c>
      <c r="B4302" s="58" t="s">
        <v>172</v>
      </c>
      <c r="C4302" s="58">
        <v>2</v>
      </c>
      <c r="D4302" s="58">
        <v>105</v>
      </c>
      <c r="E4302" s="59">
        <v>14</v>
      </c>
    </row>
    <row r="4303" spans="1:5" ht="15" x14ac:dyDescent="0.35">
      <c r="A4303" s="58" t="s">
        <v>353</v>
      </c>
      <c r="B4303" s="58" t="s">
        <v>172</v>
      </c>
      <c r="C4303" s="58">
        <v>3</v>
      </c>
      <c r="D4303" s="58">
        <v>106</v>
      </c>
      <c r="E4303" s="59">
        <v>14</v>
      </c>
    </row>
    <row r="4304" spans="1:5" ht="15" x14ac:dyDescent="0.35">
      <c r="A4304" s="58" t="s">
        <v>353</v>
      </c>
      <c r="B4304" s="58" t="s">
        <v>172</v>
      </c>
      <c r="C4304" s="58">
        <v>4</v>
      </c>
      <c r="D4304" s="58">
        <v>107</v>
      </c>
      <c r="E4304" s="59">
        <v>14</v>
      </c>
    </row>
    <row r="4305" spans="1:5" ht="15" x14ac:dyDescent="0.35">
      <c r="A4305" s="58" t="s">
        <v>353</v>
      </c>
      <c r="B4305" s="58" t="s">
        <v>172</v>
      </c>
      <c r="C4305" s="58">
        <v>5</v>
      </c>
      <c r="D4305" s="58">
        <v>108</v>
      </c>
      <c r="E4305" s="59">
        <v>14</v>
      </c>
    </row>
    <row r="4306" spans="1:5" ht="15" x14ac:dyDescent="0.35">
      <c r="A4306" s="58" t="s">
        <v>353</v>
      </c>
      <c r="B4306" s="58" t="s">
        <v>172</v>
      </c>
      <c r="C4306" s="58">
        <v>6</v>
      </c>
      <c r="D4306" s="58">
        <v>109</v>
      </c>
      <c r="E4306" s="59">
        <v>14</v>
      </c>
    </row>
    <row r="4307" spans="1:5" ht="15" x14ac:dyDescent="0.35">
      <c r="A4307" s="58" t="s">
        <v>353</v>
      </c>
      <c r="B4307" s="58" t="s">
        <v>172</v>
      </c>
      <c r="C4307" s="58">
        <v>7</v>
      </c>
      <c r="D4307" s="58">
        <v>110</v>
      </c>
      <c r="E4307" s="59">
        <v>14</v>
      </c>
    </row>
    <row r="4308" spans="1:5" ht="15" x14ac:dyDescent="0.35">
      <c r="A4308" s="58" t="s">
        <v>353</v>
      </c>
      <c r="B4308" s="58" t="s">
        <v>172</v>
      </c>
      <c r="C4308" s="58">
        <v>8</v>
      </c>
      <c r="D4308" s="58">
        <v>111</v>
      </c>
      <c r="E4308" s="59">
        <v>14</v>
      </c>
    </row>
    <row r="4309" spans="1:5" ht="15" x14ac:dyDescent="0.35">
      <c r="A4309" s="58" t="s">
        <v>353</v>
      </c>
      <c r="B4309" s="58" t="s">
        <v>172</v>
      </c>
      <c r="C4309" s="58">
        <v>9</v>
      </c>
      <c r="D4309" s="58">
        <v>112</v>
      </c>
      <c r="E4309" s="59">
        <v>14</v>
      </c>
    </row>
    <row r="4310" spans="1:5" ht="15" x14ac:dyDescent="0.35">
      <c r="A4310" s="58" t="s">
        <v>353</v>
      </c>
      <c r="B4310" s="58" t="s">
        <v>172</v>
      </c>
      <c r="C4310" s="58">
        <v>10</v>
      </c>
      <c r="D4310" s="58">
        <v>113</v>
      </c>
      <c r="E4310" s="59">
        <v>14</v>
      </c>
    </row>
    <row r="4311" spans="1:5" ht="15" x14ac:dyDescent="0.35">
      <c r="A4311" s="58" t="s">
        <v>353</v>
      </c>
      <c r="B4311" s="58" t="s">
        <v>172</v>
      </c>
      <c r="C4311" s="58">
        <v>11</v>
      </c>
      <c r="D4311" s="58">
        <v>114</v>
      </c>
      <c r="E4311" s="59">
        <v>14</v>
      </c>
    </row>
    <row r="4312" spans="1:5" ht="15" x14ac:dyDescent="0.35">
      <c r="A4312" s="58" t="s">
        <v>353</v>
      </c>
      <c r="B4312" s="58" t="s">
        <v>172</v>
      </c>
      <c r="C4312" s="58">
        <v>12</v>
      </c>
      <c r="D4312" s="58">
        <v>115</v>
      </c>
      <c r="E4312" s="59">
        <v>14</v>
      </c>
    </row>
    <row r="4313" spans="1:5" ht="15" x14ac:dyDescent="0.35">
      <c r="A4313" s="58" t="s">
        <v>353</v>
      </c>
      <c r="B4313" s="58" t="s">
        <v>180</v>
      </c>
      <c r="C4313" s="58">
        <v>1</v>
      </c>
      <c r="D4313" s="58">
        <v>104</v>
      </c>
      <c r="E4313" s="59">
        <v>13.3947</v>
      </c>
    </row>
    <row r="4314" spans="1:5" ht="15" x14ac:dyDescent="0.35">
      <c r="A4314" s="58" t="s">
        <v>353</v>
      </c>
      <c r="B4314" s="58" t="s">
        <v>180</v>
      </c>
      <c r="C4314" s="58">
        <v>2</v>
      </c>
      <c r="D4314" s="58">
        <v>105</v>
      </c>
      <c r="E4314" s="59">
        <v>13.3947</v>
      </c>
    </row>
    <row r="4315" spans="1:5" ht="15" x14ac:dyDescent="0.35">
      <c r="A4315" s="58" t="s">
        <v>353</v>
      </c>
      <c r="B4315" s="58" t="s">
        <v>180</v>
      </c>
      <c r="C4315" s="58">
        <v>3</v>
      </c>
      <c r="D4315" s="58">
        <v>106</v>
      </c>
      <c r="E4315" s="59">
        <v>13.3947</v>
      </c>
    </row>
    <row r="4316" spans="1:5" ht="15" x14ac:dyDescent="0.35">
      <c r="A4316" s="58" t="s">
        <v>353</v>
      </c>
      <c r="B4316" s="58" t="s">
        <v>180</v>
      </c>
      <c r="C4316" s="58">
        <v>4</v>
      </c>
      <c r="D4316" s="58">
        <v>107</v>
      </c>
      <c r="E4316" s="59">
        <v>13.3947</v>
      </c>
    </row>
    <row r="4317" spans="1:5" ht="15" x14ac:dyDescent="0.35">
      <c r="A4317" s="58" t="s">
        <v>353</v>
      </c>
      <c r="B4317" s="58" t="s">
        <v>180</v>
      </c>
      <c r="C4317" s="58">
        <v>5</v>
      </c>
      <c r="D4317" s="58">
        <v>108</v>
      </c>
      <c r="E4317" s="59">
        <v>13.3947</v>
      </c>
    </row>
    <row r="4318" spans="1:5" ht="15" x14ac:dyDescent="0.35">
      <c r="A4318" s="58" t="s">
        <v>353</v>
      </c>
      <c r="B4318" s="58" t="s">
        <v>180</v>
      </c>
      <c r="C4318" s="58">
        <v>6</v>
      </c>
      <c r="D4318" s="58">
        <v>109</v>
      </c>
      <c r="E4318" s="59">
        <v>13.3947</v>
      </c>
    </row>
    <row r="4319" spans="1:5" ht="15" x14ac:dyDescent="0.35">
      <c r="A4319" s="58" t="s">
        <v>353</v>
      </c>
      <c r="B4319" s="58" t="s">
        <v>180</v>
      </c>
      <c r="C4319" s="58">
        <v>7</v>
      </c>
      <c r="D4319" s="58">
        <v>110</v>
      </c>
      <c r="E4319" s="59">
        <v>13.3947</v>
      </c>
    </row>
    <row r="4320" spans="1:5" ht="15" x14ac:dyDescent="0.35">
      <c r="A4320" s="58" t="s">
        <v>353</v>
      </c>
      <c r="B4320" s="58" t="s">
        <v>180</v>
      </c>
      <c r="C4320" s="58">
        <v>8</v>
      </c>
      <c r="D4320" s="58">
        <v>111</v>
      </c>
      <c r="E4320" s="59">
        <v>13.3947</v>
      </c>
    </row>
    <row r="4321" spans="1:5" ht="15" x14ac:dyDescent="0.35">
      <c r="A4321" s="58" t="s">
        <v>353</v>
      </c>
      <c r="B4321" s="58" t="s">
        <v>180</v>
      </c>
      <c r="C4321" s="58">
        <v>9</v>
      </c>
      <c r="D4321" s="58">
        <v>112</v>
      </c>
      <c r="E4321" s="59">
        <v>13.3947</v>
      </c>
    </row>
    <row r="4322" spans="1:5" ht="15" x14ac:dyDescent="0.35">
      <c r="A4322" s="58" t="s">
        <v>353</v>
      </c>
      <c r="B4322" s="58" t="s">
        <v>180</v>
      </c>
      <c r="C4322" s="58">
        <v>10</v>
      </c>
      <c r="D4322" s="58">
        <v>113</v>
      </c>
      <c r="E4322" s="59">
        <v>13.3947</v>
      </c>
    </row>
    <row r="4323" spans="1:5" ht="15" x14ac:dyDescent="0.35">
      <c r="A4323" s="58" t="s">
        <v>353</v>
      </c>
      <c r="B4323" s="58" t="s">
        <v>180</v>
      </c>
      <c r="C4323" s="58">
        <v>11</v>
      </c>
      <c r="D4323" s="58">
        <v>114</v>
      </c>
      <c r="E4323" s="59">
        <v>13.3947</v>
      </c>
    </row>
    <row r="4324" spans="1:5" ht="15" x14ac:dyDescent="0.35">
      <c r="A4324" s="58" t="s">
        <v>353</v>
      </c>
      <c r="B4324" s="58" t="s">
        <v>180</v>
      </c>
      <c r="C4324" s="58">
        <v>12</v>
      </c>
      <c r="D4324" s="58">
        <v>115</v>
      </c>
      <c r="E4324" s="59">
        <v>13.3947</v>
      </c>
    </row>
    <row r="4325" spans="1:5" ht="15" x14ac:dyDescent="0.35">
      <c r="A4325" s="58" t="s">
        <v>311</v>
      </c>
      <c r="B4325" s="58" t="s">
        <v>182</v>
      </c>
      <c r="C4325" s="58">
        <v>1</v>
      </c>
      <c r="D4325" s="58">
        <v>104</v>
      </c>
      <c r="E4325" s="59">
        <v>1.8143</v>
      </c>
    </row>
    <row r="4326" spans="1:5" ht="15" x14ac:dyDescent="0.35">
      <c r="A4326" s="58" t="s">
        <v>311</v>
      </c>
      <c r="B4326" s="58" t="s">
        <v>182</v>
      </c>
      <c r="C4326" s="58">
        <v>2</v>
      </c>
      <c r="D4326" s="58">
        <v>105</v>
      </c>
      <c r="E4326" s="59">
        <v>0</v>
      </c>
    </row>
    <row r="4327" spans="1:5" ht="15" x14ac:dyDescent="0.35">
      <c r="A4327" s="58" t="s">
        <v>311</v>
      </c>
      <c r="B4327" s="58" t="s">
        <v>182</v>
      </c>
      <c r="C4327" s="58">
        <v>3</v>
      </c>
      <c r="D4327" s="58">
        <v>106</v>
      </c>
      <c r="E4327" s="59">
        <v>0</v>
      </c>
    </row>
    <row r="4328" spans="1:5" ht="15" x14ac:dyDescent="0.35">
      <c r="A4328" s="58" t="s">
        <v>311</v>
      </c>
      <c r="B4328" s="58" t="s">
        <v>182</v>
      </c>
      <c r="C4328" s="58">
        <v>4</v>
      </c>
      <c r="D4328" s="58">
        <v>107</v>
      </c>
      <c r="E4328" s="59">
        <v>0</v>
      </c>
    </row>
    <row r="4329" spans="1:5" ht="15" x14ac:dyDescent="0.35">
      <c r="A4329" s="58" t="s">
        <v>311</v>
      </c>
      <c r="B4329" s="58" t="s">
        <v>182</v>
      </c>
      <c r="C4329" s="58">
        <v>5</v>
      </c>
      <c r="D4329" s="58">
        <v>108</v>
      </c>
      <c r="E4329" s="59">
        <v>0</v>
      </c>
    </row>
    <row r="4330" spans="1:5" ht="15" x14ac:dyDescent="0.35">
      <c r="A4330" s="58" t="s">
        <v>311</v>
      </c>
      <c r="B4330" s="58" t="s">
        <v>182</v>
      </c>
      <c r="C4330" s="58">
        <v>6</v>
      </c>
      <c r="D4330" s="58">
        <v>109</v>
      </c>
      <c r="E4330" s="59">
        <v>0</v>
      </c>
    </row>
    <row r="4331" spans="1:5" ht="15" x14ac:dyDescent="0.35">
      <c r="A4331" s="58" t="s">
        <v>311</v>
      </c>
      <c r="B4331" s="58" t="s">
        <v>182</v>
      </c>
      <c r="C4331" s="58">
        <v>7</v>
      </c>
      <c r="D4331" s="58">
        <v>110</v>
      </c>
      <c r="E4331" s="59">
        <v>0</v>
      </c>
    </row>
    <row r="4332" spans="1:5" ht="15" x14ac:dyDescent="0.35">
      <c r="A4332" s="58" t="s">
        <v>311</v>
      </c>
      <c r="B4332" s="58" t="s">
        <v>182</v>
      </c>
      <c r="C4332" s="58">
        <v>8</v>
      </c>
      <c r="D4332" s="58">
        <v>111</v>
      </c>
      <c r="E4332" s="59">
        <v>0</v>
      </c>
    </row>
    <row r="4333" spans="1:5" ht="15" x14ac:dyDescent="0.35">
      <c r="A4333" s="58" t="s">
        <v>311</v>
      </c>
      <c r="B4333" s="58" t="s">
        <v>182</v>
      </c>
      <c r="C4333" s="58">
        <v>9</v>
      </c>
      <c r="D4333" s="58">
        <v>112</v>
      </c>
      <c r="E4333" s="59">
        <v>0</v>
      </c>
    </row>
    <row r="4334" spans="1:5" ht="15" x14ac:dyDescent="0.35">
      <c r="A4334" s="58" t="s">
        <v>311</v>
      </c>
      <c r="B4334" s="58" t="s">
        <v>182</v>
      </c>
      <c r="C4334" s="58">
        <v>10</v>
      </c>
      <c r="D4334" s="58">
        <v>113</v>
      </c>
      <c r="E4334" s="59">
        <v>0</v>
      </c>
    </row>
    <row r="4335" spans="1:5" ht="15" x14ac:dyDescent="0.35">
      <c r="A4335" s="58" t="s">
        <v>311</v>
      </c>
      <c r="B4335" s="58" t="s">
        <v>182</v>
      </c>
      <c r="C4335" s="58">
        <v>11</v>
      </c>
      <c r="D4335" s="58">
        <v>114</v>
      </c>
      <c r="E4335" s="59">
        <v>0</v>
      </c>
    </row>
    <row r="4336" spans="1:5" ht="15" x14ac:dyDescent="0.35">
      <c r="A4336" s="58" t="s">
        <v>311</v>
      </c>
      <c r="B4336" s="58" t="s">
        <v>182</v>
      </c>
      <c r="C4336" s="58">
        <v>12</v>
      </c>
      <c r="D4336" s="58">
        <v>115</v>
      </c>
      <c r="E4336" s="59">
        <v>0</v>
      </c>
    </row>
    <row r="4337" spans="1:5" ht="15" x14ac:dyDescent="0.35">
      <c r="A4337" s="58" t="s">
        <v>311</v>
      </c>
      <c r="B4337" s="58" t="s">
        <v>176</v>
      </c>
      <c r="C4337" s="58">
        <v>1</v>
      </c>
      <c r="D4337" s="58">
        <v>104</v>
      </c>
      <c r="E4337" s="59">
        <v>7.625</v>
      </c>
    </row>
    <row r="4338" spans="1:5" ht="15" x14ac:dyDescent="0.35">
      <c r="A4338" s="58" t="s">
        <v>311</v>
      </c>
      <c r="B4338" s="58" t="s">
        <v>176</v>
      </c>
      <c r="C4338" s="58">
        <v>2</v>
      </c>
      <c r="D4338" s="58">
        <v>105</v>
      </c>
      <c r="E4338" s="59">
        <v>7.625</v>
      </c>
    </row>
    <row r="4339" spans="1:5" ht="15" x14ac:dyDescent="0.35">
      <c r="A4339" s="58" t="s">
        <v>311</v>
      </c>
      <c r="B4339" s="58" t="s">
        <v>176</v>
      </c>
      <c r="C4339" s="58">
        <v>3</v>
      </c>
      <c r="D4339" s="58">
        <v>106</v>
      </c>
      <c r="E4339" s="59">
        <v>7.625</v>
      </c>
    </row>
    <row r="4340" spans="1:5" ht="15" x14ac:dyDescent="0.35">
      <c r="A4340" s="58" t="s">
        <v>311</v>
      </c>
      <c r="B4340" s="58" t="s">
        <v>176</v>
      </c>
      <c r="C4340" s="58">
        <v>4</v>
      </c>
      <c r="D4340" s="58">
        <v>107</v>
      </c>
      <c r="E4340" s="59">
        <v>7.625</v>
      </c>
    </row>
    <row r="4341" spans="1:5" ht="15" x14ac:dyDescent="0.35">
      <c r="A4341" s="58" t="s">
        <v>311</v>
      </c>
      <c r="B4341" s="58" t="s">
        <v>176</v>
      </c>
      <c r="C4341" s="58">
        <v>5</v>
      </c>
      <c r="D4341" s="58">
        <v>108</v>
      </c>
      <c r="E4341" s="59">
        <v>7.625</v>
      </c>
    </row>
    <row r="4342" spans="1:5" ht="15" x14ac:dyDescent="0.35">
      <c r="A4342" s="58" t="s">
        <v>311</v>
      </c>
      <c r="B4342" s="58" t="s">
        <v>176</v>
      </c>
      <c r="C4342" s="58">
        <v>6</v>
      </c>
      <c r="D4342" s="58">
        <v>109</v>
      </c>
      <c r="E4342" s="59">
        <v>7.625</v>
      </c>
    </row>
    <row r="4343" spans="1:5" ht="15" x14ac:dyDescent="0.35">
      <c r="A4343" s="58" t="s">
        <v>311</v>
      </c>
      <c r="B4343" s="58" t="s">
        <v>176</v>
      </c>
      <c r="C4343" s="58">
        <v>7</v>
      </c>
      <c r="D4343" s="58">
        <v>110</v>
      </c>
      <c r="E4343" s="59">
        <v>7.625</v>
      </c>
    </row>
    <row r="4344" spans="1:5" ht="15" x14ac:dyDescent="0.35">
      <c r="A4344" s="58" t="s">
        <v>311</v>
      </c>
      <c r="B4344" s="58" t="s">
        <v>176</v>
      </c>
      <c r="C4344" s="58">
        <v>8</v>
      </c>
      <c r="D4344" s="58">
        <v>111</v>
      </c>
      <c r="E4344" s="59">
        <v>7.625</v>
      </c>
    </row>
    <row r="4345" spans="1:5" ht="15" x14ac:dyDescent="0.35">
      <c r="A4345" s="58" t="s">
        <v>311</v>
      </c>
      <c r="B4345" s="58" t="s">
        <v>176</v>
      </c>
      <c r="C4345" s="58">
        <v>9</v>
      </c>
      <c r="D4345" s="58">
        <v>112</v>
      </c>
      <c r="E4345" s="59">
        <v>7.625</v>
      </c>
    </row>
    <row r="4346" spans="1:5" ht="15" x14ac:dyDescent="0.35">
      <c r="A4346" s="58" t="s">
        <v>311</v>
      </c>
      <c r="B4346" s="58" t="s">
        <v>176</v>
      </c>
      <c r="C4346" s="58">
        <v>10</v>
      </c>
      <c r="D4346" s="58">
        <v>113</v>
      </c>
      <c r="E4346" s="59">
        <v>7.625</v>
      </c>
    </row>
    <row r="4347" spans="1:5" ht="15" x14ac:dyDescent="0.35">
      <c r="A4347" s="58" t="s">
        <v>311</v>
      </c>
      <c r="B4347" s="58" t="s">
        <v>176</v>
      </c>
      <c r="C4347" s="58">
        <v>11</v>
      </c>
      <c r="D4347" s="58">
        <v>114</v>
      </c>
      <c r="E4347" s="59">
        <v>7.625</v>
      </c>
    </row>
    <row r="4348" spans="1:5" ht="15" x14ac:dyDescent="0.35">
      <c r="A4348" s="58" t="s">
        <v>311</v>
      </c>
      <c r="B4348" s="58" t="s">
        <v>176</v>
      </c>
      <c r="C4348" s="58">
        <v>12</v>
      </c>
      <c r="D4348" s="58">
        <v>115</v>
      </c>
      <c r="E4348" s="59">
        <v>7.625</v>
      </c>
    </row>
    <row r="4349" spans="1:5" ht="15" x14ac:dyDescent="0.35">
      <c r="A4349" s="58" t="s">
        <v>311</v>
      </c>
      <c r="B4349" s="58" t="s">
        <v>172</v>
      </c>
      <c r="C4349" s="58">
        <v>1</v>
      </c>
      <c r="D4349" s="58">
        <v>104</v>
      </c>
      <c r="E4349" s="59">
        <v>0</v>
      </c>
    </row>
    <row r="4350" spans="1:5" ht="15" x14ac:dyDescent="0.35">
      <c r="A4350" s="58" t="s">
        <v>311</v>
      </c>
      <c r="B4350" s="58" t="s">
        <v>172</v>
      </c>
      <c r="C4350" s="58">
        <v>2</v>
      </c>
      <c r="D4350" s="58">
        <v>105</v>
      </c>
      <c r="E4350" s="59">
        <v>0</v>
      </c>
    </row>
    <row r="4351" spans="1:5" ht="15" x14ac:dyDescent="0.35">
      <c r="A4351" s="58" t="s">
        <v>311</v>
      </c>
      <c r="B4351" s="58" t="s">
        <v>172</v>
      </c>
      <c r="C4351" s="58">
        <v>3</v>
      </c>
      <c r="D4351" s="58">
        <v>106</v>
      </c>
      <c r="E4351" s="59">
        <v>0</v>
      </c>
    </row>
    <row r="4352" spans="1:5" ht="15" x14ac:dyDescent="0.35">
      <c r="A4352" s="58" t="s">
        <v>311</v>
      </c>
      <c r="B4352" s="58" t="s">
        <v>172</v>
      </c>
      <c r="C4352" s="58">
        <v>4</v>
      </c>
      <c r="D4352" s="58">
        <v>107</v>
      </c>
      <c r="E4352" s="59">
        <v>0</v>
      </c>
    </row>
    <row r="4353" spans="1:5" ht="15" x14ac:dyDescent="0.35">
      <c r="A4353" s="58" t="s">
        <v>311</v>
      </c>
      <c r="B4353" s="58" t="s">
        <v>172</v>
      </c>
      <c r="C4353" s="58">
        <v>5</v>
      </c>
      <c r="D4353" s="58">
        <v>108</v>
      </c>
      <c r="E4353" s="59">
        <v>0</v>
      </c>
    </row>
    <row r="4354" spans="1:5" ht="15" x14ac:dyDescent="0.35">
      <c r="A4354" s="58" t="s">
        <v>311</v>
      </c>
      <c r="B4354" s="58" t="s">
        <v>172</v>
      </c>
      <c r="C4354" s="58">
        <v>6</v>
      </c>
      <c r="D4354" s="58">
        <v>109</v>
      </c>
      <c r="E4354" s="59">
        <v>0</v>
      </c>
    </row>
    <row r="4355" spans="1:5" ht="15" x14ac:dyDescent="0.35">
      <c r="A4355" s="58" t="s">
        <v>311</v>
      </c>
      <c r="B4355" s="58" t="s">
        <v>172</v>
      </c>
      <c r="C4355" s="58">
        <v>7</v>
      </c>
      <c r="D4355" s="58">
        <v>110</v>
      </c>
      <c r="E4355" s="59">
        <v>0</v>
      </c>
    </row>
    <row r="4356" spans="1:5" ht="15" x14ac:dyDescent="0.35">
      <c r="A4356" s="58" t="s">
        <v>311</v>
      </c>
      <c r="B4356" s="58" t="s">
        <v>172</v>
      </c>
      <c r="C4356" s="58">
        <v>8</v>
      </c>
      <c r="D4356" s="58">
        <v>111</v>
      </c>
      <c r="E4356" s="59">
        <v>0</v>
      </c>
    </row>
    <row r="4357" spans="1:5" ht="15" x14ac:dyDescent="0.35">
      <c r="A4357" s="58" t="s">
        <v>311</v>
      </c>
      <c r="B4357" s="58" t="s">
        <v>172</v>
      </c>
      <c r="C4357" s="58">
        <v>9</v>
      </c>
      <c r="D4357" s="58">
        <v>112</v>
      </c>
      <c r="E4357" s="59">
        <v>0</v>
      </c>
    </row>
    <row r="4358" spans="1:5" ht="15" x14ac:dyDescent="0.35">
      <c r="A4358" s="58" t="s">
        <v>311</v>
      </c>
      <c r="B4358" s="58" t="s">
        <v>172</v>
      </c>
      <c r="C4358" s="58">
        <v>10</v>
      </c>
      <c r="D4358" s="58">
        <v>113</v>
      </c>
      <c r="E4358" s="59">
        <v>0</v>
      </c>
    </row>
    <row r="4359" spans="1:5" ht="15" x14ac:dyDescent="0.35">
      <c r="A4359" s="58" t="s">
        <v>311</v>
      </c>
      <c r="B4359" s="58" t="s">
        <v>172</v>
      </c>
      <c r="C4359" s="58">
        <v>11</v>
      </c>
      <c r="D4359" s="58">
        <v>114</v>
      </c>
      <c r="E4359" s="59">
        <v>0</v>
      </c>
    </row>
    <row r="4360" spans="1:5" ht="15" x14ac:dyDescent="0.35">
      <c r="A4360" s="58" t="s">
        <v>311</v>
      </c>
      <c r="B4360" s="58" t="s">
        <v>172</v>
      </c>
      <c r="C4360" s="58">
        <v>12</v>
      </c>
      <c r="D4360" s="58">
        <v>115</v>
      </c>
      <c r="E4360" s="59">
        <v>0</v>
      </c>
    </row>
    <row r="4361" spans="1:5" ht="15" x14ac:dyDescent="0.35">
      <c r="A4361" s="58" t="s">
        <v>311</v>
      </c>
      <c r="B4361" s="58" t="s">
        <v>180</v>
      </c>
      <c r="C4361" s="58">
        <v>1</v>
      </c>
      <c r="D4361" s="58">
        <v>104</v>
      </c>
      <c r="E4361" s="59">
        <v>2.2242000000000002</v>
      </c>
    </row>
    <row r="4362" spans="1:5" ht="15" x14ac:dyDescent="0.35">
      <c r="A4362" s="58" t="s">
        <v>311</v>
      </c>
      <c r="B4362" s="58" t="s">
        <v>180</v>
      </c>
      <c r="C4362" s="58">
        <v>2</v>
      </c>
      <c r="D4362" s="58">
        <v>105</v>
      </c>
      <c r="E4362" s="59">
        <v>2.2242000000000002</v>
      </c>
    </row>
    <row r="4363" spans="1:5" ht="15" x14ac:dyDescent="0.35">
      <c r="A4363" s="58" t="s">
        <v>311</v>
      </c>
      <c r="B4363" s="58" t="s">
        <v>180</v>
      </c>
      <c r="C4363" s="58">
        <v>3</v>
      </c>
      <c r="D4363" s="58">
        <v>106</v>
      </c>
      <c r="E4363" s="59">
        <v>2.2242000000000002</v>
      </c>
    </row>
    <row r="4364" spans="1:5" ht="15" x14ac:dyDescent="0.35">
      <c r="A4364" s="58" t="s">
        <v>311</v>
      </c>
      <c r="B4364" s="58" t="s">
        <v>180</v>
      </c>
      <c r="C4364" s="58">
        <v>4</v>
      </c>
      <c r="D4364" s="58">
        <v>107</v>
      </c>
      <c r="E4364" s="59">
        <v>2.2242000000000002</v>
      </c>
    </row>
    <row r="4365" spans="1:5" ht="15" x14ac:dyDescent="0.35">
      <c r="A4365" s="58" t="s">
        <v>311</v>
      </c>
      <c r="B4365" s="58" t="s">
        <v>180</v>
      </c>
      <c r="C4365" s="58">
        <v>5</v>
      </c>
      <c r="D4365" s="58">
        <v>108</v>
      </c>
      <c r="E4365" s="59">
        <v>2.2242000000000002</v>
      </c>
    </row>
    <row r="4366" spans="1:5" ht="15" x14ac:dyDescent="0.35">
      <c r="A4366" s="58" t="s">
        <v>311</v>
      </c>
      <c r="B4366" s="58" t="s">
        <v>180</v>
      </c>
      <c r="C4366" s="58">
        <v>6</v>
      </c>
      <c r="D4366" s="58">
        <v>109</v>
      </c>
      <c r="E4366" s="59">
        <v>2.2242000000000002</v>
      </c>
    </row>
    <row r="4367" spans="1:5" ht="15" x14ac:dyDescent="0.35">
      <c r="A4367" s="58" t="s">
        <v>311</v>
      </c>
      <c r="B4367" s="58" t="s">
        <v>180</v>
      </c>
      <c r="C4367" s="58">
        <v>7</v>
      </c>
      <c r="D4367" s="58">
        <v>110</v>
      </c>
      <c r="E4367" s="59">
        <v>2.2242000000000002</v>
      </c>
    </row>
    <row r="4368" spans="1:5" ht="15" x14ac:dyDescent="0.35">
      <c r="A4368" s="58" t="s">
        <v>311</v>
      </c>
      <c r="B4368" s="58" t="s">
        <v>180</v>
      </c>
      <c r="C4368" s="58">
        <v>8</v>
      </c>
      <c r="D4368" s="58">
        <v>111</v>
      </c>
      <c r="E4368" s="59">
        <v>2.2242000000000002</v>
      </c>
    </row>
    <row r="4369" spans="1:5" ht="15" x14ac:dyDescent="0.35">
      <c r="A4369" s="58" t="s">
        <v>311</v>
      </c>
      <c r="B4369" s="58" t="s">
        <v>180</v>
      </c>
      <c r="C4369" s="58">
        <v>9</v>
      </c>
      <c r="D4369" s="58">
        <v>112</v>
      </c>
      <c r="E4369" s="59">
        <v>2.2242000000000002</v>
      </c>
    </row>
    <row r="4370" spans="1:5" ht="15" x14ac:dyDescent="0.35">
      <c r="A4370" s="58" t="s">
        <v>311</v>
      </c>
      <c r="B4370" s="58" t="s">
        <v>180</v>
      </c>
      <c r="C4370" s="58">
        <v>10</v>
      </c>
      <c r="D4370" s="58">
        <v>113</v>
      </c>
      <c r="E4370" s="59">
        <v>2.2242000000000002</v>
      </c>
    </row>
    <row r="4371" spans="1:5" ht="15" x14ac:dyDescent="0.35">
      <c r="A4371" s="58" t="s">
        <v>311</v>
      </c>
      <c r="B4371" s="58" t="s">
        <v>180</v>
      </c>
      <c r="C4371" s="58">
        <v>11</v>
      </c>
      <c r="D4371" s="58">
        <v>114</v>
      </c>
      <c r="E4371" s="59">
        <v>2.2242000000000002</v>
      </c>
    </row>
    <row r="4372" spans="1:5" ht="15" x14ac:dyDescent="0.35">
      <c r="A4372" s="58" t="s">
        <v>311</v>
      </c>
      <c r="B4372" s="58" t="s">
        <v>180</v>
      </c>
      <c r="C4372" s="58">
        <v>12</v>
      </c>
      <c r="D4372" s="58">
        <v>115</v>
      </c>
      <c r="E4372" s="59">
        <v>2.2242000000000002</v>
      </c>
    </row>
    <row r="4373" spans="1:5" ht="15" x14ac:dyDescent="0.35">
      <c r="A4373" s="58" t="s">
        <v>253</v>
      </c>
      <c r="B4373" s="58" t="s">
        <v>182</v>
      </c>
      <c r="C4373" s="58">
        <v>1</v>
      </c>
      <c r="D4373" s="58">
        <v>104</v>
      </c>
      <c r="E4373" s="59">
        <v>0</v>
      </c>
    </row>
    <row r="4374" spans="1:5" ht="15" x14ac:dyDescent="0.35">
      <c r="A4374" s="58" t="s">
        <v>253</v>
      </c>
      <c r="B4374" s="58" t="s">
        <v>182</v>
      </c>
      <c r="C4374" s="58">
        <v>2</v>
      </c>
      <c r="D4374" s="58">
        <v>105</v>
      </c>
      <c r="E4374" s="59">
        <v>0</v>
      </c>
    </row>
    <row r="4375" spans="1:5" ht="15" x14ac:dyDescent="0.35">
      <c r="A4375" s="58" t="s">
        <v>253</v>
      </c>
      <c r="B4375" s="58" t="s">
        <v>182</v>
      </c>
      <c r="C4375" s="58">
        <v>3</v>
      </c>
      <c r="D4375" s="58">
        <v>106</v>
      </c>
      <c r="E4375" s="59">
        <v>0</v>
      </c>
    </row>
    <row r="4376" spans="1:5" ht="15" x14ac:dyDescent="0.35">
      <c r="A4376" s="58" t="s">
        <v>253</v>
      </c>
      <c r="B4376" s="58" t="s">
        <v>182</v>
      </c>
      <c r="C4376" s="58">
        <v>4</v>
      </c>
      <c r="D4376" s="58">
        <v>107</v>
      </c>
      <c r="E4376" s="59">
        <v>0</v>
      </c>
    </row>
    <row r="4377" spans="1:5" ht="15" x14ac:dyDescent="0.35">
      <c r="A4377" s="58" t="s">
        <v>253</v>
      </c>
      <c r="B4377" s="58" t="s">
        <v>182</v>
      </c>
      <c r="C4377" s="58">
        <v>5</v>
      </c>
      <c r="D4377" s="58">
        <v>108</v>
      </c>
      <c r="E4377" s="59">
        <v>0</v>
      </c>
    </row>
    <row r="4378" spans="1:5" ht="15" x14ac:dyDescent="0.35">
      <c r="A4378" s="58" t="s">
        <v>253</v>
      </c>
      <c r="B4378" s="58" t="s">
        <v>182</v>
      </c>
      <c r="C4378" s="58">
        <v>6</v>
      </c>
      <c r="D4378" s="58">
        <v>109</v>
      </c>
      <c r="E4378" s="59">
        <v>0</v>
      </c>
    </row>
    <row r="4379" spans="1:5" ht="15" x14ac:dyDescent="0.35">
      <c r="A4379" s="58" t="s">
        <v>253</v>
      </c>
      <c r="B4379" s="58" t="s">
        <v>182</v>
      </c>
      <c r="C4379" s="58">
        <v>7</v>
      </c>
      <c r="D4379" s="58">
        <v>110</v>
      </c>
      <c r="E4379" s="59">
        <v>0</v>
      </c>
    </row>
    <row r="4380" spans="1:5" ht="15" x14ac:dyDescent="0.35">
      <c r="A4380" s="58" t="s">
        <v>253</v>
      </c>
      <c r="B4380" s="58" t="s">
        <v>182</v>
      </c>
      <c r="C4380" s="58">
        <v>8</v>
      </c>
      <c r="D4380" s="58">
        <v>111</v>
      </c>
      <c r="E4380" s="59">
        <v>0</v>
      </c>
    </row>
    <row r="4381" spans="1:5" ht="15" x14ac:dyDescent="0.35">
      <c r="A4381" s="58" t="s">
        <v>253</v>
      </c>
      <c r="B4381" s="58" t="s">
        <v>182</v>
      </c>
      <c r="C4381" s="58">
        <v>9</v>
      </c>
      <c r="D4381" s="58">
        <v>112</v>
      </c>
      <c r="E4381" s="59">
        <v>0</v>
      </c>
    </row>
    <row r="4382" spans="1:5" ht="15" x14ac:dyDescent="0.35">
      <c r="A4382" s="58" t="s">
        <v>253</v>
      </c>
      <c r="B4382" s="58" t="s">
        <v>182</v>
      </c>
      <c r="C4382" s="58">
        <v>10</v>
      </c>
      <c r="D4382" s="58">
        <v>113</v>
      </c>
      <c r="E4382" s="59">
        <v>0</v>
      </c>
    </row>
    <row r="4383" spans="1:5" ht="15" x14ac:dyDescent="0.35">
      <c r="A4383" s="58" t="s">
        <v>253</v>
      </c>
      <c r="B4383" s="58" t="s">
        <v>182</v>
      </c>
      <c r="C4383" s="58">
        <v>11</v>
      </c>
      <c r="D4383" s="58">
        <v>114</v>
      </c>
      <c r="E4383" s="59">
        <v>0</v>
      </c>
    </row>
    <row r="4384" spans="1:5" ht="15" x14ac:dyDescent="0.35">
      <c r="A4384" s="58" t="s">
        <v>253</v>
      </c>
      <c r="B4384" s="58" t="s">
        <v>182</v>
      </c>
      <c r="C4384" s="58">
        <v>12</v>
      </c>
      <c r="D4384" s="58">
        <v>115</v>
      </c>
      <c r="E4384" s="59">
        <v>0</v>
      </c>
    </row>
    <row r="4385" spans="1:5" ht="15" x14ac:dyDescent="0.35">
      <c r="A4385" s="58" t="s">
        <v>253</v>
      </c>
      <c r="B4385" s="58" t="s">
        <v>176</v>
      </c>
      <c r="C4385" s="58">
        <v>1</v>
      </c>
      <c r="D4385" s="58">
        <v>104</v>
      </c>
      <c r="E4385" s="59">
        <v>0</v>
      </c>
    </row>
    <row r="4386" spans="1:5" ht="15" x14ac:dyDescent="0.35">
      <c r="A4386" s="58" t="s">
        <v>253</v>
      </c>
      <c r="B4386" s="58" t="s">
        <v>176</v>
      </c>
      <c r="C4386" s="58">
        <v>2</v>
      </c>
      <c r="D4386" s="58">
        <v>105</v>
      </c>
      <c r="E4386" s="59">
        <v>0</v>
      </c>
    </row>
    <row r="4387" spans="1:5" ht="15" x14ac:dyDescent="0.35">
      <c r="A4387" s="58" t="s">
        <v>253</v>
      </c>
      <c r="B4387" s="58" t="s">
        <v>176</v>
      </c>
      <c r="C4387" s="58">
        <v>3</v>
      </c>
      <c r="D4387" s="58">
        <v>106</v>
      </c>
      <c r="E4387" s="59">
        <v>0</v>
      </c>
    </row>
    <row r="4388" spans="1:5" ht="15" x14ac:dyDescent="0.35">
      <c r="A4388" s="58" t="s">
        <v>253</v>
      </c>
      <c r="B4388" s="58" t="s">
        <v>176</v>
      </c>
      <c r="C4388" s="58">
        <v>4</v>
      </c>
      <c r="D4388" s="58">
        <v>107</v>
      </c>
      <c r="E4388" s="59">
        <v>0</v>
      </c>
    </row>
    <row r="4389" spans="1:5" ht="15" x14ac:dyDescent="0.35">
      <c r="A4389" s="58" t="s">
        <v>253</v>
      </c>
      <c r="B4389" s="58" t="s">
        <v>176</v>
      </c>
      <c r="C4389" s="58">
        <v>5</v>
      </c>
      <c r="D4389" s="58">
        <v>108</v>
      </c>
      <c r="E4389" s="59">
        <v>0</v>
      </c>
    </row>
    <row r="4390" spans="1:5" ht="15" x14ac:dyDescent="0.35">
      <c r="A4390" s="58" t="s">
        <v>253</v>
      </c>
      <c r="B4390" s="58" t="s">
        <v>176</v>
      </c>
      <c r="C4390" s="58">
        <v>6</v>
      </c>
      <c r="D4390" s="58">
        <v>109</v>
      </c>
      <c r="E4390" s="59">
        <v>0</v>
      </c>
    </row>
    <row r="4391" spans="1:5" ht="15" x14ac:dyDescent="0.35">
      <c r="A4391" s="58" t="s">
        <v>253</v>
      </c>
      <c r="B4391" s="58" t="s">
        <v>176</v>
      </c>
      <c r="C4391" s="58">
        <v>7</v>
      </c>
      <c r="D4391" s="58">
        <v>110</v>
      </c>
      <c r="E4391" s="59">
        <v>0</v>
      </c>
    </row>
    <row r="4392" spans="1:5" ht="15" x14ac:dyDescent="0.35">
      <c r="A4392" s="58" t="s">
        <v>253</v>
      </c>
      <c r="B4392" s="58" t="s">
        <v>176</v>
      </c>
      <c r="C4392" s="58">
        <v>8</v>
      </c>
      <c r="D4392" s="58">
        <v>111</v>
      </c>
      <c r="E4392" s="59">
        <v>0</v>
      </c>
    </row>
    <row r="4393" spans="1:5" ht="15" x14ac:dyDescent="0.35">
      <c r="A4393" s="58" t="s">
        <v>253</v>
      </c>
      <c r="B4393" s="58" t="s">
        <v>176</v>
      </c>
      <c r="C4393" s="58">
        <v>9</v>
      </c>
      <c r="D4393" s="58">
        <v>112</v>
      </c>
      <c r="E4393" s="59">
        <v>0</v>
      </c>
    </row>
    <row r="4394" spans="1:5" ht="15" x14ac:dyDescent="0.35">
      <c r="A4394" s="58" t="s">
        <v>253</v>
      </c>
      <c r="B4394" s="58" t="s">
        <v>176</v>
      </c>
      <c r="C4394" s="58">
        <v>10</v>
      </c>
      <c r="D4394" s="58">
        <v>113</v>
      </c>
      <c r="E4394" s="59">
        <v>0</v>
      </c>
    </row>
    <row r="4395" spans="1:5" ht="15" x14ac:dyDescent="0.35">
      <c r="A4395" s="58" t="s">
        <v>253</v>
      </c>
      <c r="B4395" s="58" t="s">
        <v>176</v>
      </c>
      <c r="C4395" s="58">
        <v>11</v>
      </c>
      <c r="D4395" s="58">
        <v>114</v>
      </c>
      <c r="E4395" s="59">
        <v>0</v>
      </c>
    </row>
    <row r="4396" spans="1:5" ht="15" x14ac:dyDescent="0.35">
      <c r="A4396" s="58" t="s">
        <v>253</v>
      </c>
      <c r="B4396" s="58" t="s">
        <v>176</v>
      </c>
      <c r="C4396" s="58">
        <v>12</v>
      </c>
      <c r="D4396" s="58">
        <v>115</v>
      </c>
      <c r="E4396" s="59">
        <v>0</v>
      </c>
    </row>
    <row r="4397" spans="1:5" ht="15" x14ac:dyDescent="0.35">
      <c r="A4397" s="58" t="s">
        <v>253</v>
      </c>
      <c r="B4397" s="58" t="s">
        <v>172</v>
      </c>
      <c r="C4397" s="58">
        <v>1</v>
      </c>
      <c r="D4397" s="58">
        <v>104</v>
      </c>
      <c r="E4397" s="59">
        <v>0</v>
      </c>
    </row>
    <row r="4398" spans="1:5" ht="15" x14ac:dyDescent="0.35">
      <c r="A4398" s="58" t="s">
        <v>253</v>
      </c>
      <c r="B4398" s="58" t="s">
        <v>172</v>
      </c>
      <c r="C4398" s="58">
        <v>2</v>
      </c>
      <c r="D4398" s="58">
        <v>105</v>
      </c>
      <c r="E4398" s="59">
        <v>0</v>
      </c>
    </row>
    <row r="4399" spans="1:5" ht="15" x14ac:dyDescent="0.35">
      <c r="A4399" s="58" t="s">
        <v>253</v>
      </c>
      <c r="B4399" s="58" t="s">
        <v>172</v>
      </c>
      <c r="C4399" s="58">
        <v>3</v>
      </c>
      <c r="D4399" s="58">
        <v>106</v>
      </c>
      <c r="E4399" s="59">
        <v>0</v>
      </c>
    </row>
    <row r="4400" spans="1:5" ht="15" x14ac:dyDescent="0.35">
      <c r="A4400" s="58" t="s">
        <v>253</v>
      </c>
      <c r="B4400" s="58" t="s">
        <v>172</v>
      </c>
      <c r="C4400" s="58">
        <v>4</v>
      </c>
      <c r="D4400" s="58">
        <v>107</v>
      </c>
      <c r="E4400" s="59">
        <v>0</v>
      </c>
    </row>
    <row r="4401" spans="1:5" ht="15" x14ac:dyDescent="0.35">
      <c r="A4401" s="58" t="s">
        <v>253</v>
      </c>
      <c r="B4401" s="58" t="s">
        <v>172</v>
      </c>
      <c r="C4401" s="58">
        <v>5</v>
      </c>
      <c r="D4401" s="58">
        <v>108</v>
      </c>
      <c r="E4401" s="59">
        <v>0</v>
      </c>
    </row>
    <row r="4402" spans="1:5" ht="15" x14ac:dyDescent="0.35">
      <c r="A4402" s="58" t="s">
        <v>253</v>
      </c>
      <c r="B4402" s="58" t="s">
        <v>172</v>
      </c>
      <c r="C4402" s="58">
        <v>6</v>
      </c>
      <c r="D4402" s="58">
        <v>109</v>
      </c>
      <c r="E4402" s="59">
        <v>0</v>
      </c>
    </row>
    <row r="4403" spans="1:5" ht="15" x14ac:dyDescent="0.35">
      <c r="A4403" s="58" t="s">
        <v>253</v>
      </c>
      <c r="B4403" s="58" t="s">
        <v>172</v>
      </c>
      <c r="C4403" s="58">
        <v>7</v>
      </c>
      <c r="D4403" s="58">
        <v>110</v>
      </c>
      <c r="E4403" s="59">
        <v>0</v>
      </c>
    </row>
    <row r="4404" spans="1:5" ht="15" x14ac:dyDescent="0.35">
      <c r="A4404" s="58" t="s">
        <v>253</v>
      </c>
      <c r="B4404" s="58" t="s">
        <v>172</v>
      </c>
      <c r="C4404" s="58">
        <v>8</v>
      </c>
      <c r="D4404" s="58">
        <v>111</v>
      </c>
      <c r="E4404" s="59">
        <v>0</v>
      </c>
    </row>
    <row r="4405" spans="1:5" ht="15" x14ac:dyDescent="0.35">
      <c r="A4405" s="58" t="s">
        <v>253</v>
      </c>
      <c r="B4405" s="58" t="s">
        <v>172</v>
      </c>
      <c r="C4405" s="58">
        <v>9</v>
      </c>
      <c r="D4405" s="58">
        <v>112</v>
      </c>
      <c r="E4405" s="59">
        <v>0</v>
      </c>
    </row>
    <row r="4406" spans="1:5" ht="15" x14ac:dyDescent="0.35">
      <c r="A4406" s="58" t="s">
        <v>253</v>
      </c>
      <c r="B4406" s="58" t="s">
        <v>172</v>
      </c>
      <c r="C4406" s="58">
        <v>10</v>
      </c>
      <c r="D4406" s="58">
        <v>113</v>
      </c>
      <c r="E4406" s="59">
        <v>0</v>
      </c>
    </row>
    <row r="4407" spans="1:5" ht="15" x14ac:dyDescent="0.35">
      <c r="A4407" s="58" t="s">
        <v>253</v>
      </c>
      <c r="B4407" s="58" t="s">
        <v>172</v>
      </c>
      <c r="C4407" s="58">
        <v>11</v>
      </c>
      <c r="D4407" s="58">
        <v>114</v>
      </c>
      <c r="E4407" s="59">
        <v>0</v>
      </c>
    </row>
    <row r="4408" spans="1:5" ht="15" x14ac:dyDescent="0.35">
      <c r="A4408" s="58" t="s">
        <v>253</v>
      </c>
      <c r="B4408" s="58" t="s">
        <v>172</v>
      </c>
      <c r="C4408" s="58">
        <v>12</v>
      </c>
      <c r="D4408" s="58">
        <v>115</v>
      </c>
      <c r="E4408" s="59">
        <v>0</v>
      </c>
    </row>
    <row r="4409" spans="1:5" ht="15" x14ac:dyDescent="0.35">
      <c r="A4409" s="58" t="s">
        <v>253</v>
      </c>
      <c r="B4409" s="58" t="s">
        <v>180</v>
      </c>
      <c r="C4409" s="58">
        <v>1</v>
      </c>
      <c r="D4409" s="58">
        <v>104</v>
      </c>
      <c r="E4409" s="59">
        <v>5.16E-2</v>
      </c>
    </row>
    <row r="4410" spans="1:5" ht="15" x14ac:dyDescent="0.35">
      <c r="A4410" s="58" t="s">
        <v>253</v>
      </c>
      <c r="B4410" s="58" t="s">
        <v>180</v>
      </c>
      <c r="C4410" s="58">
        <v>2</v>
      </c>
      <c r="D4410" s="58">
        <v>105</v>
      </c>
      <c r="E4410" s="59">
        <v>5.16E-2</v>
      </c>
    </row>
    <row r="4411" spans="1:5" ht="15" x14ac:dyDescent="0.35">
      <c r="A4411" s="58" t="s">
        <v>253</v>
      </c>
      <c r="B4411" s="58" t="s">
        <v>180</v>
      </c>
      <c r="C4411" s="58">
        <v>3</v>
      </c>
      <c r="D4411" s="58">
        <v>106</v>
      </c>
      <c r="E4411" s="59">
        <v>5.16E-2</v>
      </c>
    </row>
    <row r="4412" spans="1:5" ht="15" x14ac:dyDescent="0.35">
      <c r="A4412" s="58" t="s">
        <v>253</v>
      </c>
      <c r="B4412" s="58" t="s">
        <v>180</v>
      </c>
      <c r="C4412" s="58">
        <v>4</v>
      </c>
      <c r="D4412" s="58">
        <v>107</v>
      </c>
      <c r="E4412" s="59">
        <v>5.16E-2</v>
      </c>
    </row>
    <row r="4413" spans="1:5" ht="15" x14ac:dyDescent="0.35">
      <c r="A4413" s="58" t="s">
        <v>253</v>
      </c>
      <c r="B4413" s="58" t="s">
        <v>180</v>
      </c>
      <c r="C4413" s="58">
        <v>5</v>
      </c>
      <c r="D4413" s="58">
        <v>108</v>
      </c>
      <c r="E4413" s="59">
        <v>5.16E-2</v>
      </c>
    </row>
    <row r="4414" spans="1:5" ht="15" x14ac:dyDescent="0.35">
      <c r="A4414" s="58" t="s">
        <v>253</v>
      </c>
      <c r="B4414" s="58" t="s">
        <v>180</v>
      </c>
      <c r="C4414" s="58">
        <v>6</v>
      </c>
      <c r="D4414" s="58">
        <v>109</v>
      </c>
      <c r="E4414" s="59">
        <v>5.16E-2</v>
      </c>
    </row>
    <row r="4415" spans="1:5" ht="15" x14ac:dyDescent="0.35">
      <c r="A4415" s="58" t="s">
        <v>253</v>
      </c>
      <c r="B4415" s="58" t="s">
        <v>180</v>
      </c>
      <c r="C4415" s="58">
        <v>7</v>
      </c>
      <c r="D4415" s="58">
        <v>110</v>
      </c>
      <c r="E4415" s="59">
        <v>5.16E-2</v>
      </c>
    </row>
    <row r="4416" spans="1:5" ht="15" x14ac:dyDescent="0.35">
      <c r="A4416" s="58" t="s">
        <v>253</v>
      </c>
      <c r="B4416" s="58" t="s">
        <v>180</v>
      </c>
      <c r="C4416" s="58">
        <v>8</v>
      </c>
      <c r="D4416" s="58">
        <v>111</v>
      </c>
      <c r="E4416" s="59">
        <v>5.16E-2</v>
      </c>
    </row>
    <row r="4417" spans="1:5" ht="15" x14ac:dyDescent="0.35">
      <c r="A4417" s="58" t="s">
        <v>253</v>
      </c>
      <c r="B4417" s="58" t="s">
        <v>180</v>
      </c>
      <c r="C4417" s="58">
        <v>9</v>
      </c>
      <c r="D4417" s="58">
        <v>112</v>
      </c>
      <c r="E4417" s="59">
        <v>5.16E-2</v>
      </c>
    </row>
    <row r="4418" spans="1:5" ht="15" x14ac:dyDescent="0.35">
      <c r="A4418" s="58" t="s">
        <v>253</v>
      </c>
      <c r="B4418" s="58" t="s">
        <v>180</v>
      </c>
      <c r="C4418" s="58">
        <v>10</v>
      </c>
      <c r="D4418" s="58">
        <v>113</v>
      </c>
      <c r="E4418" s="59">
        <v>5.16E-2</v>
      </c>
    </row>
    <row r="4419" spans="1:5" ht="15" x14ac:dyDescent="0.35">
      <c r="A4419" s="58" t="s">
        <v>253</v>
      </c>
      <c r="B4419" s="58" t="s">
        <v>180</v>
      </c>
      <c r="C4419" s="58">
        <v>11</v>
      </c>
      <c r="D4419" s="58">
        <v>114</v>
      </c>
      <c r="E4419" s="59">
        <v>5.16E-2</v>
      </c>
    </row>
    <row r="4420" spans="1:5" ht="15" x14ac:dyDescent="0.35">
      <c r="A4420" s="58" t="s">
        <v>253</v>
      </c>
      <c r="B4420" s="58" t="s">
        <v>180</v>
      </c>
      <c r="C4420" s="58">
        <v>12</v>
      </c>
      <c r="D4420" s="58">
        <v>115</v>
      </c>
      <c r="E4420" s="59">
        <v>5.16E-2</v>
      </c>
    </row>
    <row r="4421" spans="1:5" ht="15" x14ac:dyDescent="0.35">
      <c r="A4421" s="58" t="s">
        <v>339</v>
      </c>
      <c r="B4421" s="58" t="s">
        <v>182</v>
      </c>
      <c r="C4421" s="58">
        <v>1</v>
      </c>
      <c r="D4421" s="58">
        <v>104</v>
      </c>
      <c r="E4421" s="59">
        <v>90.395600000000002</v>
      </c>
    </row>
    <row r="4422" spans="1:5" ht="15" x14ac:dyDescent="0.35">
      <c r="A4422" s="58" t="s">
        <v>339</v>
      </c>
      <c r="B4422" s="58" t="s">
        <v>182</v>
      </c>
      <c r="C4422" s="58">
        <v>2</v>
      </c>
      <c r="D4422" s="58">
        <v>105</v>
      </c>
      <c r="E4422" s="59">
        <v>0</v>
      </c>
    </row>
    <row r="4423" spans="1:5" ht="15" x14ac:dyDescent="0.35">
      <c r="A4423" s="58" t="s">
        <v>339</v>
      </c>
      <c r="B4423" s="58" t="s">
        <v>182</v>
      </c>
      <c r="C4423" s="58">
        <v>3</v>
      </c>
      <c r="D4423" s="58">
        <v>106</v>
      </c>
      <c r="E4423" s="59">
        <v>0</v>
      </c>
    </row>
    <row r="4424" spans="1:5" ht="15" x14ac:dyDescent="0.35">
      <c r="A4424" s="58" t="s">
        <v>339</v>
      </c>
      <c r="B4424" s="58" t="s">
        <v>182</v>
      </c>
      <c r="C4424" s="58">
        <v>4</v>
      </c>
      <c r="D4424" s="58">
        <v>107</v>
      </c>
      <c r="E4424" s="59">
        <v>0</v>
      </c>
    </row>
    <row r="4425" spans="1:5" ht="15" x14ac:dyDescent="0.35">
      <c r="A4425" s="58" t="s">
        <v>339</v>
      </c>
      <c r="B4425" s="58" t="s">
        <v>182</v>
      </c>
      <c r="C4425" s="58">
        <v>5</v>
      </c>
      <c r="D4425" s="58">
        <v>108</v>
      </c>
      <c r="E4425" s="59">
        <v>0</v>
      </c>
    </row>
    <row r="4426" spans="1:5" ht="15" x14ac:dyDescent="0.35">
      <c r="A4426" s="58" t="s">
        <v>339</v>
      </c>
      <c r="B4426" s="58" t="s">
        <v>182</v>
      </c>
      <c r="C4426" s="58">
        <v>6</v>
      </c>
      <c r="D4426" s="58">
        <v>109</v>
      </c>
      <c r="E4426" s="59">
        <v>0</v>
      </c>
    </row>
    <row r="4427" spans="1:5" ht="15" x14ac:dyDescent="0.35">
      <c r="A4427" s="58" t="s">
        <v>339</v>
      </c>
      <c r="B4427" s="58" t="s">
        <v>182</v>
      </c>
      <c r="C4427" s="58">
        <v>7</v>
      </c>
      <c r="D4427" s="58">
        <v>110</v>
      </c>
      <c r="E4427" s="59">
        <v>0</v>
      </c>
    </row>
    <row r="4428" spans="1:5" ht="15" x14ac:dyDescent="0.35">
      <c r="A4428" s="58" t="s">
        <v>339</v>
      </c>
      <c r="B4428" s="58" t="s">
        <v>182</v>
      </c>
      <c r="C4428" s="58">
        <v>8</v>
      </c>
      <c r="D4428" s="58">
        <v>111</v>
      </c>
      <c r="E4428" s="59">
        <v>0</v>
      </c>
    </row>
    <row r="4429" spans="1:5" ht="15" x14ac:dyDescent="0.35">
      <c r="A4429" s="58" t="s">
        <v>339</v>
      </c>
      <c r="B4429" s="58" t="s">
        <v>182</v>
      </c>
      <c r="C4429" s="58">
        <v>9</v>
      </c>
      <c r="D4429" s="58">
        <v>112</v>
      </c>
      <c r="E4429" s="59">
        <v>0</v>
      </c>
    </row>
    <row r="4430" spans="1:5" ht="15" x14ac:dyDescent="0.35">
      <c r="A4430" s="58" t="s">
        <v>339</v>
      </c>
      <c r="B4430" s="58" t="s">
        <v>182</v>
      </c>
      <c r="C4430" s="58">
        <v>10</v>
      </c>
      <c r="D4430" s="58">
        <v>113</v>
      </c>
      <c r="E4430" s="59">
        <v>0</v>
      </c>
    </row>
    <row r="4431" spans="1:5" ht="15" x14ac:dyDescent="0.35">
      <c r="A4431" s="58" t="s">
        <v>339</v>
      </c>
      <c r="B4431" s="58" t="s">
        <v>182</v>
      </c>
      <c r="C4431" s="58">
        <v>11</v>
      </c>
      <c r="D4431" s="58">
        <v>114</v>
      </c>
      <c r="E4431" s="59">
        <v>0</v>
      </c>
    </row>
    <row r="4432" spans="1:5" ht="15" x14ac:dyDescent="0.35">
      <c r="A4432" s="58" t="s">
        <v>339</v>
      </c>
      <c r="B4432" s="58" t="s">
        <v>182</v>
      </c>
      <c r="C4432" s="58">
        <v>12</v>
      </c>
      <c r="D4432" s="58">
        <v>115</v>
      </c>
      <c r="E4432" s="59">
        <v>0</v>
      </c>
    </row>
    <row r="4433" spans="1:5" ht="15" x14ac:dyDescent="0.35">
      <c r="A4433" s="58" t="s">
        <v>339</v>
      </c>
      <c r="B4433" s="58" t="s">
        <v>176</v>
      </c>
      <c r="C4433" s="58">
        <v>1</v>
      </c>
      <c r="D4433" s="58">
        <v>104</v>
      </c>
      <c r="E4433" s="59">
        <v>33.75</v>
      </c>
    </row>
    <row r="4434" spans="1:5" ht="15" x14ac:dyDescent="0.35">
      <c r="A4434" s="58" t="s">
        <v>339</v>
      </c>
      <c r="B4434" s="58" t="s">
        <v>176</v>
      </c>
      <c r="C4434" s="58">
        <v>2</v>
      </c>
      <c r="D4434" s="58">
        <v>105</v>
      </c>
      <c r="E4434" s="59">
        <v>33.75</v>
      </c>
    </row>
    <row r="4435" spans="1:5" ht="15" x14ac:dyDescent="0.35">
      <c r="A4435" s="58" t="s">
        <v>339</v>
      </c>
      <c r="B4435" s="58" t="s">
        <v>176</v>
      </c>
      <c r="C4435" s="58">
        <v>3</v>
      </c>
      <c r="D4435" s="58">
        <v>106</v>
      </c>
      <c r="E4435" s="59">
        <v>33.75</v>
      </c>
    </row>
    <row r="4436" spans="1:5" ht="15" x14ac:dyDescent="0.35">
      <c r="A4436" s="58" t="s">
        <v>339</v>
      </c>
      <c r="B4436" s="58" t="s">
        <v>176</v>
      </c>
      <c r="C4436" s="58">
        <v>4</v>
      </c>
      <c r="D4436" s="58">
        <v>107</v>
      </c>
      <c r="E4436" s="59">
        <v>33.75</v>
      </c>
    </row>
    <row r="4437" spans="1:5" ht="15" x14ac:dyDescent="0.35">
      <c r="A4437" s="58" t="s">
        <v>339</v>
      </c>
      <c r="B4437" s="58" t="s">
        <v>176</v>
      </c>
      <c r="C4437" s="58">
        <v>5</v>
      </c>
      <c r="D4437" s="58">
        <v>108</v>
      </c>
      <c r="E4437" s="59">
        <v>33.75</v>
      </c>
    </row>
    <row r="4438" spans="1:5" ht="15" x14ac:dyDescent="0.35">
      <c r="A4438" s="58" t="s">
        <v>339</v>
      </c>
      <c r="B4438" s="58" t="s">
        <v>176</v>
      </c>
      <c r="C4438" s="58">
        <v>6</v>
      </c>
      <c r="D4438" s="58">
        <v>109</v>
      </c>
      <c r="E4438" s="59">
        <v>33.75</v>
      </c>
    </row>
    <row r="4439" spans="1:5" ht="15" x14ac:dyDescent="0.35">
      <c r="A4439" s="58" t="s">
        <v>339</v>
      </c>
      <c r="B4439" s="58" t="s">
        <v>176</v>
      </c>
      <c r="C4439" s="58">
        <v>7</v>
      </c>
      <c r="D4439" s="58">
        <v>110</v>
      </c>
      <c r="E4439" s="59">
        <v>33.75</v>
      </c>
    </row>
    <row r="4440" spans="1:5" ht="15" x14ac:dyDescent="0.35">
      <c r="A4440" s="58" t="s">
        <v>339</v>
      </c>
      <c r="B4440" s="58" t="s">
        <v>176</v>
      </c>
      <c r="C4440" s="58">
        <v>8</v>
      </c>
      <c r="D4440" s="58">
        <v>111</v>
      </c>
      <c r="E4440" s="59">
        <v>33.75</v>
      </c>
    </row>
    <row r="4441" spans="1:5" ht="15" x14ac:dyDescent="0.35">
      <c r="A4441" s="58" t="s">
        <v>339</v>
      </c>
      <c r="B4441" s="58" t="s">
        <v>176</v>
      </c>
      <c r="C4441" s="58">
        <v>9</v>
      </c>
      <c r="D4441" s="58">
        <v>112</v>
      </c>
      <c r="E4441" s="59">
        <v>33.75</v>
      </c>
    </row>
    <row r="4442" spans="1:5" ht="15" x14ac:dyDescent="0.35">
      <c r="A4442" s="58" t="s">
        <v>339</v>
      </c>
      <c r="B4442" s="58" t="s">
        <v>176</v>
      </c>
      <c r="C4442" s="58">
        <v>10</v>
      </c>
      <c r="D4442" s="58">
        <v>113</v>
      </c>
      <c r="E4442" s="59">
        <v>33.75</v>
      </c>
    </row>
    <row r="4443" spans="1:5" ht="15" x14ac:dyDescent="0.35">
      <c r="A4443" s="58" t="s">
        <v>339</v>
      </c>
      <c r="B4443" s="58" t="s">
        <v>176</v>
      </c>
      <c r="C4443" s="58">
        <v>11</v>
      </c>
      <c r="D4443" s="58">
        <v>114</v>
      </c>
      <c r="E4443" s="59">
        <v>33.75</v>
      </c>
    </row>
    <row r="4444" spans="1:5" ht="15" x14ac:dyDescent="0.35">
      <c r="A4444" s="58" t="s">
        <v>339</v>
      </c>
      <c r="B4444" s="58" t="s">
        <v>176</v>
      </c>
      <c r="C4444" s="58">
        <v>12</v>
      </c>
      <c r="D4444" s="58">
        <v>115</v>
      </c>
      <c r="E4444" s="59">
        <v>33.75</v>
      </c>
    </row>
    <row r="4445" spans="1:5" ht="15" x14ac:dyDescent="0.35">
      <c r="A4445" s="58" t="s">
        <v>339</v>
      </c>
      <c r="B4445" s="58" t="s">
        <v>172</v>
      </c>
      <c r="C4445" s="58">
        <v>1</v>
      </c>
      <c r="D4445" s="58">
        <v>104</v>
      </c>
      <c r="E4445" s="59">
        <v>37</v>
      </c>
    </row>
    <row r="4446" spans="1:5" ht="15" x14ac:dyDescent="0.35">
      <c r="A4446" s="58" t="s">
        <v>339</v>
      </c>
      <c r="B4446" s="58" t="s">
        <v>172</v>
      </c>
      <c r="C4446" s="58">
        <v>2</v>
      </c>
      <c r="D4446" s="58">
        <v>105</v>
      </c>
      <c r="E4446" s="59">
        <v>37</v>
      </c>
    </row>
    <row r="4447" spans="1:5" ht="15" x14ac:dyDescent="0.35">
      <c r="A4447" s="58" t="s">
        <v>339</v>
      </c>
      <c r="B4447" s="58" t="s">
        <v>172</v>
      </c>
      <c r="C4447" s="58">
        <v>3</v>
      </c>
      <c r="D4447" s="58">
        <v>106</v>
      </c>
      <c r="E4447" s="59">
        <v>37</v>
      </c>
    </row>
    <row r="4448" spans="1:5" ht="15" x14ac:dyDescent="0.35">
      <c r="A4448" s="58" t="s">
        <v>339</v>
      </c>
      <c r="B4448" s="58" t="s">
        <v>172</v>
      </c>
      <c r="C4448" s="58">
        <v>4</v>
      </c>
      <c r="D4448" s="58">
        <v>107</v>
      </c>
      <c r="E4448" s="59">
        <v>37</v>
      </c>
    </row>
    <row r="4449" spans="1:5" ht="15" x14ac:dyDescent="0.35">
      <c r="A4449" s="58" t="s">
        <v>339</v>
      </c>
      <c r="B4449" s="58" t="s">
        <v>172</v>
      </c>
      <c r="C4449" s="58">
        <v>5</v>
      </c>
      <c r="D4449" s="58">
        <v>108</v>
      </c>
      <c r="E4449" s="59">
        <v>37</v>
      </c>
    </row>
    <row r="4450" spans="1:5" ht="15" x14ac:dyDescent="0.35">
      <c r="A4450" s="58" t="s">
        <v>339</v>
      </c>
      <c r="B4450" s="58" t="s">
        <v>172</v>
      </c>
      <c r="C4450" s="58">
        <v>6</v>
      </c>
      <c r="D4450" s="58">
        <v>109</v>
      </c>
      <c r="E4450" s="59">
        <v>37</v>
      </c>
    </row>
    <row r="4451" spans="1:5" ht="15" x14ac:dyDescent="0.35">
      <c r="A4451" s="58" t="s">
        <v>339</v>
      </c>
      <c r="B4451" s="58" t="s">
        <v>172</v>
      </c>
      <c r="C4451" s="58">
        <v>7</v>
      </c>
      <c r="D4451" s="58">
        <v>110</v>
      </c>
      <c r="E4451" s="59">
        <v>37</v>
      </c>
    </row>
    <row r="4452" spans="1:5" ht="15" x14ac:dyDescent="0.35">
      <c r="A4452" s="58" t="s">
        <v>339</v>
      </c>
      <c r="B4452" s="58" t="s">
        <v>172</v>
      </c>
      <c r="C4452" s="58">
        <v>8</v>
      </c>
      <c r="D4452" s="58">
        <v>111</v>
      </c>
      <c r="E4452" s="59">
        <v>37</v>
      </c>
    </row>
    <row r="4453" spans="1:5" ht="15" x14ac:dyDescent="0.35">
      <c r="A4453" s="58" t="s">
        <v>339</v>
      </c>
      <c r="B4453" s="58" t="s">
        <v>172</v>
      </c>
      <c r="C4453" s="58">
        <v>9</v>
      </c>
      <c r="D4453" s="58">
        <v>112</v>
      </c>
      <c r="E4453" s="59">
        <v>37</v>
      </c>
    </row>
    <row r="4454" spans="1:5" ht="15" x14ac:dyDescent="0.35">
      <c r="A4454" s="58" t="s">
        <v>339</v>
      </c>
      <c r="B4454" s="58" t="s">
        <v>172</v>
      </c>
      <c r="C4454" s="58">
        <v>10</v>
      </c>
      <c r="D4454" s="58">
        <v>113</v>
      </c>
      <c r="E4454" s="59">
        <v>37</v>
      </c>
    </row>
    <row r="4455" spans="1:5" ht="15" x14ac:dyDescent="0.35">
      <c r="A4455" s="58" t="s">
        <v>339</v>
      </c>
      <c r="B4455" s="58" t="s">
        <v>172</v>
      </c>
      <c r="C4455" s="58">
        <v>11</v>
      </c>
      <c r="D4455" s="58">
        <v>114</v>
      </c>
      <c r="E4455" s="59">
        <v>37</v>
      </c>
    </row>
    <row r="4456" spans="1:5" ht="15" x14ac:dyDescent="0.35">
      <c r="A4456" s="58" t="s">
        <v>339</v>
      </c>
      <c r="B4456" s="58" t="s">
        <v>172</v>
      </c>
      <c r="C4456" s="58">
        <v>12</v>
      </c>
      <c r="D4456" s="58">
        <v>115</v>
      </c>
      <c r="E4456" s="59">
        <v>37</v>
      </c>
    </row>
    <row r="4457" spans="1:5" ht="15" x14ac:dyDescent="0.35">
      <c r="A4457" s="58" t="s">
        <v>339</v>
      </c>
      <c r="B4457" s="58" t="s">
        <v>180</v>
      </c>
      <c r="C4457" s="58">
        <v>1</v>
      </c>
      <c r="D4457" s="58">
        <v>104</v>
      </c>
      <c r="E4457" s="59">
        <v>52.075600000000001</v>
      </c>
    </row>
    <row r="4458" spans="1:5" ht="15" x14ac:dyDescent="0.35">
      <c r="A4458" s="58" t="s">
        <v>339</v>
      </c>
      <c r="B4458" s="58" t="s">
        <v>180</v>
      </c>
      <c r="C4458" s="58">
        <v>2</v>
      </c>
      <c r="D4458" s="58">
        <v>105</v>
      </c>
      <c r="E4458" s="59">
        <v>52.075600000000001</v>
      </c>
    </row>
    <row r="4459" spans="1:5" ht="15" x14ac:dyDescent="0.35">
      <c r="A4459" s="58" t="s">
        <v>339</v>
      </c>
      <c r="B4459" s="58" t="s">
        <v>180</v>
      </c>
      <c r="C4459" s="58">
        <v>3</v>
      </c>
      <c r="D4459" s="58">
        <v>106</v>
      </c>
      <c r="E4459" s="59">
        <v>52.075600000000001</v>
      </c>
    </row>
    <row r="4460" spans="1:5" ht="15" x14ac:dyDescent="0.35">
      <c r="A4460" s="58" t="s">
        <v>339</v>
      </c>
      <c r="B4460" s="58" t="s">
        <v>180</v>
      </c>
      <c r="C4460" s="58">
        <v>4</v>
      </c>
      <c r="D4460" s="58">
        <v>107</v>
      </c>
      <c r="E4460" s="59">
        <v>52.075600000000001</v>
      </c>
    </row>
    <row r="4461" spans="1:5" ht="15" x14ac:dyDescent="0.35">
      <c r="A4461" s="58" t="s">
        <v>339</v>
      </c>
      <c r="B4461" s="58" t="s">
        <v>180</v>
      </c>
      <c r="C4461" s="58">
        <v>5</v>
      </c>
      <c r="D4461" s="58">
        <v>108</v>
      </c>
      <c r="E4461" s="59">
        <v>52.075600000000001</v>
      </c>
    </row>
    <row r="4462" spans="1:5" ht="15" x14ac:dyDescent="0.35">
      <c r="A4462" s="58" t="s">
        <v>339</v>
      </c>
      <c r="B4462" s="58" t="s">
        <v>180</v>
      </c>
      <c r="C4462" s="58">
        <v>6</v>
      </c>
      <c r="D4462" s="58">
        <v>109</v>
      </c>
      <c r="E4462" s="59">
        <v>52.075600000000001</v>
      </c>
    </row>
    <row r="4463" spans="1:5" ht="15" x14ac:dyDescent="0.35">
      <c r="A4463" s="58" t="s">
        <v>339</v>
      </c>
      <c r="B4463" s="58" t="s">
        <v>180</v>
      </c>
      <c r="C4463" s="58">
        <v>7</v>
      </c>
      <c r="D4463" s="58">
        <v>110</v>
      </c>
      <c r="E4463" s="59">
        <v>52.075600000000001</v>
      </c>
    </row>
    <row r="4464" spans="1:5" ht="15" x14ac:dyDescent="0.35">
      <c r="A4464" s="58" t="s">
        <v>339</v>
      </c>
      <c r="B4464" s="58" t="s">
        <v>180</v>
      </c>
      <c r="C4464" s="58">
        <v>8</v>
      </c>
      <c r="D4464" s="58">
        <v>111</v>
      </c>
      <c r="E4464" s="59">
        <v>52.075600000000001</v>
      </c>
    </row>
    <row r="4465" spans="1:5" ht="15" x14ac:dyDescent="0.35">
      <c r="A4465" s="58" t="s">
        <v>339</v>
      </c>
      <c r="B4465" s="58" t="s">
        <v>180</v>
      </c>
      <c r="C4465" s="58">
        <v>9</v>
      </c>
      <c r="D4465" s="58">
        <v>112</v>
      </c>
      <c r="E4465" s="59">
        <v>52.075600000000001</v>
      </c>
    </row>
    <row r="4466" spans="1:5" ht="15" x14ac:dyDescent="0.35">
      <c r="A4466" s="58" t="s">
        <v>339</v>
      </c>
      <c r="B4466" s="58" t="s">
        <v>180</v>
      </c>
      <c r="C4466" s="58">
        <v>10</v>
      </c>
      <c r="D4466" s="58">
        <v>113</v>
      </c>
      <c r="E4466" s="59">
        <v>52.075600000000001</v>
      </c>
    </row>
    <row r="4467" spans="1:5" ht="15" x14ac:dyDescent="0.35">
      <c r="A4467" s="58" t="s">
        <v>339</v>
      </c>
      <c r="B4467" s="58" t="s">
        <v>180</v>
      </c>
      <c r="C4467" s="58">
        <v>11</v>
      </c>
      <c r="D4467" s="58">
        <v>114</v>
      </c>
      <c r="E4467" s="59">
        <v>52.075600000000001</v>
      </c>
    </row>
    <row r="4468" spans="1:5" ht="15" x14ac:dyDescent="0.35">
      <c r="A4468" s="58" t="s">
        <v>339</v>
      </c>
      <c r="B4468" s="58" t="s">
        <v>180</v>
      </c>
      <c r="C4468" s="58">
        <v>12</v>
      </c>
      <c r="D4468" s="58">
        <v>115</v>
      </c>
      <c r="E4468" s="59">
        <v>52.075600000000001</v>
      </c>
    </row>
    <row r="4469" spans="1:5" ht="15" x14ac:dyDescent="0.35">
      <c r="A4469" s="58" t="s">
        <v>347</v>
      </c>
      <c r="B4469" s="58" t="s">
        <v>182</v>
      </c>
      <c r="C4469" s="58">
        <v>1</v>
      </c>
      <c r="D4469" s="58">
        <v>104</v>
      </c>
      <c r="E4469" s="59">
        <v>221.68629999999999</v>
      </c>
    </row>
    <row r="4470" spans="1:5" ht="15" x14ac:dyDescent="0.35">
      <c r="A4470" s="58" t="s">
        <v>347</v>
      </c>
      <c r="B4470" s="58" t="s">
        <v>182</v>
      </c>
      <c r="C4470" s="58">
        <v>2</v>
      </c>
      <c r="D4470" s="58">
        <v>105</v>
      </c>
      <c r="E4470" s="59">
        <v>10.575200000000001</v>
      </c>
    </row>
    <row r="4471" spans="1:5" ht="15" x14ac:dyDescent="0.35">
      <c r="A4471" s="58" t="s">
        <v>347</v>
      </c>
      <c r="B4471" s="58" t="s">
        <v>182</v>
      </c>
      <c r="C4471" s="58">
        <v>3</v>
      </c>
      <c r="D4471" s="58">
        <v>106</v>
      </c>
      <c r="E4471" s="59">
        <v>10.575200000000001</v>
      </c>
    </row>
    <row r="4472" spans="1:5" ht="15" x14ac:dyDescent="0.35">
      <c r="A4472" s="58" t="s">
        <v>347</v>
      </c>
      <c r="B4472" s="58" t="s">
        <v>182</v>
      </c>
      <c r="C4472" s="58">
        <v>4</v>
      </c>
      <c r="D4472" s="58">
        <v>107</v>
      </c>
      <c r="E4472" s="59">
        <v>10.575200000000001</v>
      </c>
    </row>
    <row r="4473" spans="1:5" ht="15" x14ac:dyDescent="0.35">
      <c r="A4473" s="58" t="s">
        <v>347</v>
      </c>
      <c r="B4473" s="58" t="s">
        <v>182</v>
      </c>
      <c r="C4473" s="58">
        <v>5</v>
      </c>
      <c r="D4473" s="58">
        <v>108</v>
      </c>
      <c r="E4473" s="59">
        <v>10.575200000000001</v>
      </c>
    </row>
    <row r="4474" spans="1:5" ht="15" x14ac:dyDescent="0.35">
      <c r="A4474" s="58" t="s">
        <v>347</v>
      </c>
      <c r="B4474" s="58" t="s">
        <v>182</v>
      </c>
      <c r="C4474" s="58">
        <v>6</v>
      </c>
      <c r="D4474" s="58">
        <v>109</v>
      </c>
      <c r="E4474" s="59">
        <v>10.575200000000001</v>
      </c>
    </row>
    <row r="4475" spans="1:5" ht="15" x14ac:dyDescent="0.35">
      <c r="A4475" s="58" t="s">
        <v>347</v>
      </c>
      <c r="B4475" s="58" t="s">
        <v>182</v>
      </c>
      <c r="C4475" s="58">
        <v>7</v>
      </c>
      <c r="D4475" s="58">
        <v>110</v>
      </c>
      <c r="E4475" s="59">
        <v>10.575200000000001</v>
      </c>
    </row>
    <row r="4476" spans="1:5" ht="15" x14ac:dyDescent="0.35">
      <c r="A4476" s="58" t="s">
        <v>347</v>
      </c>
      <c r="B4476" s="58" t="s">
        <v>182</v>
      </c>
      <c r="C4476" s="58">
        <v>8</v>
      </c>
      <c r="D4476" s="58">
        <v>111</v>
      </c>
      <c r="E4476" s="59">
        <v>10.575200000000001</v>
      </c>
    </row>
    <row r="4477" spans="1:5" ht="15" x14ac:dyDescent="0.35">
      <c r="A4477" s="58" t="s">
        <v>347</v>
      </c>
      <c r="B4477" s="58" t="s">
        <v>182</v>
      </c>
      <c r="C4477" s="58">
        <v>9</v>
      </c>
      <c r="D4477" s="58">
        <v>112</v>
      </c>
      <c r="E4477" s="59">
        <v>10.575200000000001</v>
      </c>
    </row>
    <row r="4478" spans="1:5" ht="15" x14ac:dyDescent="0.35">
      <c r="A4478" s="58" t="s">
        <v>347</v>
      </c>
      <c r="B4478" s="58" t="s">
        <v>182</v>
      </c>
      <c r="C4478" s="58">
        <v>10</v>
      </c>
      <c r="D4478" s="58">
        <v>113</v>
      </c>
      <c r="E4478" s="59">
        <v>10.575200000000001</v>
      </c>
    </row>
    <row r="4479" spans="1:5" ht="15" x14ac:dyDescent="0.35">
      <c r="A4479" s="58" t="s">
        <v>347</v>
      </c>
      <c r="B4479" s="58" t="s">
        <v>182</v>
      </c>
      <c r="C4479" s="58">
        <v>11</v>
      </c>
      <c r="D4479" s="58">
        <v>114</v>
      </c>
      <c r="E4479" s="59">
        <v>10.575200000000001</v>
      </c>
    </row>
    <row r="4480" spans="1:5" ht="15" x14ac:dyDescent="0.35">
      <c r="A4480" s="58" t="s">
        <v>347</v>
      </c>
      <c r="B4480" s="58" t="s">
        <v>182</v>
      </c>
      <c r="C4480" s="58">
        <v>12</v>
      </c>
      <c r="D4480" s="58">
        <v>115</v>
      </c>
      <c r="E4480" s="59">
        <v>10.575200000000001</v>
      </c>
    </row>
    <row r="4481" spans="1:5" ht="15" x14ac:dyDescent="0.35">
      <c r="A4481" s="58" t="s">
        <v>347</v>
      </c>
      <c r="B4481" s="58" t="s">
        <v>176</v>
      </c>
      <c r="C4481" s="58">
        <v>1</v>
      </c>
      <c r="D4481" s="58">
        <v>104</v>
      </c>
      <c r="E4481" s="59">
        <v>221.625</v>
      </c>
    </row>
    <row r="4482" spans="1:5" ht="15" x14ac:dyDescent="0.35">
      <c r="A4482" s="58" t="s">
        <v>347</v>
      </c>
      <c r="B4482" s="58" t="s">
        <v>176</v>
      </c>
      <c r="C4482" s="58">
        <v>2</v>
      </c>
      <c r="D4482" s="58">
        <v>105</v>
      </c>
      <c r="E4482" s="59">
        <v>221.625</v>
      </c>
    </row>
    <row r="4483" spans="1:5" ht="15" x14ac:dyDescent="0.35">
      <c r="A4483" s="58" t="s">
        <v>347</v>
      </c>
      <c r="B4483" s="58" t="s">
        <v>176</v>
      </c>
      <c r="C4483" s="58">
        <v>3</v>
      </c>
      <c r="D4483" s="58">
        <v>106</v>
      </c>
      <c r="E4483" s="59">
        <v>221.625</v>
      </c>
    </row>
    <row r="4484" spans="1:5" ht="15" x14ac:dyDescent="0.35">
      <c r="A4484" s="58" t="s">
        <v>347</v>
      </c>
      <c r="B4484" s="58" t="s">
        <v>176</v>
      </c>
      <c r="C4484" s="58">
        <v>4</v>
      </c>
      <c r="D4484" s="58">
        <v>107</v>
      </c>
      <c r="E4484" s="59">
        <v>221.625</v>
      </c>
    </row>
    <row r="4485" spans="1:5" ht="15" x14ac:dyDescent="0.35">
      <c r="A4485" s="58" t="s">
        <v>347</v>
      </c>
      <c r="B4485" s="58" t="s">
        <v>176</v>
      </c>
      <c r="C4485" s="58">
        <v>5</v>
      </c>
      <c r="D4485" s="58">
        <v>108</v>
      </c>
      <c r="E4485" s="59">
        <v>221.625</v>
      </c>
    </row>
    <row r="4486" spans="1:5" ht="15" x14ac:dyDescent="0.35">
      <c r="A4486" s="58" t="s">
        <v>347</v>
      </c>
      <c r="B4486" s="58" t="s">
        <v>176</v>
      </c>
      <c r="C4486" s="58">
        <v>6</v>
      </c>
      <c r="D4486" s="58">
        <v>109</v>
      </c>
      <c r="E4486" s="59">
        <v>221.625</v>
      </c>
    </row>
    <row r="4487" spans="1:5" ht="15" x14ac:dyDescent="0.35">
      <c r="A4487" s="58" t="s">
        <v>347</v>
      </c>
      <c r="B4487" s="58" t="s">
        <v>176</v>
      </c>
      <c r="C4487" s="58">
        <v>7</v>
      </c>
      <c r="D4487" s="58">
        <v>110</v>
      </c>
      <c r="E4487" s="59">
        <v>221.625</v>
      </c>
    </row>
    <row r="4488" spans="1:5" ht="15" x14ac:dyDescent="0.35">
      <c r="A4488" s="58" t="s">
        <v>347</v>
      </c>
      <c r="B4488" s="58" t="s">
        <v>176</v>
      </c>
      <c r="C4488" s="58">
        <v>8</v>
      </c>
      <c r="D4488" s="58">
        <v>111</v>
      </c>
      <c r="E4488" s="59">
        <v>221.625</v>
      </c>
    </row>
    <row r="4489" spans="1:5" ht="15" x14ac:dyDescent="0.35">
      <c r="A4489" s="58" t="s">
        <v>347</v>
      </c>
      <c r="B4489" s="58" t="s">
        <v>176</v>
      </c>
      <c r="C4489" s="58">
        <v>9</v>
      </c>
      <c r="D4489" s="58">
        <v>112</v>
      </c>
      <c r="E4489" s="59">
        <v>221.625</v>
      </c>
    </row>
    <row r="4490" spans="1:5" ht="15" x14ac:dyDescent="0.35">
      <c r="A4490" s="58" t="s">
        <v>347</v>
      </c>
      <c r="B4490" s="58" t="s">
        <v>176</v>
      </c>
      <c r="C4490" s="58">
        <v>10</v>
      </c>
      <c r="D4490" s="58">
        <v>113</v>
      </c>
      <c r="E4490" s="59">
        <v>221.625</v>
      </c>
    </row>
    <row r="4491" spans="1:5" ht="15" x14ac:dyDescent="0.35">
      <c r="A4491" s="58" t="s">
        <v>347</v>
      </c>
      <c r="B4491" s="58" t="s">
        <v>176</v>
      </c>
      <c r="C4491" s="58">
        <v>11</v>
      </c>
      <c r="D4491" s="58">
        <v>114</v>
      </c>
      <c r="E4491" s="59">
        <v>221.625</v>
      </c>
    </row>
    <row r="4492" spans="1:5" ht="15" x14ac:dyDescent="0.35">
      <c r="A4492" s="58" t="s">
        <v>347</v>
      </c>
      <c r="B4492" s="58" t="s">
        <v>176</v>
      </c>
      <c r="C4492" s="58">
        <v>12</v>
      </c>
      <c r="D4492" s="58">
        <v>115</v>
      </c>
      <c r="E4492" s="59">
        <v>221.625</v>
      </c>
    </row>
    <row r="4493" spans="1:5" ht="15" x14ac:dyDescent="0.35">
      <c r="A4493" s="58" t="s">
        <v>347</v>
      </c>
      <c r="B4493" s="58" t="s">
        <v>172</v>
      </c>
      <c r="C4493" s="58">
        <v>1</v>
      </c>
      <c r="D4493" s="58">
        <v>104</v>
      </c>
      <c r="E4493" s="59">
        <v>273</v>
      </c>
    </row>
    <row r="4494" spans="1:5" ht="15" x14ac:dyDescent="0.35">
      <c r="A4494" s="58" t="s">
        <v>347</v>
      </c>
      <c r="B4494" s="58" t="s">
        <v>172</v>
      </c>
      <c r="C4494" s="58">
        <v>2</v>
      </c>
      <c r="D4494" s="58">
        <v>105</v>
      </c>
      <c r="E4494" s="59">
        <v>273</v>
      </c>
    </row>
    <row r="4495" spans="1:5" ht="15" x14ac:dyDescent="0.35">
      <c r="A4495" s="58" t="s">
        <v>347</v>
      </c>
      <c r="B4495" s="58" t="s">
        <v>172</v>
      </c>
      <c r="C4495" s="58">
        <v>3</v>
      </c>
      <c r="D4495" s="58">
        <v>106</v>
      </c>
      <c r="E4495" s="59">
        <v>273</v>
      </c>
    </row>
    <row r="4496" spans="1:5" ht="15" x14ac:dyDescent="0.35">
      <c r="A4496" s="58" t="s">
        <v>347</v>
      </c>
      <c r="B4496" s="58" t="s">
        <v>172</v>
      </c>
      <c r="C4496" s="58">
        <v>4</v>
      </c>
      <c r="D4496" s="58">
        <v>107</v>
      </c>
      <c r="E4496" s="59">
        <v>273</v>
      </c>
    </row>
    <row r="4497" spans="1:5" ht="15" x14ac:dyDescent="0.35">
      <c r="A4497" s="58" t="s">
        <v>347</v>
      </c>
      <c r="B4497" s="58" t="s">
        <v>172</v>
      </c>
      <c r="C4497" s="58">
        <v>5</v>
      </c>
      <c r="D4497" s="58">
        <v>108</v>
      </c>
      <c r="E4497" s="59">
        <v>273</v>
      </c>
    </row>
    <row r="4498" spans="1:5" ht="15" x14ac:dyDescent="0.35">
      <c r="A4498" s="58" t="s">
        <v>347</v>
      </c>
      <c r="B4498" s="58" t="s">
        <v>172</v>
      </c>
      <c r="C4498" s="58">
        <v>6</v>
      </c>
      <c r="D4498" s="58">
        <v>109</v>
      </c>
      <c r="E4498" s="59">
        <v>273</v>
      </c>
    </row>
    <row r="4499" spans="1:5" ht="15" x14ac:dyDescent="0.35">
      <c r="A4499" s="58" t="s">
        <v>347</v>
      </c>
      <c r="B4499" s="58" t="s">
        <v>172</v>
      </c>
      <c r="C4499" s="58">
        <v>7</v>
      </c>
      <c r="D4499" s="58">
        <v>110</v>
      </c>
      <c r="E4499" s="59">
        <v>273</v>
      </c>
    </row>
    <row r="4500" spans="1:5" ht="15" x14ac:dyDescent="0.35">
      <c r="A4500" s="58" t="s">
        <v>347</v>
      </c>
      <c r="B4500" s="58" t="s">
        <v>172</v>
      </c>
      <c r="C4500" s="58">
        <v>8</v>
      </c>
      <c r="D4500" s="58">
        <v>111</v>
      </c>
      <c r="E4500" s="59">
        <v>273</v>
      </c>
    </row>
    <row r="4501" spans="1:5" ht="15" x14ac:dyDescent="0.35">
      <c r="A4501" s="58" t="s">
        <v>347</v>
      </c>
      <c r="B4501" s="58" t="s">
        <v>172</v>
      </c>
      <c r="C4501" s="58">
        <v>9</v>
      </c>
      <c r="D4501" s="58">
        <v>112</v>
      </c>
      <c r="E4501" s="59">
        <v>273</v>
      </c>
    </row>
    <row r="4502" spans="1:5" ht="15" x14ac:dyDescent="0.35">
      <c r="A4502" s="58" t="s">
        <v>347</v>
      </c>
      <c r="B4502" s="58" t="s">
        <v>172</v>
      </c>
      <c r="C4502" s="58">
        <v>10</v>
      </c>
      <c r="D4502" s="58">
        <v>113</v>
      </c>
      <c r="E4502" s="59">
        <v>273</v>
      </c>
    </row>
    <row r="4503" spans="1:5" ht="15" x14ac:dyDescent="0.35">
      <c r="A4503" s="58" t="s">
        <v>347</v>
      </c>
      <c r="B4503" s="58" t="s">
        <v>172</v>
      </c>
      <c r="C4503" s="58">
        <v>11</v>
      </c>
      <c r="D4503" s="58">
        <v>114</v>
      </c>
      <c r="E4503" s="59">
        <v>273</v>
      </c>
    </row>
    <row r="4504" spans="1:5" ht="15" x14ac:dyDescent="0.35">
      <c r="A4504" s="58" t="s">
        <v>347</v>
      </c>
      <c r="B4504" s="58" t="s">
        <v>172</v>
      </c>
      <c r="C4504" s="58">
        <v>12</v>
      </c>
      <c r="D4504" s="58">
        <v>115</v>
      </c>
      <c r="E4504" s="59">
        <v>273</v>
      </c>
    </row>
    <row r="4505" spans="1:5" ht="15" x14ac:dyDescent="0.35">
      <c r="A4505" s="58" t="s">
        <v>347</v>
      </c>
      <c r="B4505" s="58" t="s">
        <v>180</v>
      </c>
      <c r="C4505" s="58">
        <v>1</v>
      </c>
      <c r="D4505" s="58">
        <v>104</v>
      </c>
      <c r="E4505" s="59">
        <v>244.45140000000001</v>
      </c>
    </row>
    <row r="4506" spans="1:5" ht="15" x14ac:dyDescent="0.35">
      <c r="A4506" s="58" t="s">
        <v>347</v>
      </c>
      <c r="B4506" s="58" t="s">
        <v>180</v>
      </c>
      <c r="C4506" s="58">
        <v>2</v>
      </c>
      <c r="D4506" s="58">
        <v>105</v>
      </c>
      <c r="E4506" s="59">
        <v>244.45140000000001</v>
      </c>
    </row>
    <row r="4507" spans="1:5" ht="15" x14ac:dyDescent="0.35">
      <c r="A4507" s="58" t="s">
        <v>347</v>
      </c>
      <c r="B4507" s="58" t="s">
        <v>180</v>
      </c>
      <c r="C4507" s="58">
        <v>3</v>
      </c>
      <c r="D4507" s="58">
        <v>106</v>
      </c>
      <c r="E4507" s="59">
        <v>244.45140000000001</v>
      </c>
    </row>
    <row r="4508" spans="1:5" ht="15" x14ac:dyDescent="0.35">
      <c r="A4508" s="58" t="s">
        <v>347</v>
      </c>
      <c r="B4508" s="58" t="s">
        <v>180</v>
      </c>
      <c r="C4508" s="58">
        <v>4</v>
      </c>
      <c r="D4508" s="58">
        <v>107</v>
      </c>
      <c r="E4508" s="59">
        <v>244.45140000000001</v>
      </c>
    </row>
    <row r="4509" spans="1:5" ht="15" x14ac:dyDescent="0.35">
      <c r="A4509" s="58" t="s">
        <v>347</v>
      </c>
      <c r="B4509" s="58" t="s">
        <v>180</v>
      </c>
      <c r="C4509" s="58">
        <v>5</v>
      </c>
      <c r="D4509" s="58">
        <v>108</v>
      </c>
      <c r="E4509" s="59">
        <v>244.45140000000001</v>
      </c>
    </row>
    <row r="4510" spans="1:5" ht="15" x14ac:dyDescent="0.35">
      <c r="A4510" s="58" t="s">
        <v>347</v>
      </c>
      <c r="B4510" s="58" t="s">
        <v>180</v>
      </c>
      <c r="C4510" s="58">
        <v>6</v>
      </c>
      <c r="D4510" s="58">
        <v>109</v>
      </c>
      <c r="E4510" s="59">
        <v>244.45140000000001</v>
      </c>
    </row>
    <row r="4511" spans="1:5" ht="15" x14ac:dyDescent="0.35">
      <c r="A4511" s="58" t="s">
        <v>347</v>
      </c>
      <c r="B4511" s="58" t="s">
        <v>180</v>
      </c>
      <c r="C4511" s="58">
        <v>7</v>
      </c>
      <c r="D4511" s="58">
        <v>110</v>
      </c>
      <c r="E4511" s="59">
        <v>244.45140000000001</v>
      </c>
    </row>
    <row r="4512" spans="1:5" ht="15" x14ac:dyDescent="0.35">
      <c r="A4512" s="58" t="s">
        <v>347</v>
      </c>
      <c r="B4512" s="58" t="s">
        <v>180</v>
      </c>
      <c r="C4512" s="58">
        <v>8</v>
      </c>
      <c r="D4512" s="58">
        <v>111</v>
      </c>
      <c r="E4512" s="59">
        <v>244.45140000000001</v>
      </c>
    </row>
    <row r="4513" spans="1:5" ht="15" x14ac:dyDescent="0.35">
      <c r="A4513" s="58" t="s">
        <v>347</v>
      </c>
      <c r="B4513" s="58" t="s">
        <v>180</v>
      </c>
      <c r="C4513" s="58">
        <v>9</v>
      </c>
      <c r="D4513" s="58">
        <v>112</v>
      </c>
      <c r="E4513" s="59">
        <v>244.45140000000001</v>
      </c>
    </row>
    <row r="4514" spans="1:5" ht="15" x14ac:dyDescent="0.35">
      <c r="A4514" s="58" t="s">
        <v>347</v>
      </c>
      <c r="B4514" s="58" t="s">
        <v>180</v>
      </c>
      <c r="C4514" s="58">
        <v>10</v>
      </c>
      <c r="D4514" s="58">
        <v>113</v>
      </c>
      <c r="E4514" s="59">
        <v>244.45140000000001</v>
      </c>
    </row>
    <row r="4515" spans="1:5" ht="15" x14ac:dyDescent="0.35">
      <c r="A4515" s="58" t="s">
        <v>347</v>
      </c>
      <c r="B4515" s="58" t="s">
        <v>180</v>
      </c>
      <c r="C4515" s="58">
        <v>11</v>
      </c>
      <c r="D4515" s="58">
        <v>114</v>
      </c>
      <c r="E4515" s="59">
        <v>244.45140000000001</v>
      </c>
    </row>
    <row r="4516" spans="1:5" ht="15" x14ac:dyDescent="0.35">
      <c r="A4516" s="58" t="s">
        <v>347</v>
      </c>
      <c r="B4516" s="58" t="s">
        <v>180</v>
      </c>
      <c r="C4516" s="58">
        <v>12</v>
      </c>
      <c r="D4516" s="58">
        <v>115</v>
      </c>
      <c r="E4516" s="59">
        <v>244.45140000000001</v>
      </c>
    </row>
    <row r="4517" spans="1:5" ht="15" x14ac:dyDescent="0.35">
      <c r="A4517" s="58" t="s">
        <v>350</v>
      </c>
      <c r="B4517" s="58" t="s">
        <v>182</v>
      </c>
      <c r="C4517" s="58">
        <v>1</v>
      </c>
      <c r="D4517" s="58">
        <v>104</v>
      </c>
      <c r="E4517" s="59">
        <v>267.80939999999998</v>
      </c>
    </row>
    <row r="4518" spans="1:5" ht="15" x14ac:dyDescent="0.35">
      <c r="A4518" s="58" t="s">
        <v>350</v>
      </c>
      <c r="B4518" s="58" t="s">
        <v>182</v>
      </c>
      <c r="C4518" s="58">
        <v>2</v>
      </c>
      <c r="D4518" s="58">
        <v>105</v>
      </c>
      <c r="E4518" s="59">
        <v>107.9205</v>
      </c>
    </row>
    <row r="4519" spans="1:5" ht="15" x14ac:dyDescent="0.35">
      <c r="A4519" s="58" t="s">
        <v>350</v>
      </c>
      <c r="B4519" s="58" t="s">
        <v>182</v>
      </c>
      <c r="C4519" s="58">
        <v>3</v>
      </c>
      <c r="D4519" s="58">
        <v>106</v>
      </c>
      <c r="E4519" s="59">
        <v>107.9205</v>
      </c>
    </row>
    <row r="4520" spans="1:5" ht="15" x14ac:dyDescent="0.35">
      <c r="A4520" s="58" t="s">
        <v>350</v>
      </c>
      <c r="B4520" s="58" t="s">
        <v>182</v>
      </c>
      <c r="C4520" s="58">
        <v>4</v>
      </c>
      <c r="D4520" s="58">
        <v>107</v>
      </c>
      <c r="E4520" s="59">
        <v>107.9205</v>
      </c>
    </row>
    <row r="4521" spans="1:5" ht="15" x14ac:dyDescent="0.35">
      <c r="A4521" s="58" t="s">
        <v>350</v>
      </c>
      <c r="B4521" s="58" t="s">
        <v>182</v>
      </c>
      <c r="C4521" s="58">
        <v>5</v>
      </c>
      <c r="D4521" s="58">
        <v>108</v>
      </c>
      <c r="E4521" s="59">
        <v>107.9205</v>
      </c>
    </row>
    <row r="4522" spans="1:5" ht="15" x14ac:dyDescent="0.35">
      <c r="A4522" s="58" t="s">
        <v>350</v>
      </c>
      <c r="B4522" s="58" t="s">
        <v>182</v>
      </c>
      <c r="C4522" s="58">
        <v>6</v>
      </c>
      <c r="D4522" s="58">
        <v>109</v>
      </c>
      <c r="E4522" s="59">
        <v>107.9205</v>
      </c>
    </row>
    <row r="4523" spans="1:5" ht="15" x14ac:dyDescent="0.35">
      <c r="A4523" s="58" t="s">
        <v>350</v>
      </c>
      <c r="B4523" s="58" t="s">
        <v>182</v>
      </c>
      <c r="C4523" s="58">
        <v>7</v>
      </c>
      <c r="D4523" s="58">
        <v>110</v>
      </c>
      <c r="E4523" s="59">
        <v>107.9205</v>
      </c>
    </row>
    <row r="4524" spans="1:5" ht="15" x14ac:dyDescent="0.35">
      <c r="A4524" s="58" t="s">
        <v>350</v>
      </c>
      <c r="B4524" s="58" t="s">
        <v>182</v>
      </c>
      <c r="C4524" s="58">
        <v>8</v>
      </c>
      <c r="D4524" s="58">
        <v>111</v>
      </c>
      <c r="E4524" s="59">
        <v>107.9205</v>
      </c>
    </row>
    <row r="4525" spans="1:5" ht="15" x14ac:dyDescent="0.35">
      <c r="A4525" s="58" t="s">
        <v>350</v>
      </c>
      <c r="B4525" s="58" t="s">
        <v>182</v>
      </c>
      <c r="C4525" s="58">
        <v>9</v>
      </c>
      <c r="D4525" s="58">
        <v>112</v>
      </c>
      <c r="E4525" s="59">
        <v>107.9205</v>
      </c>
    </row>
    <row r="4526" spans="1:5" ht="15" x14ac:dyDescent="0.35">
      <c r="A4526" s="58" t="s">
        <v>350</v>
      </c>
      <c r="B4526" s="58" t="s">
        <v>182</v>
      </c>
      <c r="C4526" s="58">
        <v>10</v>
      </c>
      <c r="D4526" s="58">
        <v>113</v>
      </c>
      <c r="E4526" s="59">
        <v>107.9205</v>
      </c>
    </row>
    <row r="4527" spans="1:5" ht="15" x14ac:dyDescent="0.35">
      <c r="A4527" s="58" t="s">
        <v>350</v>
      </c>
      <c r="B4527" s="58" t="s">
        <v>182</v>
      </c>
      <c r="C4527" s="58">
        <v>11</v>
      </c>
      <c r="D4527" s="58">
        <v>114</v>
      </c>
      <c r="E4527" s="59">
        <v>107.9205</v>
      </c>
    </row>
    <row r="4528" spans="1:5" ht="15" x14ac:dyDescent="0.35">
      <c r="A4528" s="58" t="s">
        <v>350</v>
      </c>
      <c r="B4528" s="58" t="s">
        <v>182</v>
      </c>
      <c r="C4528" s="58">
        <v>12</v>
      </c>
      <c r="D4528" s="58">
        <v>115</v>
      </c>
      <c r="E4528" s="59">
        <v>107.9205</v>
      </c>
    </row>
    <row r="4529" spans="1:5" ht="15" x14ac:dyDescent="0.35">
      <c r="A4529" s="58" t="s">
        <v>350</v>
      </c>
      <c r="B4529" s="58" t="s">
        <v>176</v>
      </c>
      <c r="C4529" s="58">
        <v>1</v>
      </c>
      <c r="D4529" s="58">
        <v>104</v>
      </c>
      <c r="E4529" s="59">
        <v>234.75</v>
      </c>
    </row>
    <row r="4530" spans="1:5" ht="15" x14ac:dyDescent="0.35">
      <c r="A4530" s="58" t="s">
        <v>350</v>
      </c>
      <c r="B4530" s="58" t="s">
        <v>176</v>
      </c>
      <c r="C4530" s="58">
        <v>2</v>
      </c>
      <c r="D4530" s="58">
        <v>105</v>
      </c>
      <c r="E4530" s="59">
        <v>234.75</v>
      </c>
    </row>
    <row r="4531" spans="1:5" ht="15" x14ac:dyDescent="0.35">
      <c r="A4531" s="58" t="s">
        <v>350</v>
      </c>
      <c r="B4531" s="58" t="s">
        <v>176</v>
      </c>
      <c r="C4531" s="58">
        <v>3</v>
      </c>
      <c r="D4531" s="58">
        <v>106</v>
      </c>
      <c r="E4531" s="59">
        <v>234.75</v>
      </c>
    </row>
    <row r="4532" spans="1:5" ht="15" x14ac:dyDescent="0.35">
      <c r="A4532" s="58" t="s">
        <v>350</v>
      </c>
      <c r="B4532" s="58" t="s">
        <v>176</v>
      </c>
      <c r="C4532" s="58">
        <v>4</v>
      </c>
      <c r="D4532" s="58">
        <v>107</v>
      </c>
      <c r="E4532" s="59">
        <v>234.75</v>
      </c>
    </row>
    <row r="4533" spans="1:5" ht="15" x14ac:dyDescent="0.35">
      <c r="A4533" s="58" t="s">
        <v>350</v>
      </c>
      <c r="B4533" s="58" t="s">
        <v>176</v>
      </c>
      <c r="C4533" s="58">
        <v>5</v>
      </c>
      <c r="D4533" s="58">
        <v>108</v>
      </c>
      <c r="E4533" s="59">
        <v>234.75</v>
      </c>
    </row>
    <row r="4534" spans="1:5" ht="15" x14ac:dyDescent="0.35">
      <c r="A4534" s="58" t="s">
        <v>350</v>
      </c>
      <c r="B4534" s="58" t="s">
        <v>176</v>
      </c>
      <c r="C4534" s="58">
        <v>6</v>
      </c>
      <c r="D4534" s="58">
        <v>109</v>
      </c>
      <c r="E4534" s="59">
        <v>234.75</v>
      </c>
    </row>
    <row r="4535" spans="1:5" ht="15" x14ac:dyDescent="0.35">
      <c r="A4535" s="58" t="s">
        <v>350</v>
      </c>
      <c r="B4535" s="58" t="s">
        <v>176</v>
      </c>
      <c r="C4535" s="58">
        <v>7</v>
      </c>
      <c r="D4535" s="58">
        <v>110</v>
      </c>
      <c r="E4535" s="59">
        <v>234.75</v>
      </c>
    </row>
    <row r="4536" spans="1:5" ht="15" x14ac:dyDescent="0.35">
      <c r="A4536" s="58" t="s">
        <v>350</v>
      </c>
      <c r="B4536" s="58" t="s">
        <v>176</v>
      </c>
      <c r="C4536" s="58">
        <v>8</v>
      </c>
      <c r="D4536" s="58">
        <v>111</v>
      </c>
      <c r="E4536" s="59">
        <v>234.75</v>
      </c>
    </row>
    <row r="4537" spans="1:5" ht="15" x14ac:dyDescent="0.35">
      <c r="A4537" s="58" t="s">
        <v>350</v>
      </c>
      <c r="B4537" s="58" t="s">
        <v>176</v>
      </c>
      <c r="C4537" s="58">
        <v>9</v>
      </c>
      <c r="D4537" s="58">
        <v>112</v>
      </c>
      <c r="E4537" s="59">
        <v>234.75</v>
      </c>
    </row>
    <row r="4538" spans="1:5" ht="15" x14ac:dyDescent="0.35">
      <c r="A4538" s="58" t="s">
        <v>350</v>
      </c>
      <c r="B4538" s="58" t="s">
        <v>176</v>
      </c>
      <c r="C4538" s="58">
        <v>10</v>
      </c>
      <c r="D4538" s="58">
        <v>113</v>
      </c>
      <c r="E4538" s="59">
        <v>234.75</v>
      </c>
    </row>
    <row r="4539" spans="1:5" ht="15" x14ac:dyDescent="0.35">
      <c r="A4539" s="58" t="s">
        <v>350</v>
      </c>
      <c r="B4539" s="58" t="s">
        <v>176</v>
      </c>
      <c r="C4539" s="58">
        <v>11</v>
      </c>
      <c r="D4539" s="58">
        <v>114</v>
      </c>
      <c r="E4539" s="59">
        <v>234.75</v>
      </c>
    </row>
    <row r="4540" spans="1:5" ht="15" x14ac:dyDescent="0.35">
      <c r="A4540" s="58" t="s">
        <v>350</v>
      </c>
      <c r="B4540" s="58" t="s">
        <v>176</v>
      </c>
      <c r="C4540" s="58">
        <v>12</v>
      </c>
      <c r="D4540" s="58">
        <v>115</v>
      </c>
      <c r="E4540" s="59">
        <v>234.75</v>
      </c>
    </row>
    <row r="4541" spans="1:5" ht="15" x14ac:dyDescent="0.35">
      <c r="A4541" s="58" t="s">
        <v>350</v>
      </c>
      <c r="B4541" s="58" t="s">
        <v>172</v>
      </c>
      <c r="C4541" s="58">
        <v>1</v>
      </c>
      <c r="D4541" s="58">
        <v>104</v>
      </c>
      <c r="E4541" s="59">
        <v>392</v>
      </c>
    </row>
    <row r="4542" spans="1:5" ht="15" x14ac:dyDescent="0.35">
      <c r="A4542" s="58" t="s">
        <v>350</v>
      </c>
      <c r="B4542" s="58" t="s">
        <v>172</v>
      </c>
      <c r="C4542" s="58">
        <v>2</v>
      </c>
      <c r="D4542" s="58">
        <v>105</v>
      </c>
      <c r="E4542" s="59">
        <v>392</v>
      </c>
    </row>
    <row r="4543" spans="1:5" ht="15" x14ac:dyDescent="0.35">
      <c r="A4543" s="58" t="s">
        <v>350</v>
      </c>
      <c r="B4543" s="58" t="s">
        <v>172</v>
      </c>
      <c r="C4543" s="58">
        <v>3</v>
      </c>
      <c r="D4543" s="58">
        <v>106</v>
      </c>
      <c r="E4543" s="59">
        <v>392</v>
      </c>
    </row>
    <row r="4544" spans="1:5" ht="15" x14ac:dyDescent="0.35">
      <c r="A4544" s="58" t="s">
        <v>350</v>
      </c>
      <c r="B4544" s="58" t="s">
        <v>172</v>
      </c>
      <c r="C4544" s="58">
        <v>4</v>
      </c>
      <c r="D4544" s="58">
        <v>107</v>
      </c>
      <c r="E4544" s="59">
        <v>392</v>
      </c>
    </row>
    <row r="4545" spans="1:5" ht="15" x14ac:dyDescent="0.35">
      <c r="A4545" s="58" t="s">
        <v>350</v>
      </c>
      <c r="B4545" s="58" t="s">
        <v>172</v>
      </c>
      <c r="C4545" s="58">
        <v>5</v>
      </c>
      <c r="D4545" s="58">
        <v>108</v>
      </c>
      <c r="E4545" s="59">
        <v>392</v>
      </c>
    </row>
    <row r="4546" spans="1:5" ht="15" x14ac:dyDescent="0.35">
      <c r="A4546" s="58" t="s">
        <v>350</v>
      </c>
      <c r="B4546" s="58" t="s">
        <v>172</v>
      </c>
      <c r="C4546" s="58">
        <v>6</v>
      </c>
      <c r="D4546" s="58">
        <v>109</v>
      </c>
      <c r="E4546" s="59">
        <v>392</v>
      </c>
    </row>
    <row r="4547" spans="1:5" ht="15" x14ac:dyDescent="0.35">
      <c r="A4547" s="58" t="s">
        <v>350</v>
      </c>
      <c r="B4547" s="58" t="s">
        <v>172</v>
      </c>
      <c r="C4547" s="58">
        <v>7</v>
      </c>
      <c r="D4547" s="58">
        <v>110</v>
      </c>
      <c r="E4547" s="59">
        <v>392</v>
      </c>
    </row>
    <row r="4548" spans="1:5" ht="15" x14ac:dyDescent="0.35">
      <c r="A4548" s="58" t="s">
        <v>350</v>
      </c>
      <c r="B4548" s="58" t="s">
        <v>172</v>
      </c>
      <c r="C4548" s="58">
        <v>8</v>
      </c>
      <c r="D4548" s="58">
        <v>111</v>
      </c>
      <c r="E4548" s="59">
        <v>392</v>
      </c>
    </row>
    <row r="4549" spans="1:5" ht="15" x14ac:dyDescent="0.35">
      <c r="A4549" s="58" t="s">
        <v>350</v>
      </c>
      <c r="B4549" s="58" t="s">
        <v>172</v>
      </c>
      <c r="C4549" s="58">
        <v>9</v>
      </c>
      <c r="D4549" s="58">
        <v>112</v>
      </c>
      <c r="E4549" s="59">
        <v>392</v>
      </c>
    </row>
    <row r="4550" spans="1:5" ht="15" x14ac:dyDescent="0.35">
      <c r="A4550" s="58" t="s">
        <v>350</v>
      </c>
      <c r="B4550" s="58" t="s">
        <v>172</v>
      </c>
      <c r="C4550" s="58">
        <v>10</v>
      </c>
      <c r="D4550" s="58">
        <v>113</v>
      </c>
      <c r="E4550" s="59">
        <v>392</v>
      </c>
    </row>
    <row r="4551" spans="1:5" ht="15" x14ac:dyDescent="0.35">
      <c r="A4551" s="58" t="s">
        <v>350</v>
      </c>
      <c r="B4551" s="58" t="s">
        <v>172</v>
      </c>
      <c r="C4551" s="58">
        <v>11</v>
      </c>
      <c r="D4551" s="58">
        <v>114</v>
      </c>
      <c r="E4551" s="59">
        <v>392</v>
      </c>
    </row>
    <row r="4552" spans="1:5" ht="15" x14ac:dyDescent="0.35">
      <c r="A4552" s="58" t="s">
        <v>350</v>
      </c>
      <c r="B4552" s="58" t="s">
        <v>172</v>
      </c>
      <c r="C4552" s="58">
        <v>12</v>
      </c>
      <c r="D4552" s="58">
        <v>115</v>
      </c>
      <c r="E4552" s="59">
        <v>392</v>
      </c>
    </row>
    <row r="4553" spans="1:5" ht="15" x14ac:dyDescent="0.35">
      <c r="A4553" s="58" t="s">
        <v>350</v>
      </c>
      <c r="B4553" s="58" t="s">
        <v>180</v>
      </c>
      <c r="C4553" s="58">
        <v>1</v>
      </c>
      <c r="D4553" s="58">
        <v>104</v>
      </c>
      <c r="E4553" s="59">
        <v>228.84639999999999</v>
      </c>
    </row>
    <row r="4554" spans="1:5" ht="15" x14ac:dyDescent="0.35">
      <c r="A4554" s="58" t="s">
        <v>350</v>
      </c>
      <c r="B4554" s="58" t="s">
        <v>180</v>
      </c>
      <c r="C4554" s="58">
        <v>2</v>
      </c>
      <c r="D4554" s="58">
        <v>105</v>
      </c>
      <c r="E4554" s="59">
        <v>228.84639999999999</v>
      </c>
    </row>
    <row r="4555" spans="1:5" ht="15" x14ac:dyDescent="0.35">
      <c r="A4555" s="58" t="s">
        <v>350</v>
      </c>
      <c r="B4555" s="58" t="s">
        <v>180</v>
      </c>
      <c r="C4555" s="58">
        <v>3</v>
      </c>
      <c r="D4555" s="58">
        <v>106</v>
      </c>
      <c r="E4555" s="59">
        <v>228.84639999999999</v>
      </c>
    </row>
    <row r="4556" spans="1:5" ht="15" x14ac:dyDescent="0.35">
      <c r="A4556" s="58" t="s">
        <v>350</v>
      </c>
      <c r="B4556" s="58" t="s">
        <v>180</v>
      </c>
      <c r="C4556" s="58">
        <v>4</v>
      </c>
      <c r="D4556" s="58">
        <v>107</v>
      </c>
      <c r="E4556" s="59">
        <v>228.84639999999999</v>
      </c>
    </row>
    <row r="4557" spans="1:5" ht="15" x14ac:dyDescent="0.35">
      <c r="A4557" s="58" t="s">
        <v>350</v>
      </c>
      <c r="B4557" s="58" t="s">
        <v>180</v>
      </c>
      <c r="C4557" s="58">
        <v>5</v>
      </c>
      <c r="D4557" s="58">
        <v>108</v>
      </c>
      <c r="E4557" s="59">
        <v>228.84639999999999</v>
      </c>
    </row>
    <row r="4558" spans="1:5" ht="15" x14ac:dyDescent="0.35">
      <c r="A4558" s="58" t="s">
        <v>350</v>
      </c>
      <c r="B4558" s="58" t="s">
        <v>180</v>
      </c>
      <c r="C4558" s="58">
        <v>6</v>
      </c>
      <c r="D4558" s="58">
        <v>109</v>
      </c>
      <c r="E4558" s="59">
        <v>228.84639999999999</v>
      </c>
    </row>
    <row r="4559" spans="1:5" ht="15" x14ac:dyDescent="0.35">
      <c r="A4559" s="58" t="s">
        <v>350</v>
      </c>
      <c r="B4559" s="58" t="s">
        <v>180</v>
      </c>
      <c r="C4559" s="58">
        <v>7</v>
      </c>
      <c r="D4559" s="58">
        <v>110</v>
      </c>
      <c r="E4559" s="59">
        <v>228.84639999999999</v>
      </c>
    </row>
    <row r="4560" spans="1:5" ht="15" x14ac:dyDescent="0.35">
      <c r="A4560" s="58" t="s">
        <v>350</v>
      </c>
      <c r="B4560" s="58" t="s">
        <v>180</v>
      </c>
      <c r="C4560" s="58">
        <v>8</v>
      </c>
      <c r="D4560" s="58">
        <v>111</v>
      </c>
      <c r="E4560" s="59">
        <v>228.84639999999999</v>
      </c>
    </row>
    <row r="4561" spans="1:5" ht="15" x14ac:dyDescent="0.35">
      <c r="A4561" s="58" t="s">
        <v>350</v>
      </c>
      <c r="B4561" s="58" t="s">
        <v>180</v>
      </c>
      <c r="C4561" s="58">
        <v>9</v>
      </c>
      <c r="D4561" s="58">
        <v>112</v>
      </c>
      <c r="E4561" s="59">
        <v>228.84639999999999</v>
      </c>
    </row>
    <row r="4562" spans="1:5" ht="15" x14ac:dyDescent="0.35">
      <c r="A4562" s="58" t="s">
        <v>350</v>
      </c>
      <c r="B4562" s="58" t="s">
        <v>180</v>
      </c>
      <c r="C4562" s="58">
        <v>10</v>
      </c>
      <c r="D4562" s="58">
        <v>113</v>
      </c>
      <c r="E4562" s="59">
        <v>228.84639999999999</v>
      </c>
    </row>
    <row r="4563" spans="1:5" ht="15" x14ac:dyDescent="0.35">
      <c r="A4563" s="58" t="s">
        <v>350</v>
      </c>
      <c r="B4563" s="58" t="s">
        <v>180</v>
      </c>
      <c r="C4563" s="58">
        <v>11</v>
      </c>
      <c r="D4563" s="58">
        <v>114</v>
      </c>
      <c r="E4563" s="59">
        <v>228.84639999999999</v>
      </c>
    </row>
    <row r="4564" spans="1:5" ht="15" x14ac:dyDescent="0.35">
      <c r="A4564" s="58" t="s">
        <v>350</v>
      </c>
      <c r="B4564" s="58" t="s">
        <v>180</v>
      </c>
      <c r="C4564" s="58">
        <v>12</v>
      </c>
      <c r="D4564" s="58">
        <v>115</v>
      </c>
      <c r="E4564" s="59">
        <v>228.84639999999999</v>
      </c>
    </row>
    <row r="4565" spans="1:5" ht="15" x14ac:dyDescent="0.35">
      <c r="A4565" s="58" t="s">
        <v>351</v>
      </c>
      <c r="B4565" s="58" t="s">
        <v>182</v>
      </c>
      <c r="C4565" s="58">
        <v>1</v>
      </c>
      <c r="D4565" s="58">
        <v>104</v>
      </c>
      <c r="E4565" s="59">
        <v>191.35849999999999</v>
      </c>
    </row>
    <row r="4566" spans="1:5" ht="15" x14ac:dyDescent="0.35">
      <c r="A4566" s="58" t="s">
        <v>351</v>
      </c>
      <c r="B4566" s="58" t="s">
        <v>182</v>
      </c>
      <c r="C4566" s="58">
        <v>2</v>
      </c>
      <c r="D4566" s="58">
        <v>105</v>
      </c>
      <c r="E4566" s="59">
        <v>22.358499999999999</v>
      </c>
    </row>
    <row r="4567" spans="1:5" ht="15" x14ac:dyDescent="0.35">
      <c r="A4567" s="58" t="s">
        <v>351</v>
      </c>
      <c r="B4567" s="58" t="s">
        <v>182</v>
      </c>
      <c r="C4567" s="58">
        <v>3</v>
      </c>
      <c r="D4567" s="58">
        <v>106</v>
      </c>
      <c r="E4567" s="59">
        <v>22.358499999999999</v>
      </c>
    </row>
    <row r="4568" spans="1:5" ht="15" x14ac:dyDescent="0.35">
      <c r="A4568" s="58" t="s">
        <v>351</v>
      </c>
      <c r="B4568" s="58" t="s">
        <v>182</v>
      </c>
      <c r="C4568" s="58">
        <v>4</v>
      </c>
      <c r="D4568" s="58">
        <v>107</v>
      </c>
      <c r="E4568" s="59">
        <v>22.358499999999999</v>
      </c>
    </row>
    <row r="4569" spans="1:5" ht="15" x14ac:dyDescent="0.35">
      <c r="A4569" s="58" t="s">
        <v>351</v>
      </c>
      <c r="B4569" s="58" t="s">
        <v>182</v>
      </c>
      <c r="C4569" s="58">
        <v>5</v>
      </c>
      <c r="D4569" s="58">
        <v>108</v>
      </c>
      <c r="E4569" s="59">
        <v>22.358499999999999</v>
      </c>
    </row>
    <row r="4570" spans="1:5" ht="15" x14ac:dyDescent="0.35">
      <c r="A4570" s="58" t="s">
        <v>351</v>
      </c>
      <c r="B4570" s="58" t="s">
        <v>182</v>
      </c>
      <c r="C4570" s="58">
        <v>6</v>
      </c>
      <c r="D4570" s="58">
        <v>109</v>
      </c>
      <c r="E4570" s="59">
        <v>22.358499999999999</v>
      </c>
    </row>
    <row r="4571" spans="1:5" ht="15" x14ac:dyDescent="0.35">
      <c r="A4571" s="58" t="s">
        <v>351</v>
      </c>
      <c r="B4571" s="58" t="s">
        <v>182</v>
      </c>
      <c r="C4571" s="58">
        <v>7</v>
      </c>
      <c r="D4571" s="58">
        <v>110</v>
      </c>
      <c r="E4571" s="59">
        <v>22.358499999999999</v>
      </c>
    </row>
    <row r="4572" spans="1:5" ht="15" x14ac:dyDescent="0.35">
      <c r="A4572" s="58" t="s">
        <v>351</v>
      </c>
      <c r="B4572" s="58" t="s">
        <v>182</v>
      </c>
      <c r="C4572" s="58">
        <v>8</v>
      </c>
      <c r="D4572" s="58">
        <v>111</v>
      </c>
      <c r="E4572" s="59">
        <v>22.358499999999999</v>
      </c>
    </row>
    <row r="4573" spans="1:5" ht="15" x14ac:dyDescent="0.35">
      <c r="A4573" s="58" t="s">
        <v>351</v>
      </c>
      <c r="B4573" s="58" t="s">
        <v>182</v>
      </c>
      <c r="C4573" s="58">
        <v>9</v>
      </c>
      <c r="D4573" s="58">
        <v>112</v>
      </c>
      <c r="E4573" s="59">
        <v>22.358499999999999</v>
      </c>
    </row>
    <row r="4574" spans="1:5" ht="15" x14ac:dyDescent="0.35">
      <c r="A4574" s="58" t="s">
        <v>351</v>
      </c>
      <c r="B4574" s="58" t="s">
        <v>182</v>
      </c>
      <c r="C4574" s="58">
        <v>10</v>
      </c>
      <c r="D4574" s="58">
        <v>113</v>
      </c>
      <c r="E4574" s="59">
        <v>22.358499999999999</v>
      </c>
    </row>
    <row r="4575" spans="1:5" ht="15" x14ac:dyDescent="0.35">
      <c r="A4575" s="58" t="s">
        <v>351</v>
      </c>
      <c r="B4575" s="58" t="s">
        <v>182</v>
      </c>
      <c r="C4575" s="58">
        <v>11</v>
      </c>
      <c r="D4575" s="58">
        <v>114</v>
      </c>
      <c r="E4575" s="59">
        <v>22.358499999999999</v>
      </c>
    </row>
    <row r="4576" spans="1:5" ht="15" x14ac:dyDescent="0.35">
      <c r="A4576" s="58" t="s">
        <v>351</v>
      </c>
      <c r="B4576" s="58" t="s">
        <v>182</v>
      </c>
      <c r="C4576" s="58">
        <v>12</v>
      </c>
      <c r="D4576" s="58">
        <v>115</v>
      </c>
      <c r="E4576" s="59">
        <v>22.358499999999999</v>
      </c>
    </row>
    <row r="4577" spans="1:5" ht="15" x14ac:dyDescent="0.35">
      <c r="A4577" s="58" t="s">
        <v>351</v>
      </c>
      <c r="B4577" s="58" t="s">
        <v>176</v>
      </c>
      <c r="C4577" s="58">
        <v>1</v>
      </c>
      <c r="D4577" s="58">
        <v>104</v>
      </c>
      <c r="E4577" s="59">
        <v>125</v>
      </c>
    </row>
    <row r="4578" spans="1:5" ht="15" x14ac:dyDescent="0.35">
      <c r="A4578" s="58" t="s">
        <v>351</v>
      </c>
      <c r="B4578" s="58" t="s">
        <v>176</v>
      </c>
      <c r="C4578" s="58">
        <v>2</v>
      </c>
      <c r="D4578" s="58">
        <v>105</v>
      </c>
      <c r="E4578" s="59">
        <v>125</v>
      </c>
    </row>
    <row r="4579" spans="1:5" ht="15" x14ac:dyDescent="0.35">
      <c r="A4579" s="58" t="s">
        <v>351</v>
      </c>
      <c r="B4579" s="58" t="s">
        <v>176</v>
      </c>
      <c r="C4579" s="58">
        <v>3</v>
      </c>
      <c r="D4579" s="58">
        <v>106</v>
      </c>
      <c r="E4579" s="59">
        <v>125</v>
      </c>
    </row>
    <row r="4580" spans="1:5" ht="15" x14ac:dyDescent="0.35">
      <c r="A4580" s="58" t="s">
        <v>351</v>
      </c>
      <c r="B4580" s="58" t="s">
        <v>176</v>
      </c>
      <c r="C4580" s="58">
        <v>4</v>
      </c>
      <c r="D4580" s="58">
        <v>107</v>
      </c>
      <c r="E4580" s="59">
        <v>125</v>
      </c>
    </row>
    <row r="4581" spans="1:5" ht="15" x14ac:dyDescent="0.35">
      <c r="A4581" s="58" t="s">
        <v>351</v>
      </c>
      <c r="B4581" s="58" t="s">
        <v>176</v>
      </c>
      <c r="C4581" s="58">
        <v>5</v>
      </c>
      <c r="D4581" s="58">
        <v>108</v>
      </c>
      <c r="E4581" s="59">
        <v>125</v>
      </c>
    </row>
    <row r="4582" spans="1:5" ht="15" x14ac:dyDescent="0.35">
      <c r="A4582" s="58" t="s">
        <v>351</v>
      </c>
      <c r="B4582" s="58" t="s">
        <v>176</v>
      </c>
      <c r="C4582" s="58">
        <v>6</v>
      </c>
      <c r="D4582" s="58">
        <v>109</v>
      </c>
      <c r="E4582" s="59">
        <v>125</v>
      </c>
    </row>
    <row r="4583" spans="1:5" ht="15" x14ac:dyDescent="0.35">
      <c r="A4583" s="58" t="s">
        <v>351</v>
      </c>
      <c r="B4583" s="58" t="s">
        <v>176</v>
      </c>
      <c r="C4583" s="58">
        <v>7</v>
      </c>
      <c r="D4583" s="58">
        <v>110</v>
      </c>
      <c r="E4583" s="59">
        <v>125</v>
      </c>
    </row>
    <row r="4584" spans="1:5" ht="15" x14ac:dyDescent="0.35">
      <c r="A4584" s="58" t="s">
        <v>351</v>
      </c>
      <c r="B4584" s="58" t="s">
        <v>176</v>
      </c>
      <c r="C4584" s="58">
        <v>8</v>
      </c>
      <c r="D4584" s="58">
        <v>111</v>
      </c>
      <c r="E4584" s="59">
        <v>125</v>
      </c>
    </row>
    <row r="4585" spans="1:5" ht="15" x14ac:dyDescent="0.35">
      <c r="A4585" s="58" t="s">
        <v>351</v>
      </c>
      <c r="B4585" s="58" t="s">
        <v>176</v>
      </c>
      <c r="C4585" s="58">
        <v>9</v>
      </c>
      <c r="D4585" s="58">
        <v>112</v>
      </c>
      <c r="E4585" s="59">
        <v>125</v>
      </c>
    </row>
    <row r="4586" spans="1:5" ht="15" x14ac:dyDescent="0.35">
      <c r="A4586" s="58" t="s">
        <v>351</v>
      </c>
      <c r="B4586" s="58" t="s">
        <v>176</v>
      </c>
      <c r="C4586" s="58">
        <v>10</v>
      </c>
      <c r="D4586" s="58">
        <v>113</v>
      </c>
      <c r="E4586" s="59">
        <v>125</v>
      </c>
    </row>
    <row r="4587" spans="1:5" ht="15" x14ac:dyDescent="0.35">
      <c r="A4587" s="58" t="s">
        <v>351</v>
      </c>
      <c r="B4587" s="58" t="s">
        <v>176</v>
      </c>
      <c r="C4587" s="58">
        <v>11</v>
      </c>
      <c r="D4587" s="58">
        <v>114</v>
      </c>
      <c r="E4587" s="59">
        <v>125</v>
      </c>
    </row>
    <row r="4588" spans="1:5" ht="15" x14ac:dyDescent="0.35">
      <c r="A4588" s="58" t="s">
        <v>351</v>
      </c>
      <c r="B4588" s="58" t="s">
        <v>176</v>
      </c>
      <c r="C4588" s="58">
        <v>12</v>
      </c>
      <c r="D4588" s="58">
        <v>115</v>
      </c>
      <c r="E4588" s="59">
        <v>125</v>
      </c>
    </row>
    <row r="4589" spans="1:5" ht="15" x14ac:dyDescent="0.35">
      <c r="A4589" s="58" t="s">
        <v>351</v>
      </c>
      <c r="B4589" s="58" t="s">
        <v>172</v>
      </c>
      <c r="C4589" s="58">
        <v>1</v>
      </c>
      <c r="D4589" s="58">
        <v>104</v>
      </c>
      <c r="E4589" s="59">
        <v>150</v>
      </c>
    </row>
    <row r="4590" spans="1:5" ht="15" x14ac:dyDescent="0.35">
      <c r="A4590" s="58" t="s">
        <v>351</v>
      </c>
      <c r="B4590" s="58" t="s">
        <v>172</v>
      </c>
      <c r="C4590" s="58">
        <v>2</v>
      </c>
      <c r="D4590" s="58">
        <v>105</v>
      </c>
      <c r="E4590" s="59">
        <v>150</v>
      </c>
    </row>
    <row r="4591" spans="1:5" ht="15" x14ac:dyDescent="0.35">
      <c r="A4591" s="58" t="s">
        <v>351</v>
      </c>
      <c r="B4591" s="58" t="s">
        <v>172</v>
      </c>
      <c r="C4591" s="58">
        <v>3</v>
      </c>
      <c r="D4591" s="58">
        <v>106</v>
      </c>
      <c r="E4591" s="59">
        <v>150</v>
      </c>
    </row>
    <row r="4592" spans="1:5" ht="15" x14ac:dyDescent="0.35">
      <c r="A4592" s="58" t="s">
        <v>351</v>
      </c>
      <c r="B4592" s="58" t="s">
        <v>172</v>
      </c>
      <c r="C4592" s="58">
        <v>4</v>
      </c>
      <c r="D4592" s="58">
        <v>107</v>
      </c>
      <c r="E4592" s="59">
        <v>150</v>
      </c>
    </row>
    <row r="4593" spans="1:5" ht="15" x14ac:dyDescent="0.35">
      <c r="A4593" s="58" t="s">
        <v>351</v>
      </c>
      <c r="B4593" s="58" t="s">
        <v>172</v>
      </c>
      <c r="C4593" s="58">
        <v>5</v>
      </c>
      <c r="D4593" s="58">
        <v>108</v>
      </c>
      <c r="E4593" s="59">
        <v>150</v>
      </c>
    </row>
    <row r="4594" spans="1:5" ht="15" x14ac:dyDescent="0.35">
      <c r="A4594" s="58" t="s">
        <v>351</v>
      </c>
      <c r="B4594" s="58" t="s">
        <v>172</v>
      </c>
      <c r="C4594" s="58">
        <v>6</v>
      </c>
      <c r="D4594" s="58">
        <v>109</v>
      </c>
      <c r="E4594" s="59">
        <v>150</v>
      </c>
    </row>
    <row r="4595" spans="1:5" ht="15" x14ac:dyDescent="0.35">
      <c r="A4595" s="58" t="s">
        <v>351</v>
      </c>
      <c r="B4595" s="58" t="s">
        <v>172</v>
      </c>
      <c r="C4595" s="58">
        <v>7</v>
      </c>
      <c r="D4595" s="58">
        <v>110</v>
      </c>
      <c r="E4595" s="59">
        <v>150</v>
      </c>
    </row>
    <row r="4596" spans="1:5" ht="15" x14ac:dyDescent="0.35">
      <c r="A4596" s="58" t="s">
        <v>351</v>
      </c>
      <c r="B4596" s="58" t="s">
        <v>172</v>
      </c>
      <c r="C4596" s="58">
        <v>8</v>
      </c>
      <c r="D4596" s="58">
        <v>111</v>
      </c>
      <c r="E4596" s="59">
        <v>150</v>
      </c>
    </row>
    <row r="4597" spans="1:5" ht="15" x14ac:dyDescent="0.35">
      <c r="A4597" s="58" t="s">
        <v>351</v>
      </c>
      <c r="B4597" s="58" t="s">
        <v>172</v>
      </c>
      <c r="C4597" s="58">
        <v>9</v>
      </c>
      <c r="D4597" s="58">
        <v>112</v>
      </c>
      <c r="E4597" s="59">
        <v>150</v>
      </c>
    </row>
    <row r="4598" spans="1:5" ht="15" x14ac:dyDescent="0.35">
      <c r="A4598" s="58" t="s">
        <v>351</v>
      </c>
      <c r="B4598" s="58" t="s">
        <v>172</v>
      </c>
      <c r="C4598" s="58">
        <v>10</v>
      </c>
      <c r="D4598" s="58">
        <v>113</v>
      </c>
      <c r="E4598" s="59">
        <v>150</v>
      </c>
    </row>
    <row r="4599" spans="1:5" ht="15" x14ac:dyDescent="0.35">
      <c r="A4599" s="58" t="s">
        <v>351</v>
      </c>
      <c r="B4599" s="58" t="s">
        <v>172</v>
      </c>
      <c r="C4599" s="58">
        <v>11</v>
      </c>
      <c r="D4599" s="58">
        <v>114</v>
      </c>
      <c r="E4599" s="59">
        <v>150</v>
      </c>
    </row>
    <row r="4600" spans="1:5" ht="15" x14ac:dyDescent="0.35">
      <c r="A4600" s="58" t="s">
        <v>351</v>
      </c>
      <c r="B4600" s="58" t="s">
        <v>172</v>
      </c>
      <c r="C4600" s="58">
        <v>12</v>
      </c>
      <c r="D4600" s="58">
        <v>115</v>
      </c>
      <c r="E4600" s="59">
        <v>150</v>
      </c>
    </row>
    <row r="4601" spans="1:5" ht="15" x14ac:dyDescent="0.35">
      <c r="A4601" s="58" t="s">
        <v>351</v>
      </c>
      <c r="B4601" s="58" t="s">
        <v>180</v>
      </c>
      <c r="C4601" s="58">
        <v>1</v>
      </c>
      <c r="D4601" s="58">
        <v>104</v>
      </c>
      <c r="E4601" s="59">
        <v>122.5827</v>
      </c>
    </row>
    <row r="4602" spans="1:5" ht="15" x14ac:dyDescent="0.35">
      <c r="A4602" s="58" t="s">
        <v>351</v>
      </c>
      <c r="B4602" s="58" t="s">
        <v>180</v>
      </c>
      <c r="C4602" s="58">
        <v>2</v>
      </c>
      <c r="D4602" s="58">
        <v>105</v>
      </c>
      <c r="E4602" s="59">
        <v>122.5827</v>
      </c>
    </row>
    <row r="4603" spans="1:5" ht="15" x14ac:dyDescent="0.35">
      <c r="A4603" s="58" t="s">
        <v>351</v>
      </c>
      <c r="B4603" s="58" t="s">
        <v>180</v>
      </c>
      <c r="C4603" s="58">
        <v>3</v>
      </c>
      <c r="D4603" s="58">
        <v>106</v>
      </c>
      <c r="E4603" s="59">
        <v>122.5827</v>
      </c>
    </row>
    <row r="4604" spans="1:5" ht="15" x14ac:dyDescent="0.35">
      <c r="A4604" s="58" t="s">
        <v>351</v>
      </c>
      <c r="B4604" s="58" t="s">
        <v>180</v>
      </c>
      <c r="C4604" s="58">
        <v>4</v>
      </c>
      <c r="D4604" s="58">
        <v>107</v>
      </c>
      <c r="E4604" s="59">
        <v>122.5827</v>
      </c>
    </row>
    <row r="4605" spans="1:5" ht="15" x14ac:dyDescent="0.35">
      <c r="A4605" s="58" t="s">
        <v>351</v>
      </c>
      <c r="B4605" s="58" t="s">
        <v>180</v>
      </c>
      <c r="C4605" s="58">
        <v>5</v>
      </c>
      <c r="D4605" s="58">
        <v>108</v>
      </c>
      <c r="E4605" s="59">
        <v>122.5827</v>
      </c>
    </row>
    <row r="4606" spans="1:5" ht="15" x14ac:dyDescent="0.35">
      <c r="A4606" s="58" t="s">
        <v>351</v>
      </c>
      <c r="B4606" s="58" t="s">
        <v>180</v>
      </c>
      <c r="C4606" s="58">
        <v>6</v>
      </c>
      <c r="D4606" s="58">
        <v>109</v>
      </c>
      <c r="E4606" s="59">
        <v>122.5827</v>
      </c>
    </row>
    <row r="4607" spans="1:5" ht="15" x14ac:dyDescent="0.35">
      <c r="A4607" s="58" t="s">
        <v>351</v>
      </c>
      <c r="B4607" s="58" t="s">
        <v>180</v>
      </c>
      <c r="C4607" s="58">
        <v>7</v>
      </c>
      <c r="D4607" s="58">
        <v>110</v>
      </c>
      <c r="E4607" s="59">
        <v>122.5827</v>
      </c>
    </row>
    <row r="4608" spans="1:5" ht="15" x14ac:dyDescent="0.35">
      <c r="A4608" s="58" t="s">
        <v>351</v>
      </c>
      <c r="B4608" s="58" t="s">
        <v>180</v>
      </c>
      <c r="C4608" s="58">
        <v>8</v>
      </c>
      <c r="D4608" s="58">
        <v>111</v>
      </c>
      <c r="E4608" s="59">
        <v>122.5827</v>
      </c>
    </row>
    <row r="4609" spans="1:5" ht="15" x14ac:dyDescent="0.35">
      <c r="A4609" s="58" t="s">
        <v>351</v>
      </c>
      <c r="B4609" s="58" t="s">
        <v>180</v>
      </c>
      <c r="C4609" s="58">
        <v>9</v>
      </c>
      <c r="D4609" s="58">
        <v>112</v>
      </c>
      <c r="E4609" s="59">
        <v>122.5827</v>
      </c>
    </row>
    <row r="4610" spans="1:5" ht="15" x14ac:dyDescent="0.35">
      <c r="A4610" s="58" t="s">
        <v>351</v>
      </c>
      <c r="B4610" s="58" t="s">
        <v>180</v>
      </c>
      <c r="C4610" s="58">
        <v>10</v>
      </c>
      <c r="D4610" s="58">
        <v>113</v>
      </c>
      <c r="E4610" s="59">
        <v>122.5827</v>
      </c>
    </row>
    <row r="4611" spans="1:5" ht="15" x14ac:dyDescent="0.35">
      <c r="A4611" s="58" t="s">
        <v>351</v>
      </c>
      <c r="B4611" s="58" t="s">
        <v>180</v>
      </c>
      <c r="C4611" s="58">
        <v>11</v>
      </c>
      <c r="D4611" s="58">
        <v>114</v>
      </c>
      <c r="E4611" s="59">
        <v>122.5827</v>
      </c>
    </row>
    <row r="4612" spans="1:5" ht="15" x14ac:dyDescent="0.35">
      <c r="A4612" s="58" t="s">
        <v>351</v>
      </c>
      <c r="B4612" s="58" t="s">
        <v>180</v>
      </c>
      <c r="C4612" s="58">
        <v>12</v>
      </c>
      <c r="D4612" s="58">
        <v>115</v>
      </c>
      <c r="E4612" s="59">
        <v>122.5827</v>
      </c>
    </row>
    <row r="4613" spans="1:5" ht="15" x14ac:dyDescent="0.35">
      <c r="A4613" s="58" t="s">
        <v>363</v>
      </c>
      <c r="B4613" s="58" t="s">
        <v>182</v>
      </c>
      <c r="C4613" s="58">
        <v>1</v>
      </c>
      <c r="D4613" s="58">
        <v>104</v>
      </c>
      <c r="E4613" s="59">
        <v>129.07079999999999</v>
      </c>
    </row>
    <row r="4614" spans="1:5" ht="15" x14ac:dyDescent="0.35">
      <c r="A4614" s="58" t="s">
        <v>363</v>
      </c>
      <c r="B4614" s="58" t="s">
        <v>182</v>
      </c>
      <c r="C4614" s="58">
        <v>2</v>
      </c>
      <c r="D4614" s="58">
        <v>105</v>
      </c>
      <c r="E4614" s="59">
        <v>21.737500000000001</v>
      </c>
    </row>
    <row r="4615" spans="1:5" ht="15" x14ac:dyDescent="0.35">
      <c r="A4615" s="58" t="s">
        <v>363</v>
      </c>
      <c r="B4615" s="58" t="s">
        <v>182</v>
      </c>
      <c r="C4615" s="58">
        <v>3</v>
      </c>
      <c r="D4615" s="58">
        <v>106</v>
      </c>
      <c r="E4615" s="59">
        <v>21.737500000000001</v>
      </c>
    </row>
    <row r="4616" spans="1:5" ht="15" x14ac:dyDescent="0.35">
      <c r="A4616" s="58" t="s">
        <v>363</v>
      </c>
      <c r="B4616" s="58" t="s">
        <v>182</v>
      </c>
      <c r="C4616" s="58">
        <v>4</v>
      </c>
      <c r="D4616" s="58">
        <v>107</v>
      </c>
      <c r="E4616" s="59">
        <v>21.737500000000001</v>
      </c>
    </row>
    <row r="4617" spans="1:5" ht="15" x14ac:dyDescent="0.35">
      <c r="A4617" s="58" t="s">
        <v>363</v>
      </c>
      <c r="B4617" s="58" t="s">
        <v>182</v>
      </c>
      <c r="C4617" s="58">
        <v>5</v>
      </c>
      <c r="D4617" s="58">
        <v>108</v>
      </c>
      <c r="E4617" s="59">
        <v>21.737500000000001</v>
      </c>
    </row>
    <row r="4618" spans="1:5" ht="15" x14ac:dyDescent="0.35">
      <c r="A4618" s="58" t="s">
        <v>363</v>
      </c>
      <c r="B4618" s="58" t="s">
        <v>182</v>
      </c>
      <c r="C4618" s="58">
        <v>6</v>
      </c>
      <c r="D4618" s="58">
        <v>109</v>
      </c>
      <c r="E4618" s="59">
        <v>21.737500000000001</v>
      </c>
    </row>
    <row r="4619" spans="1:5" ht="15" x14ac:dyDescent="0.35">
      <c r="A4619" s="58" t="s">
        <v>363</v>
      </c>
      <c r="B4619" s="58" t="s">
        <v>182</v>
      </c>
      <c r="C4619" s="58">
        <v>7</v>
      </c>
      <c r="D4619" s="58">
        <v>110</v>
      </c>
      <c r="E4619" s="59">
        <v>21.737500000000001</v>
      </c>
    </row>
    <row r="4620" spans="1:5" ht="15" x14ac:dyDescent="0.35">
      <c r="A4620" s="58" t="s">
        <v>363</v>
      </c>
      <c r="B4620" s="58" t="s">
        <v>182</v>
      </c>
      <c r="C4620" s="58">
        <v>8</v>
      </c>
      <c r="D4620" s="58">
        <v>111</v>
      </c>
      <c r="E4620" s="59">
        <v>21.737500000000001</v>
      </c>
    </row>
    <row r="4621" spans="1:5" ht="15" x14ac:dyDescent="0.35">
      <c r="A4621" s="58" t="s">
        <v>363</v>
      </c>
      <c r="B4621" s="58" t="s">
        <v>182</v>
      </c>
      <c r="C4621" s="58">
        <v>9</v>
      </c>
      <c r="D4621" s="58">
        <v>112</v>
      </c>
      <c r="E4621" s="59">
        <v>21.737500000000001</v>
      </c>
    </row>
    <row r="4622" spans="1:5" ht="15" x14ac:dyDescent="0.35">
      <c r="A4622" s="58" t="s">
        <v>363</v>
      </c>
      <c r="B4622" s="58" t="s">
        <v>182</v>
      </c>
      <c r="C4622" s="58">
        <v>10</v>
      </c>
      <c r="D4622" s="58">
        <v>113</v>
      </c>
      <c r="E4622" s="59">
        <v>21.737500000000001</v>
      </c>
    </row>
    <row r="4623" spans="1:5" ht="15" x14ac:dyDescent="0.35">
      <c r="A4623" s="58" t="s">
        <v>363</v>
      </c>
      <c r="B4623" s="58" t="s">
        <v>182</v>
      </c>
      <c r="C4623" s="58">
        <v>11</v>
      </c>
      <c r="D4623" s="58">
        <v>114</v>
      </c>
      <c r="E4623" s="59">
        <v>26.737500000000001</v>
      </c>
    </row>
    <row r="4624" spans="1:5" ht="15" x14ac:dyDescent="0.35">
      <c r="A4624" s="58" t="s">
        <v>363</v>
      </c>
      <c r="B4624" s="58" t="s">
        <v>182</v>
      </c>
      <c r="C4624" s="58">
        <v>12</v>
      </c>
      <c r="D4624" s="58">
        <v>115</v>
      </c>
      <c r="E4624" s="59">
        <v>31.6264</v>
      </c>
    </row>
    <row r="4625" spans="1:5" ht="15" x14ac:dyDescent="0.35">
      <c r="A4625" s="58" t="s">
        <v>363</v>
      </c>
      <c r="B4625" s="58" t="s">
        <v>176</v>
      </c>
      <c r="C4625" s="58">
        <v>1</v>
      </c>
      <c r="D4625" s="58">
        <v>104</v>
      </c>
      <c r="E4625" s="59">
        <v>146.75</v>
      </c>
    </row>
    <row r="4626" spans="1:5" ht="15" x14ac:dyDescent="0.35">
      <c r="A4626" s="58" t="s">
        <v>363</v>
      </c>
      <c r="B4626" s="58" t="s">
        <v>176</v>
      </c>
      <c r="C4626" s="58">
        <v>2</v>
      </c>
      <c r="D4626" s="58">
        <v>105</v>
      </c>
      <c r="E4626" s="59">
        <v>146.75</v>
      </c>
    </row>
    <row r="4627" spans="1:5" ht="15" x14ac:dyDescent="0.35">
      <c r="A4627" s="58" t="s">
        <v>363</v>
      </c>
      <c r="B4627" s="58" t="s">
        <v>176</v>
      </c>
      <c r="C4627" s="58">
        <v>3</v>
      </c>
      <c r="D4627" s="58">
        <v>106</v>
      </c>
      <c r="E4627" s="59">
        <v>146.75</v>
      </c>
    </row>
    <row r="4628" spans="1:5" ht="15" x14ac:dyDescent="0.35">
      <c r="A4628" s="58" t="s">
        <v>363</v>
      </c>
      <c r="B4628" s="58" t="s">
        <v>176</v>
      </c>
      <c r="C4628" s="58">
        <v>4</v>
      </c>
      <c r="D4628" s="58">
        <v>107</v>
      </c>
      <c r="E4628" s="59">
        <v>146.75</v>
      </c>
    </row>
    <row r="4629" spans="1:5" ht="15" x14ac:dyDescent="0.35">
      <c r="A4629" s="58" t="s">
        <v>363</v>
      </c>
      <c r="B4629" s="58" t="s">
        <v>176</v>
      </c>
      <c r="C4629" s="58">
        <v>5</v>
      </c>
      <c r="D4629" s="58">
        <v>108</v>
      </c>
      <c r="E4629" s="59">
        <v>146.75</v>
      </c>
    </row>
    <row r="4630" spans="1:5" ht="15" x14ac:dyDescent="0.35">
      <c r="A4630" s="58" t="s">
        <v>363</v>
      </c>
      <c r="B4630" s="58" t="s">
        <v>176</v>
      </c>
      <c r="C4630" s="58">
        <v>6</v>
      </c>
      <c r="D4630" s="58">
        <v>109</v>
      </c>
      <c r="E4630" s="59">
        <v>146.75</v>
      </c>
    </row>
    <row r="4631" spans="1:5" ht="15" x14ac:dyDescent="0.35">
      <c r="A4631" s="58" t="s">
        <v>363</v>
      </c>
      <c r="B4631" s="58" t="s">
        <v>176</v>
      </c>
      <c r="C4631" s="58">
        <v>7</v>
      </c>
      <c r="D4631" s="58">
        <v>110</v>
      </c>
      <c r="E4631" s="59">
        <v>146.75</v>
      </c>
    </row>
    <row r="4632" spans="1:5" ht="15" x14ac:dyDescent="0.35">
      <c r="A4632" s="58" t="s">
        <v>363</v>
      </c>
      <c r="B4632" s="58" t="s">
        <v>176</v>
      </c>
      <c r="C4632" s="58">
        <v>8</v>
      </c>
      <c r="D4632" s="58">
        <v>111</v>
      </c>
      <c r="E4632" s="59">
        <v>146.75</v>
      </c>
    </row>
    <row r="4633" spans="1:5" ht="15" x14ac:dyDescent="0.35">
      <c r="A4633" s="58" t="s">
        <v>363</v>
      </c>
      <c r="B4633" s="58" t="s">
        <v>176</v>
      </c>
      <c r="C4633" s="58">
        <v>9</v>
      </c>
      <c r="D4633" s="58">
        <v>112</v>
      </c>
      <c r="E4633" s="59">
        <v>146.75</v>
      </c>
    </row>
    <row r="4634" spans="1:5" ht="15" x14ac:dyDescent="0.35">
      <c r="A4634" s="58" t="s">
        <v>363</v>
      </c>
      <c r="B4634" s="58" t="s">
        <v>176</v>
      </c>
      <c r="C4634" s="58">
        <v>10</v>
      </c>
      <c r="D4634" s="58">
        <v>113</v>
      </c>
      <c r="E4634" s="59">
        <v>146.75</v>
      </c>
    </row>
    <row r="4635" spans="1:5" ht="15" x14ac:dyDescent="0.35">
      <c r="A4635" s="58" t="s">
        <v>363</v>
      </c>
      <c r="B4635" s="58" t="s">
        <v>176</v>
      </c>
      <c r="C4635" s="58">
        <v>11</v>
      </c>
      <c r="D4635" s="58">
        <v>114</v>
      </c>
      <c r="E4635" s="59">
        <v>146.75</v>
      </c>
    </row>
    <row r="4636" spans="1:5" ht="15" x14ac:dyDescent="0.35">
      <c r="A4636" s="58" t="s">
        <v>363</v>
      </c>
      <c r="B4636" s="58" t="s">
        <v>176</v>
      </c>
      <c r="C4636" s="58">
        <v>12</v>
      </c>
      <c r="D4636" s="58">
        <v>115</v>
      </c>
      <c r="E4636" s="59">
        <v>146.75</v>
      </c>
    </row>
    <row r="4637" spans="1:5" ht="15" x14ac:dyDescent="0.35">
      <c r="A4637" s="58" t="s">
        <v>363</v>
      </c>
      <c r="B4637" s="58" t="s">
        <v>172</v>
      </c>
      <c r="C4637" s="58">
        <v>1</v>
      </c>
      <c r="D4637" s="58">
        <v>104</v>
      </c>
      <c r="E4637" s="59">
        <v>103</v>
      </c>
    </row>
    <row r="4638" spans="1:5" ht="15" x14ac:dyDescent="0.35">
      <c r="A4638" s="58" t="s">
        <v>363</v>
      </c>
      <c r="B4638" s="58" t="s">
        <v>172</v>
      </c>
      <c r="C4638" s="58">
        <v>2</v>
      </c>
      <c r="D4638" s="58">
        <v>105</v>
      </c>
      <c r="E4638" s="59">
        <v>103</v>
      </c>
    </row>
    <row r="4639" spans="1:5" ht="15" x14ac:dyDescent="0.35">
      <c r="A4639" s="58" t="s">
        <v>363</v>
      </c>
      <c r="B4639" s="58" t="s">
        <v>172</v>
      </c>
      <c r="C4639" s="58">
        <v>3</v>
      </c>
      <c r="D4639" s="58">
        <v>106</v>
      </c>
      <c r="E4639" s="59">
        <v>103</v>
      </c>
    </row>
    <row r="4640" spans="1:5" ht="15" x14ac:dyDescent="0.35">
      <c r="A4640" s="58" t="s">
        <v>363</v>
      </c>
      <c r="B4640" s="58" t="s">
        <v>172</v>
      </c>
      <c r="C4640" s="58">
        <v>4</v>
      </c>
      <c r="D4640" s="58">
        <v>107</v>
      </c>
      <c r="E4640" s="59">
        <v>103</v>
      </c>
    </row>
    <row r="4641" spans="1:5" ht="15" x14ac:dyDescent="0.35">
      <c r="A4641" s="58" t="s">
        <v>363</v>
      </c>
      <c r="B4641" s="58" t="s">
        <v>172</v>
      </c>
      <c r="C4641" s="58">
        <v>5</v>
      </c>
      <c r="D4641" s="58">
        <v>108</v>
      </c>
      <c r="E4641" s="59">
        <v>103</v>
      </c>
    </row>
    <row r="4642" spans="1:5" ht="15" x14ac:dyDescent="0.35">
      <c r="A4642" s="58" t="s">
        <v>363</v>
      </c>
      <c r="B4642" s="58" t="s">
        <v>172</v>
      </c>
      <c r="C4642" s="58">
        <v>6</v>
      </c>
      <c r="D4642" s="58">
        <v>109</v>
      </c>
      <c r="E4642" s="59">
        <v>103</v>
      </c>
    </row>
    <row r="4643" spans="1:5" ht="15" x14ac:dyDescent="0.35">
      <c r="A4643" s="58" t="s">
        <v>363</v>
      </c>
      <c r="B4643" s="58" t="s">
        <v>172</v>
      </c>
      <c r="C4643" s="58">
        <v>7</v>
      </c>
      <c r="D4643" s="58">
        <v>110</v>
      </c>
      <c r="E4643" s="59">
        <v>103</v>
      </c>
    </row>
    <row r="4644" spans="1:5" ht="15" x14ac:dyDescent="0.35">
      <c r="A4644" s="58" t="s">
        <v>363</v>
      </c>
      <c r="B4644" s="58" t="s">
        <v>172</v>
      </c>
      <c r="C4644" s="58">
        <v>8</v>
      </c>
      <c r="D4644" s="58">
        <v>111</v>
      </c>
      <c r="E4644" s="59">
        <v>103</v>
      </c>
    </row>
    <row r="4645" spans="1:5" ht="15" x14ac:dyDescent="0.35">
      <c r="A4645" s="58" t="s">
        <v>363</v>
      </c>
      <c r="B4645" s="58" t="s">
        <v>172</v>
      </c>
      <c r="C4645" s="58">
        <v>9</v>
      </c>
      <c r="D4645" s="58">
        <v>112</v>
      </c>
      <c r="E4645" s="59">
        <v>103</v>
      </c>
    </row>
    <row r="4646" spans="1:5" ht="15" x14ac:dyDescent="0.35">
      <c r="A4646" s="58" t="s">
        <v>363</v>
      </c>
      <c r="B4646" s="58" t="s">
        <v>172</v>
      </c>
      <c r="C4646" s="58">
        <v>10</v>
      </c>
      <c r="D4646" s="58">
        <v>113</v>
      </c>
      <c r="E4646" s="59">
        <v>103</v>
      </c>
    </row>
    <row r="4647" spans="1:5" ht="15" x14ac:dyDescent="0.35">
      <c r="A4647" s="58" t="s">
        <v>363</v>
      </c>
      <c r="B4647" s="58" t="s">
        <v>172</v>
      </c>
      <c r="C4647" s="58">
        <v>11</v>
      </c>
      <c r="D4647" s="58">
        <v>114</v>
      </c>
      <c r="E4647" s="59">
        <v>103</v>
      </c>
    </row>
    <row r="4648" spans="1:5" ht="15" x14ac:dyDescent="0.35">
      <c r="A4648" s="58" t="s">
        <v>363</v>
      </c>
      <c r="B4648" s="58" t="s">
        <v>172</v>
      </c>
      <c r="C4648" s="58">
        <v>12</v>
      </c>
      <c r="D4648" s="58">
        <v>115</v>
      </c>
      <c r="E4648" s="59">
        <v>103</v>
      </c>
    </row>
    <row r="4649" spans="1:5" ht="15" x14ac:dyDescent="0.35">
      <c r="A4649" s="58" t="s">
        <v>363</v>
      </c>
      <c r="B4649" s="58" t="s">
        <v>180</v>
      </c>
      <c r="C4649" s="58">
        <v>1</v>
      </c>
      <c r="D4649" s="58">
        <v>104</v>
      </c>
      <c r="E4649" s="59">
        <v>115.23909999999999</v>
      </c>
    </row>
    <row r="4650" spans="1:5" ht="15" x14ac:dyDescent="0.35">
      <c r="A4650" s="58" t="s">
        <v>363</v>
      </c>
      <c r="B4650" s="58" t="s">
        <v>180</v>
      </c>
      <c r="C4650" s="58">
        <v>2</v>
      </c>
      <c r="D4650" s="58">
        <v>105</v>
      </c>
      <c r="E4650" s="59">
        <v>115.23909999999999</v>
      </c>
    </row>
    <row r="4651" spans="1:5" ht="15" x14ac:dyDescent="0.35">
      <c r="A4651" s="58" t="s">
        <v>363</v>
      </c>
      <c r="B4651" s="58" t="s">
        <v>180</v>
      </c>
      <c r="C4651" s="58">
        <v>3</v>
      </c>
      <c r="D4651" s="58">
        <v>106</v>
      </c>
      <c r="E4651" s="59">
        <v>115.23909999999999</v>
      </c>
    </row>
    <row r="4652" spans="1:5" ht="15" x14ac:dyDescent="0.35">
      <c r="A4652" s="58" t="s">
        <v>363</v>
      </c>
      <c r="B4652" s="58" t="s">
        <v>180</v>
      </c>
      <c r="C4652" s="58">
        <v>4</v>
      </c>
      <c r="D4652" s="58">
        <v>107</v>
      </c>
      <c r="E4652" s="59">
        <v>115.23909999999999</v>
      </c>
    </row>
    <row r="4653" spans="1:5" ht="15" x14ac:dyDescent="0.35">
      <c r="A4653" s="58" t="s">
        <v>363</v>
      </c>
      <c r="B4653" s="58" t="s">
        <v>180</v>
      </c>
      <c r="C4653" s="58">
        <v>5</v>
      </c>
      <c r="D4653" s="58">
        <v>108</v>
      </c>
      <c r="E4653" s="59">
        <v>115.23909999999999</v>
      </c>
    </row>
    <row r="4654" spans="1:5" ht="15" x14ac:dyDescent="0.35">
      <c r="A4654" s="58" t="s">
        <v>363</v>
      </c>
      <c r="B4654" s="58" t="s">
        <v>180</v>
      </c>
      <c r="C4654" s="58">
        <v>6</v>
      </c>
      <c r="D4654" s="58">
        <v>109</v>
      </c>
      <c r="E4654" s="59">
        <v>115.23909999999999</v>
      </c>
    </row>
    <row r="4655" spans="1:5" ht="15" x14ac:dyDescent="0.35">
      <c r="A4655" s="58" t="s">
        <v>363</v>
      </c>
      <c r="B4655" s="58" t="s">
        <v>180</v>
      </c>
      <c r="C4655" s="58">
        <v>7</v>
      </c>
      <c r="D4655" s="58">
        <v>110</v>
      </c>
      <c r="E4655" s="59">
        <v>115.23909999999999</v>
      </c>
    </row>
    <row r="4656" spans="1:5" ht="15" x14ac:dyDescent="0.35">
      <c r="A4656" s="58" t="s">
        <v>363</v>
      </c>
      <c r="B4656" s="58" t="s">
        <v>180</v>
      </c>
      <c r="C4656" s="58">
        <v>8</v>
      </c>
      <c r="D4656" s="58">
        <v>111</v>
      </c>
      <c r="E4656" s="59">
        <v>115.23909999999999</v>
      </c>
    </row>
    <row r="4657" spans="1:5" ht="15" x14ac:dyDescent="0.35">
      <c r="A4657" s="58" t="s">
        <v>363</v>
      </c>
      <c r="B4657" s="58" t="s">
        <v>180</v>
      </c>
      <c r="C4657" s="58">
        <v>9</v>
      </c>
      <c r="D4657" s="58">
        <v>112</v>
      </c>
      <c r="E4657" s="59">
        <v>115.23909999999999</v>
      </c>
    </row>
    <row r="4658" spans="1:5" ht="15" x14ac:dyDescent="0.35">
      <c r="A4658" s="58" t="s">
        <v>363</v>
      </c>
      <c r="B4658" s="58" t="s">
        <v>180</v>
      </c>
      <c r="C4658" s="58">
        <v>10</v>
      </c>
      <c r="D4658" s="58">
        <v>113</v>
      </c>
      <c r="E4658" s="59">
        <v>115.23909999999999</v>
      </c>
    </row>
    <row r="4659" spans="1:5" ht="15" x14ac:dyDescent="0.35">
      <c r="A4659" s="58" t="s">
        <v>363</v>
      </c>
      <c r="B4659" s="58" t="s">
        <v>180</v>
      </c>
      <c r="C4659" s="58">
        <v>11</v>
      </c>
      <c r="D4659" s="58">
        <v>114</v>
      </c>
      <c r="E4659" s="59">
        <v>115.23909999999999</v>
      </c>
    </row>
    <row r="4660" spans="1:5" ht="15" x14ac:dyDescent="0.35">
      <c r="A4660" s="58" t="s">
        <v>363</v>
      </c>
      <c r="B4660" s="58" t="s">
        <v>180</v>
      </c>
      <c r="C4660" s="58">
        <v>12</v>
      </c>
      <c r="D4660" s="58">
        <v>115</v>
      </c>
      <c r="E4660" s="59">
        <v>115.23909999999999</v>
      </c>
    </row>
    <row r="4661" spans="1:5" ht="15" x14ac:dyDescent="0.35">
      <c r="A4661" s="58" t="s">
        <v>387</v>
      </c>
      <c r="B4661" s="58" t="s">
        <v>182</v>
      </c>
      <c r="C4661" s="58">
        <v>1</v>
      </c>
      <c r="D4661" s="58">
        <v>104</v>
      </c>
      <c r="E4661" s="59">
        <v>73.745800000000003</v>
      </c>
    </row>
    <row r="4662" spans="1:5" ht="15" x14ac:dyDescent="0.35">
      <c r="A4662" s="58" t="s">
        <v>387</v>
      </c>
      <c r="B4662" s="58" t="s">
        <v>182</v>
      </c>
      <c r="C4662" s="58">
        <v>2</v>
      </c>
      <c r="D4662" s="58">
        <v>105</v>
      </c>
      <c r="E4662" s="59">
        <v>0</v>
      </c>
    </row>
    <row r="4663" spans="1:5" ht="15" x14ac:dyDescent="0.35">
      <c r="A4663" s="58" t="s">
        <v>387</v>
      </c>
      <c r="B4663" s="58" t="s">
        <v>182</v>
      </c>
      <c r="C4663" s="58">
        <v>3</v>
      </c>
      <c r="D4663" s="58">
        <v>106</v>
      </c>
      <c r="E4663" s="59">
        <v>0</v>
      </c>
    </row>
    <row r="4664" spans="1:5" ht="15" x14ac:dyDescent="0.35">
      <c r="A4664" s="58" t="s">
        <v>387</v>
      </c>
      <c r="B4664" s="58" t="s">
        <v>182</v>
      </c>
      <c r="C4664" s="58">
        <v>4</v>
      </c>
      <c r="D4664" s="58">
        <v>107</v>
      </c>
      <c r="E4664" s="59">
        <v>0</v>
      </c>
    </row>
    <row r="4665" spans="1:5" ht="15" x14ac:dyDescent="0.35">
      <c r="A4665" s="58" t="s">
        <v>387</v>
      </c>
      <c r="B4665" s="58" t="s">
        <v>182</v>
      </c>
      <c r="C4665" s="58">
        <v>5</v>
      </c>
      <c r="D4665" s="58">
        <v>108</v>
      </c>
      <c r="E4665" s="59">
        <v>0</v>
      </c>
    </row>
    <row r="4666" spans="1:5" ht="15" x14ac:dyDescent="0.35">
      <c r="A4666" s="58" t="s">
        <v>387</v>
      </c>
      <c r="B4666" s="58" t="s">
        <v>182</v>
      </c>
      <c r="C4666" s="58">
        <v>6</v>
      </c>
      <c r="D4666" s="58">
        <v>109</v>
      </c>
      <c r="E4666" s="59">
        <v>0</v>
      </c>
    </row>
    <row r="4667" spans="1:5" ht="15" x14ac:dyDescent="0.35">
      <c r="A4667" s="58" t="s">
        <v>387</v>
      </c>
      <c r="B4667" s="58" t="s">
        <v>182</v>
      </c>
      <c r="C4667" s="58">
        <v>7</v>
      </c>
      <c r="D4667" s="58">
        <v>110</v>
      </c>
      <c r="E4667" s="59">
        <v>0</v>
      </c>
    </row>
    <row r="4668" spans="1:5" ht="15" x14ac:dyDescent="0.35">
      <c r="A4668" s="58" t="s">
        <v>387</v>
      </c>
      <c r="B4668" s="58" t="s">
        <v>182</v>
      </c>
      <c r="C4668" s="58">
        <v>8</v>
      </c>
      <c r="D4668" s="58">
        <v>111</v>
      </c>
      <c r="E4668" s="59">
        <v>0</v>
      </c>
    </row>
    <row r="4669" spans="1:5" ht="15" x14ac:dyDescent="0.35">
      <c r="A4669" s="58" t="s">
        <v>387</v>
      </c>
      <c r="B4669" s="58" t="s">
        <v>182</v>
      </c>
      <c r="C4669" s="58">
        <v>9</v>
      </c>
      <c r="D4669" s="58">
        <v>112</v>
      </c>
      <c r="E4669" s="59">
        <v>0</v>
      </c>
    </row>
    <row r="4670" spans="1:5" ht="15" x14ac:dyDescent="0.35">
      <c r="A4670" s="58" t="s">
        <v>387</v>
      </c>
      <c r="B4670" s="58" t="s">
        <v>182</v>
      </c>
      <c r="C4670" s="58">
        <v>10</v>
      </c>
      <c r="D4670" s="58">
        <v>113</v>
      </c>
      <c r="E4670" s="59">
        <v>0</v>
      </c>
    </row>
    <row r="4671" spans="1:5" ht="15" x14ac:dyDescent="0.35">
      <c r="A4671" s="58" t="s">
        <v>387</v>
      </c>
      <c r="B4671" s="58" t="s">
        <v>182</v>
      </c>
      <c r="C4671" s="58">
        <v>11</v>
      </c>
      <c r="D4671" s="58">
        <v>114</v>
      </c>
      <c r="E4671" s="59">
        <v>0</v>
      </c>
    </row>
    <row r="4672" spans="1:5" ht="15" x14ac:dyDescent="0.35">
      <c r="A4672" s="58" t="s">
        <v>387</v>
      </c>
      <c r="B4672" s="58" t="s">
        <v>182</v>
      </c>
      <c r="C4672" s="58">
        <v>12</v>
      </c>
      <c r="D4672" s="58">
        <v>115</v>
      </c>
      <c r="E4672" s="59">
        <v>0</v>
      </c>
    </row>
    <row r="4673" spans="1:5" ht="15" x14ac:dyDescent="0.35">
      <c r="A4673" s="58" t="s">
        <v>387</v>
      </c>
      <c r="B4673" s="58" t="s">
        <v>176</v>
      </c>
      <c r="C4673" s="58">
        <v>1</v>
      </c>
      <c r="D4673" s="58">
        <v>104</v>
      </c>
      <c r="E4673" s="59">
        <v>57.5</v>
      </c>
    </row>
    <row r="4674" spans="1:5" ht="15" x14ac:dyDescent="0.35">
      <c r="A4674" s="58" t="s">
        <v>387</v>
      </c>
      <c r="B4674" s="58" t="s">
        <v>176</v>
      </c>
      <c r="C4674" s="58">
        <v>2</v>
      </c>
      <c r="D4674" s="58">
        <v>105</v>
      </c>
      <c r="E4674" s="59">
        <v>57.5</v>
      </c>
    </row>
    <row r="4675" spans="1:5" ht="15" x14ac:dyDescent="0.35">
      <c r="A4675" s="58" t="s">
        <v>387</v>
      </c>
      <c r="B4675" s="58" t="s">
        <v>176</v>
      </c>
      <c r="C4675" s="58">
        <v>3</v>
      </c>
      <c r="D4675" s="58">
        <v>106</v>
      </c>
      <c r="E4675" s="59">
        <v>57.5</v>
      </c>
    </row>
    <row r="4676" spans="1:5" ht="15" x14ac:dyDescent="0.35">
      <c r="A4676" s="58" t="s">
        <v>387</v>
      </c>
      <c r="B4676" s="58" t="s">
        <v>176</v>
      </c>
      <c r="C4676" s="58">
        <v>4</v>
      </c>
      <c r="D4676" s="58">
        <v>107</v>
      </c>
      <c r="E4676" s="59">
        <v>57.5</v>
      </c>
    </row>
    <row r="4677" spans="1:5" ht="15" x14ac:dyDescent="0.35">
      <c r="A4677" s="58" t="s">
        <v>387</v>
      </c>
      <c r="B4677" s="58" t="s">
        <v>176</v>
      </c>
      <c r="C4677" s="58">
        <v>5</v>
      </c>
      <c r="D4677" s="58">
        <v>108</v>
      </c>
      <c r="E4677" s="59">
        <v>57.5</v>
      </c>
    </row>
    <row r="4678" spans="1:5" ht="15" x14ac:dyDescent="0.35">
      <c r="A4678" s="58" t="s">
        <v>387</v>
      </c>
      <c r="B4678" s="58" t="s">
        <v>176</v>
      </c>
      <c r="C4678" s="58">
        <v>6</v>
      </c>
      <c r="D4678" s="58">
        <v>109</v>
      </c>
      <c r="E4678" s="59">
        <v>57.5</v>
      </c>
    </row>
    <row r="4679" spans="1:5" ht="15" x14ac:dyDescent="0.35">
      <c r="A4679" s="58" t="s">
        <v>387</v>
      </c>
      <c r="B4679" s="58" t="s">
        <v>176</v>
      </c>
      <c r="C4679" s="58">
        <v>7</v>
      </c>
      <c r="D4679" s="58">
        <v>110</v>
      </c>
      <c r="E4679" s="59">
        <v>57.5</v>
      </c>
    </row>
    <row r="4680" spans="1:5" ht="15" x14ac:dyDescent="0.35">
      <c r="A4680" s="58" t="s">
        <v>387</v>
      </c>
      <c r="B4680" s="58" t="s">
        <v>176</v>
      </c>
      <c r="C4680" s="58">
        <v>8</v>
      </c>
      <c r="D4680" s="58">
        <v>111</v>
      </c>
      <c r="E4680" s="59">
        <v>57.5</v>
      </c>
    </row>
    <row r="4681" spans="1:5" ht="15" x14ac:dyDescent="0.35">
      <c r="A4681" s="58" t="s">
        <v>387</v>
      </c>
      <c r="B4681" s="58" t="s">
        <v>176</v>
      </c>
      <c r="C4681" s="58">
        <v>9</v>
      </c>
      <c r="D4681" s="58">
        <v>112</v>
      </c>
      <c r="E4681" s="59">
        <v>57.5</v>
      </c>
    </row>
    <row r="4682" spans="1:5" ht="15" x14ac:dyDescent="0.35">
      <c r="A4682" s="58" t="s">
        <v>387</v>
      </c>
      <c r="B4682" s="58" t="s">
        <v>176</v>
      </c>
      <c r="C4682" s="58">
        <v>10</v>
      </c>
      <c r="D4682" s="58">
        <v>113</v>
      </c>
      <c r="E4682" s="59">
        <v>57.5</v>
      </c>
    </row>
    <row r="4683" spans="1:5" ht="15" x14ac:dyDescent="0.35">
      <c r="A4683" s="58" t="s">
        <v>387</v>
      </c>
      <c r="B4683" s="58" t="s">
        <v>176</v>
      </c>
      <c r="C4683" s="58">
        <v>11</v>
      </c>
      <c r="D4683" s="58">
        <v>114</v>
      </c>
      <c r="E4683" s="59">
        <v>57.5</v>
      </c>
    </row>
    <row r="4684" spans="1:5" ht="15" x14ac:dyDescent="0.35">
      <c r="A4684" s="58" t="s">
        <v>387</v>
      </c>
      <c r="B4684" s="58" t="s">
        <v>176</v>
      </c>
      <c r="C4684" s="58">
        <v>12</v>
      </c>
      <c r="D4684" s="58">
        <v>115</v>
      </c>
      <c r="E4684" s="59">
        <v>57.5</v>
      </c>
    </row>
    <row r="4685" spans="1:5" ht="15" x14ac:dyDescent="0.35">
      <c r="A4685" s="58" t="s">
        <v>387</v>
      </c>
      <c r="B4685" s="58" t="s">
        <v>172</v>
      </c>
      <c r="C4685" s="58">
        <v>1</v>
      </c>
      <c r="D4685" s="58">
        <v>104</v>
      </c>
      <c r="E4685" s="59">
        <v>0</v>
      </c>
    </row>
    <row r="4686" spans="1:5" ht="15" x14ac:dyDescent="0.35">
      <c r="A4686" s="58" t="s">
        <v>387</v>
      </c>
      <c r="B4686" s="58" t="s">
        <v>172</v>
      </c>
      <c r="C4686" s="58">
        <v>2</v>
      </c>
      <c r="D4686" s="58">
        <v>105</v>
      </c>
      <c r="E4686" s="59">
        <v>0</v>
      </c>
    </row>
    <row r="4687" spans="1:5" ht="15" x14ac:dyDescent="0.35">
      <c r="A4687" s="58" t="s">
        <v>387</v>
      </c>
      <c r="B4687" s="58" t="s">
        <v>172</v>
      </c>
      <c r="C4687" s="58">
        <v>3</v>
      </c>
      <c r="D4687" s="58">
        <v>106</v>
      </c>
      <c r="E4687" s="59">
        <v>0</v>
      </c>
    </row>
    <row r="4688" spans="1:5" ht="15" x14ac:dyDescent="0.35">
      <c r="A4688" s="58" t="s">
        <v>387</v>
      </c>
      <c r="B4688" s="58" t="s">
        <v>172</v>
      </c>
      <c r="C4688" s="58">
        <v>4</v>
      </c>
      <c r="D4688" s="58">
        <v>107</v>
      </c>
      <c r="E4688" s="59">
        <v>0</v>
      </c>
    </row>
    <row r="4689" spans="1:5" ht="15" x14ac:dyDescent="0.35">
      <c r="A4689" s="58" t="s">
        <v>387</v>
      </c>
      <c r="B4689" s="58" t="s">
        <v>172</v>
      </c>
      <c r="C4689" s="58">
        <v>5</v>
      </c>
      <c r="D4689" s="58">
        <v>108</v>
      </c>
      <c r="E4689" s="59">
        <v>0</v>
      </c>
    </row>
    <row r="4690" spans="1:5" ht="15" x14ac:dyDescent="0.35">
      <c r="A4690" s="58" t="s">
        <v>387</v>
      </c>
      <c r="B4690" s="58" t="s">
        <v>172</v>
      </c>
      <c r="C4690" s="58">
        <v>6</v>
      </c>
      <c r="D4690" s="58">
        <v>109</v>
      </c>
      <c r="E4690" s="59">
        <v>0</v>
      </c>
    </row>
    <row r="4691" spans="1:5" ht="15" x14ac:dyDescent="0.35">
      <c r="A4691" s="58" t="s">
        <v>387</v>
      </c>
      <c r="B4691" s="58" t="s">
        <v>172</v>
      </c>
      <c r="C4691" s="58">
        <v>7</v>
      </c>
      <c r="D4691" s="58">
        <v>110</v>
      </c>
      <c r="E4691" s="59">
        <v>0</v>
      </c>
    </row>
    <row r="4692" spans="1:5" ht="15" x14ac:dyDescent="0.35">
      <c r="A4692" s="58" t="s">
        <v>387</v>
      </c>
      <c r="B4692" s="58" t="s">
        <v>172</v>
      </c>
      <c r="C4692" s="58">
        <v>8</v>
      </c>
      <c r="D4692" s="58">
        <v>111</v>
      </c>
      <c r="E4692" s="59">
        <v>0</v>
      </c>
    </row>
    <row r="4693" spans="1:5" ht="15" x14ac:dyDescent="0.35">
      <c r="A4693" s="58" t="s">
        <v>387</v>
      </c>
      <c r="B4693" s="58" t="s">
        <v>172</v>
      </c>
      <c r="C4693" s="58">
        <v>9</v>
      </c>
      <c r="D4693" s="58">
        <v>112</v>
      </c>
      <c r="E4693" s="59">
        <v>0</v>
      </c>
    </row>
    <row r="4694" spans="1:5" ht="15" x14ac:dyDescent="0.35">
      <c r="A4694" s="58" t="s">
        <v>387</v>
      </c>
      <c r="B4694" s="58" t="s">
        <v>172</v>
      </c>
      <c r="C4694" s="58">
        <v>10</v>
      </c>
      <c r="D4694" s="58">
        <v>113</v>
      </c>
      <c r="E4694" s="59">
        <v>0</v>
      </c>
    </row>
    <row r="4695" spans="1:5" ht="15" x14ac:dyDescent="0.35">
      <c r="A4695" s="58" t="s">
        <v>387</v>
      </c>
      <c r="B4695" s="58" t="s">
        <v>172</v>
      </c>
      <c r="C4695" s="58">
        <v>11</v>
      </c>
      <c r="D4695" s="58">
        <v>114</v>
      </c>
      <c r="E4695" s="59">
        <v>0</v>
      </c>
    </row>
    <row r="4696" spans="1:5" ht="15" x14ac:dyDescent="0.35">
      <c r="A4696" s="58" t="s">
        <v>387</v>
      </c>
      <c r="B4696" s="58" t="s">
        <v>172</v>
      </c>
      <c r="C4696" s="58">
        <v>12</v>
      </c>
      <c r="D4696" s="58">
        <v>115</v>
      </c>
      <c r="E4696" s="59">
        <v>0</v>
      </c>
    </row>
    <row r="4697" spans="1:5" ht="15" x14ac:dyDescent="0.35">
      <c r="A4697" s="58" t="s">
        <v>387</v>
      </c>
      <c r="B4697" s="58" t="s">
        <v>180</v>
      </c>
      <c r="C4697" s="58">
        <v>1</v>
      </c>
      <c r="D4697" s="58">
        <v>104</v>
      </c>
      <c r="E4697" s="59">
        <v>42.131100000000004</v>
      </c>
    </row>
    <row r="4698" spans="1:5" ht="15" x14ac:dyDescent="0.35">
      <c r="A4698" s="58" t="s">
        <v>387</v>
      </c>
      <c r="B4698" s="58" t="s">
        <v>180</v>
      </c>
      <c r="C4698" s="58">
        <v>2</v>
      </c>
      <c r="D4698" s="58">
        <v>105</v>
      </c>
      <c r="E4698" s="59">
        <v>42.131100000000004</v>
      </c>
    </row>
    <row r="4699" spans="1:5" ht="15" x14ac:dyDescent="0.35">
      <c r="A4699" s="58" t="s">
        <v>387</v>
      </c>
      <c r="B4699" s="58" t="s">
        <v>180</v>
      </c>
      <c r="C4699" s="58">
        <v>3</v>
      </c>
      <c r="D4699" s="58">
        <v>106</v>
      </c>
      <c r="E4699" s="59">
        <v>42.131100000000004</v>
      </c>
    </row>
    <row r="4700" spans="1:5" ht="15" x14ac:dyDescent="0.35">
      <c r="A4700" s="58" t="s">
        <v>387</v>
      </c>
      <c r="B4700" s="58" t="s">
        <v>180</v>
      </c>
      <c r="C4700" s="58">
        <v>4</v>
      </c>
      <c r="D4700" s="58">
        <v>107</v>
      </c>
      <c r="E4700" s="59">
        <v>42.131100000000004</v>
      </c>
    </row>
    <row r="4701" spans="1:5" ht="15" x14ac:dyDescent="0.35">
      <c r="A4701" s="58" t="s">
        <v>387</v>
      </c>
      <c r="B4701" s="58" t="s">
        <v>180</v>
      </c>
      <c r="C4701" s="58">
        <v>5</v>
      </c>
      <c r="D4701" s="58">
        <v>108</v>
      </c>
      <c r="E4701" s="59">
        <v>42.131100000000004</v>
      </c>
    </row>
    <row r="4702" spans="1:5" ht="15" x14ac:dyDescent="0.35">
      <c r="A4702" s="58" t="s">
        <v>387</v>
      </c>
      <c r="B4702" s="58" t="s">
        <v>180</v>
      </c>
      <c r="C4702" s="58">
        <v>6</v>
      </c>
      <c r="D4702" s="58">
        <v>109</v>
      </c>
      <c r="E4702" s="59">
        <v>42.131100000000004</v>
      </c>
    </row>
    <row r="4703" spans="1:5" ht="15" x14ac:dyDescent="0.35">
      <c r="A4703" s="58" t="s">
        <v>387</v>
      </c>
      <c r="B4703" s="58" t="s">
        <v>180</v>
      </c>
      <c r="C4703" s="58">
        <v>7</v>
      </c>
      <c r="D4703" s="58">
        <v>110</v>
      </c>
      <c r="E4703" s="59">
        <v>42.131100000000004</v>
      </c>
    </row>
    <row r="4704" spans="1:5" ht="15" x14ac:dyDescent="0.35">
      <c r="A4704" s="58" t="s">
        <v>387</v>
      </c>
      <c r="B4704" s="58" t="s">
        <v>180</v>
      </c>
      <c r="C4704" s="58">
        <v>8</v>
      </c>
      <c r="D4704" s="58">
        <v>111</v>
      </c>
      <c r="E4704" s="59">
        <v>42.131100000000004</v>
      </c>
    </row>
    <row r="4705" spans="1:5" ht="15" x14ac:dyDescent="0.35">
      <c r="A4705" s="58" t="s">
        <v>387</v>
      </c>
      <c r="B4705" s="58" t="s">
        <v>180</v>
      </c>
      <c r="C4705" s="58">
        <v>9</v>
      </c>
      <c r="D4705" s="58">
        <v>112</v>
      </c>
      <c r="E4705" s="59">
        <v>42.131100000000004</v>
      </c>
    </row>
    <row r="4706" spans="1:5" ht="15" x14ac:dyDescent="0.35">
      <c r="A4706" s="58" t="s">
        <v>387</v>
      </c>
      <c r="B4706" s="58" t="s">
        <v>180</v>
      </c>
      <c r="C4706" s="58">
        <v>10</v>
      </c>
      <c r="D4706" s="58">
        <v>113</v>
      </c>
      <c r="E4706" s="59">
        <v>42.131100000000004</v>
      </c>
    </row>
    <row r="4707" spans="1:5" ht="15" x14ac:dyDescent="0.35">
      <c r="A4707" s="58" t="s">
        <v>387</v>
      </c>
      <c r="B4707" s="58" t="s">
        <v>180</v>
      </c>
      <c r="C4707" s="58">
        <v>11</v>
      </c>
      <c r="D4707" s="58">
        <v>114</v>
      </c>
      <c r="E4707" s="59">
        <v>42.131100000000004</v>
      </c>
    </row>
    <row r="4708" spans="1:5" ht="15" x14ac:dyDescent="0.35">
      <c r="A4708" s="58" t="s">
        <v>387</v>
      </c>
      <c r="B4708" s="58" t="s">
        <v>180</v>
      </c>
      <c r="C4708" s="58">
        <v>12</v>
      </c>
      <c r="D4708" s="58">
        <v>115</v>
      </c>
      <c r="E4708" s="59">
        <v>42.131100000000004</v>
      </c>
    </row>
    <row r="4709" spans="1:5" ht="15" x14ac:dyDescent="0.35">
      <c r="A4709" s="58" t="s">
        <v>384</v>
      </c>
      <c r="B4709" s="58" t="s">
        <v>182</v>
      </c>
      <c r="C4709" s="58">
        <v>1</v>
      </c>
      <c r="D4709" s="58">
        <v>104</v>
      </c>
      <c r="E4709" s="59">
        <v>8.7893000000000008</v>
      </c>
    </row>
    <row r="4710" spans="1:5" ht="15" x14ac:dyDescent="0.35">
      <c r="A4710" s="58" t="s">
        <v>384</v>
      </c>
      <c r="B4710" s="58" t="s">
        <v>182</v>
      </c>
      <c r="C4710" s="58">
        <v>2</v>
      </c>
      <c r="D4710" s="58">
        <v>105</v>
      </c>
      <c r="E4710" s="59">
        <v>1.5669999999999999</v>
      </c>
    </row>
    <row r="4711" spans="1:5" ht="15" x14ac:dyDescent="0.35">
      <c r="A4711" s="58" t="s">
        <v>384</v>
      </c>
      <c r="B4711" s="58" t="s">
        <v>182</v>
      </c>
      <c r="C4711" s="58">
        <v>3</v>
      </c>
      <c r="D4711" s="58">
        <v>106</v>
      </c>
      <c r="E4711" s="59">
        <v>1.5669999999999999</v>
      </c>
    </row>
    <row r="4712" spans="1:5" ht="15" x14ac:dyDescent="0.35">
      <c r="A4712" s="58" t="s">
        <v>384</v>
      </c>
      <c r="B4712" s="58" t="s">
        <v>182</v>
      </c>
      <c r="C4712" s="58">
        <v>4</v>
      </c>
      <c r="D4712" s="58">
        <v>107</v>
      </c>
      <c r="E4712" s="59">
        <v>1.5669999999999999</v>
      </c>
    </row>
    <row r="4713" spans="1:5" ht="15" x14ac:dyDescent="0.35">
      <c r="A4713" s="58" t="s">
        <v>384</v>
      </c>
      <c r="B4713" s="58" t="s">
        <v>182</v>
      </c>
      <c r="C4713" s="58">
        <v>5</v>
      </c>
      <c r="D4713" s="58">
        <v>108</v>
      </c>
      <c r="E4713" s="59">
        <v>1.5669999999999999</v>
      </c>
    </row>
    <row r="4714" spans="1:5" ht="15" x14ac:dyDescent="0.35">
      <c r="A4714" s="58" t="s">
        <v>384</v>
      </c>
      <c r="B4714" s="58" t="s">
        <v>182</v>
      </c>
      <c r="C4714" s="58">
        <v>6</v>
      </c>
      <c r="D4714" s="58">
        <v>109</v>
      </c>
      <c r="E4714" s="59">
        <v>1.5669999999999999</v>
      </c>
    </row>
    <row r="4715" spans="1:5" ht="15" x14ac:dyDescent="0.35">
      <c r="A4715" s="58" t="s">
        <v>384</v>
      </c>
      <c r="B4715" s="58" t="s">
        <v>182</v>
      </c>
      <c r="C4715" s="58">
        <v>7</v>
      </c>
      <c r="D4715" s="58">
        <v>110</v>
      </c>
      <c r="E4715" s="59">
        <v>1.5669999999999999</v>
      </c>
    </row>
    <row r="4716" spans="1:5" ht="15" x14ac:dyDescent="0.35">
      <c r="A4716" s="58" t="s">
        <v>384</v>
      </c>
      <c r="B4716" s="58" t="s">
        <v>182</v>
      </c>
      <c r="C4716" s="58">
        <v>8</v>
      </c>
      <c r="D4716" s="58">
        <v>111</v>
      </c>
      <c r="E4716" s="59">
        <v>1.5669999999999999</v>
      </c>
    </row>
    <row r="4717" spans="1:5" ht="15" x14ac:dyDescent="0.35">
      <c r="A4717" s="58" t="s">
        <v>384</v>
      </c>
      <c r="B4717" s="58" t="s">
        <v>182</v>
      </c>
      <c r="C4717" s="58">
        <v>9</v>
      </c>
      <c r="D4717" s="58">
        <v>112</v>
      </c>
      <c r="E4717" s="59">
        <v>1.5669999999999999</v>
      </c>
    </row>
    <row r="4718" spans="1:5" ht="15" x14ac:dyDescent="0.35">
      <c r="A4718" s="58" t="s">
        <v>384</v>
      </c>
      <c r="B4718" s="58" t="s">
        <v>182</v>
      </c>
      <c r="C4718" s="58">
        <v>10</v>
      </c>
      <c r="D4718" s="58">
        <v>113</v>
      </c>
      <c r="E4718" s="59">
        <v>1.5669999999999999</v>
      </c>
    </row>
    <row r="4719" spans="1:5" ht="15" x14ac:dyDescent="0.35">
      <c r="A4719" s="58" t="s">
        <v>384</v>
      </c>
      <c r="B4719" s="58" t="s">
        <v>182</v>
      </c>
      <c r="C4719" s="58">
        <v>11</v>
      </c>
      <c r="D4719" s="58">
        <v>114</v>
      </c>
      <c r="E4719" s="59">
        <v>1.5669999999999999</v>
      </c>
    </row>
    <row r="4720" spans="1:5" ht="15" x14ac:dyDescent="0.35">
      <c r="A4720" s="58" t="s">
        <v>384</v>
      </c>
      <c r="B4720" s="58" t="s">
        <v>182</v>
      </c>
      <c r="C4720" s="58">
        <v>12</v>
      </c>
      <c r="D4720" s="58">
        <v>115</v>
      </c>
      <c r="E4720" s="59">
        <v>1.5669999999999999</v>
      </c>
    </row>
    <row r="4721" spans="1:5" ht="15" x14ac:dyDescent="0.35">
      <c r="A4721" s="58" t="s">
        <v>384</v>
      </c>
      <c r="B4721" s="58" t="s">
        <v>176</v>
      </c>
      <c r="C4721" s="58">
        <v>1</v>
      </c>
      <c r="D4721" s="58">
        <v>104</v>
      </c>
      <c r="E4721" s="59">
        <v>9.25</v>
      </c>
    </row>
    <row r="4722" spans="1:5" ht="15" x14ac:dyDescent="0.35">
      <c r="A4722" s="58" t="s">
        <v>384</v>
      </c>
      <c r="B4722" s="58" t="s">
        <v>176</v>
      </c>
      <c r="C4722" s="58">
        <v>2</v>
      </c>
      <c r="D4722" s="58">
        <v>105</v>
      </c>
      <c r="E4722" s="59">
        <v>9.25</v>
      </c>
    </row>
    <row r="4723" spans="1:5" ht="15" x14ac:dyDescent="0.35">
      <c r="A4723" s="58" t="s">
        <v>384</v>
      </c>
      <c r="B4723" s="58" t="s">
        <v>176</v>
      </c>
      <c r="C4723" s="58">
        <v>3</v>
      </c>
      <c r="D4723" s="58">
        <v>106</v>
      </c>
      <c r="E4723" s="59">
        <v>9.25</v>
      </c>
    </row>
    <row r="4724" spans="1:5" ht="15" x14ac:dyDescent="0.35">
      <c r="A4724" s="58" t="s">
        <v>384</v>
      </c>
      <c r="B4724" s="58" t="s">
        <v>176</v>
      </c>
      <c r="C4724" s="58">
        <v>4</v>
      </c>
      <c r="D4724" s="58">
        <v>107</v>
      </c>
      <c r="E4724" s="59">
        <v>9.25</v>
      </c>
    </row>
    <row r="4725" spans="1:5" ht="15" x14ac:dyDescent="0.35">
      <c r="A4725" s="58" t="s">
        <v>384</v>
      </c>
      <c r="B4725" s="58" t="s">
        <v>176</v>
      </c>
      <c r="C4725" s="58">
        <v>5</v>
      </c>
      <c r="D4725" s="58">
        <v>108</v>
      </c>
      <c r="E4725" s="59">
        <v>9.25</v>
      </c>
    </row>
    <row r="4726" spans="1:5" ht="15" x14ac:dyDescent="0.35">
      <c r="A4726" s="58" t="s">
        <v>384</v>
      </c>
      <c r="B4726" s="58" t="s">
        <v>176</v>
      </c>
      <c r="C4726" s="58">
        <v>6</v>
      </c>
      <c r="D4726" s="58">
        <v>109</v>
      </c>
      <c r="E4726" s="59">
        <v>9.25</v>
      </c>
    </row>
    <row r="4727" spans="1:5" ht="15" x14ac:dyDescent="0.35">
      <c r="A4727" s="58" t="s">
        <v>384</v>
      </c>
      <c r="B4727" s="58" t="s">
        <v>176</v>
      </c>
      <c r="C4727" s="58">
        <v>7</v>
      </c>
      <c r="D4727" s="58">
        <v>110</v>
      </c>
      <c r="E4727" s="59">
        <v>9.25</v>
      </c>
    </row>
    <row r="4728" spans="1:5" ht="15" x14ac:dyDescent="0.35">
      <c r="A4728" s="58" t="s">
        <v>384</v>
      </c>
      <c r="B4728" s="58" t="s">
        <v>176</v>
      </c>
      <c r="C4728" s="58">
        <v>8</v>
      </c>
      <c r="D4728" s="58">
        <v>111</v>
      </c>
      <c r="E4728" s="59">
        <v>9.25</v>
      </c>
    </row>
    <row r="4729" spans="1:5" ht="15" x14ac:dyDescent="0.35">
      <c r="A4729" s="58" t="s">
        <v>384</v>
      </c>
      <c r="B4729" s="58" t="s">
        <v>176</v>
      </c>
      <c r="C4729" s="58">
        <v>9</v>
      </c>
      <c r="D4729" s="58">
        <v>112</v>
      </c>
      <c r="E4729" s="59">
        <v>9.25</v>
      </c>
    </row>
    <row r="4730" spans="1:5" ht="15" x14ac:dyDescent="0.35">
      <c r="A4730" s="58" t="s">
        <v>384</v>
      </c>
      <c r="B4730" s="58" t="s">
        <v>176</v>
      </c>
      <c r="C4730" s="58">
        <v>10</v>
      </c>
      <c r="D4730" s="58">
        <v>113</v>
      </c>
      <c r="E4730" s="59">
        <v>9.25</v>
      </c>
    </row>
    <row r="4731" spans="1:5" ht="15" x14ac:dyDescent="0.35">
      <c r="A4731" s="58" t="s">
        <v>384</v>
      </c>
      <c r="B4731" s="58" t="s">
        <v>176</v>
      </c>
      <c r="C4731" s="58">
        <v>11</v>
      </c>
      <c r="D4731" s="58">
        <v>114</v>
      </c>
      <c r="E4731" s="59">
        <v>9.25</v>
      </c>
    </row>
    <row r="4732" spans="1:5" ht="15" x14ac:dyDescent="0.35">
      <c r="A4732" s="58" t="s">
        <v>384</v>
      </c>
      <c r="B4732" s="58" t="s">
        <v>176</v>
      </c>
      <c r="C4732" s="58">
        <v>12</v>
      </c>
      <c r="D4732" s="58">
        <v>115</v>
      </c>
      <c r="E4732" s="59">
        <v>9.25</v>
      </c>
    </row>
    <row r="4733" spans="1:5" ht="15" x14ac:dyDescent="0.35">
      <c r="A4733" s="58" t="s">
        <v>384</v>
      </c>
      <c r="B4733" s="58" t="s">
        <v>172</v>
      </c>
      <c r="C4733" s="58">
        <v>1</v>
      </c>
      <c r="D4733" s="58">
        <v>104</v>
      </c>
      <c r="E4733" s="59">
        <v>9</v>
      </c>
    </row>
    <row r="4734" spans="1:5" ht="15" x14ac:dyDescent="0.35">
      <c r="A4734" s="58" t="s">
        <v>384</v>
      </c>
      <c r="B4734" s="58" t="s">
        <v>172</v>
      </c>
      <c r="C4734" s="58">
        <v>2</v>
      </c>
      <c r="D4734" s="58">
        <v>105</v>
      </c>
      <c r="E4734" s="59">
        <v>9</v>
      </c>
    </row>
    <row r="4735" spans="1:5" ht="15" x14ac:dyDescent="0.35">
      <c r="A4735" s="58" t="s">
        <v>384</v>
      </c>
      <c r="B4735" s="58" t="s">
        <v>172</v>
      </c>
      <c r="C4735" s="58">
        <v>3</v>
      </c>
      <c r="D4735" s="58">
        <v>106</v>
      </c>
      <c r="E4735" s="59">
        <v>9</v>
      </c>
    </row>
    <row r="4736" spans="1:5" ht="15" x14ac:dyDescent="0.35">
      <c r="A4736" s="58" t="s">
        <v>384</v>
      </c>
      <c r="B4736" s="58" t="s">
        <v>172</v>
      </c>
      <c r="C4736" s="58">
        <v>4</v>
      </c>
      <c r="D4736" s="58">
        <v>107</v>
      </c>
      <c r="E4736" s="59">
        <v>9</v>
      </c>
    </row>
    <row r="4737" spans="1:5" ht="15" x14ac:dyDescent="0.35">
      <c r="A4737" s="58" t="s">
        <v>384</v>
      </c>
      <c r="B4737" s="58" t="s">
        <v>172</v>
      </c>
      <c r="C4737" s="58">
        <v>5</v>
      </c>
      <c r="D4737" s="58">
        <v>108</v>
      </c>
      <c r="E4737" s="59">
        <v>9</v>
      </c>
    </row>
    <row r="4738" spans="1:5" ht="15" x14ac:dyDescent="0.35">
      <c r="A4738" s="58" t="s">
        <v>384</v>
      </c>
      <c r="B4738" s="58" t="s">
        <v>172</v>
      </c>
      <c r="C4738" s="58">
        <v>6</v>
      </c>
      <c r="D4738" s="58">
        <v>109</v>
      </c>
      <c r="E4738" s="59">
        <v>9</v>
      </c>
    </row>
    <row r="4739" spans="1:5" ht="15" x14ac:dyDescent="0.35">
      <c r="A4739" s="58" t="s">
        <v>384</v>
      </c>
      <c r="B4739" s="58" t="s">
        <v>172</v>
      </c>
      <c r="C4739" s="58">
        <v>7</v>
      </c>
      <c r="D4739" s="58">
        <v>110</v>
      </c>
      <c r="E4739" s="59">
        <v>9</v>
      </c>
    </row>
    <row r="4740" spans="1:5" ht="15" x14ac:dyDescent="0.35">
      <c r="A4740" s="58" t="s">
        <v>384</v>
      </c>
      <c r="B4740" s="58" t="s">
        <v>172</v>
      </c>
      <c r="C4740" s="58">
        <v>8</v>
      </c>
      <c r="D4740" s="58">
        <v>111</v>
      </c>
      <c r="E4740" s="59">
        <v>9</v>
      </c>
    </row>
    <row r="4741" spans="1:5" ht="15" x14ac:dyDescent="0.35">
      <c r="A4741" s="58" t="s">
        <v>384</v>
      </c>
      <c r="B4741" s="58" t="s">
        <v>172</v>
      </c>
      <c r="C4741" s="58">
        <v>9</v>
      </c>
      <c r="D4741" s="58">
        <v>112</v>
      </c>
      <c r="E4741" s="59">
        <v>9</v>
      </c>
    </row>
    <row r="4742" spans="1:5" ht="15" x14ac:dyDescent="0.35">
      <c r="A4742" s="58" t="s">
        <v>384</v>
      </c>
      <c r="B4742" s="58" t="s">
        <v>172</v>
      </c>
      <c r="C4742" s="58">
        <v>10</v>
      </c>
      <c r="D4742" s="58">
        <v>113</v>
      </c>
      <c r="E4742" s="59">
        <v>9</v>
      </c>
    </row>
    <row r="4743" spans="1:5" ht="15" x14ac:dyDescent="0.35">
      <c r="A4743" s="58" t="s">
        <v>384</v>
      </c>
      <c r="B4743" s="58" t="s">
        <v>172</v>
      </c>
      <c r="C4743" s="58">
        <v>11</v>
      </c>
      <c r="D4743" s="58">
        <v>114</v>
      </c>
      <c r="E4743" s="59">
        <v>9</v>
      </c>
    </row>
    <row r="4744" spans="1:5" ht="15" x14ac:dyDescent="0.35">
      <c r="A4744" s="58" t="s">
        <v>384</v>
      </c>
      <c r="B4744" s="58" t="s">
        <v>172</v>
      </c>
      <c r="C4744" s="58">
        <v>12</v>
      </c>
      <c r="D4744" s="58">
        <v>115</v>
      </c>
      <c r="E4744" s="59">
        <v>9</v>
      </c>
    </row>
    <row r="4745" spans="1:5" ht="15" x14ac:dyDescent="0.35">
      <c r="A4745" s="58" t="s">
        <v>384</v>
      </c>
      <c r="B4745" s="58" t="s">
        <v>180</v>
      </c>
      <c r="C4745" s="58">
        <v>1</v>
      </c>
      <c r="D4745" s="58">
        <v>104</v>
      </c>
      <c r="E4745" s="59">
        <v>9.5764999999999993</v>
      </c>
    </row>
    <row r="4746" spans="1:5" ht="15" x14ac:dyDescent="0.35">
      <c r="A4746" s="58" t="s">
        <v>384</v>
      </c>
      <c r="B4746" s="58" t="s">
        <v>180</v>
      </c>
      <c r="C4746" s="58">
        <v>2</v>
      </c>
      <c r="D4746" s="58">
        <v>105</v>
      </c>
      <c r="E4746" s="59">
        <v>9.5764999999999993</v>
      </c>
    </row>
    <row r="4747" spans="1:5" ht="15" x14ac:dyDescent="0.35">
      <c r="A4747" s="58" t="s">
        <v>384</v>
      </c>
      <c r="B4747" s="58" t="s">
        <v>180</v>
      </c>
      <c r="C4747" s="58">
        <v>3</v>
      </c>
      <c r="D4747" s="58">
        <v>106</v>
      </c>
      <c r="E4747" s="59">
        <v>9.5764999999999993</v>
      </c>
    </row>
    <row r="4748" spans="1:5" ht="15" x14ac:dyDescent="0.35">
      <c r="A4748" s="58" t="s">
        <v>384</v>
      </c>
      <c r="B4748" s="58" t="s">
        <v>180</v>
      </c>
      <c r="C4748" s="58">
        <v>4</v>
      </c>
      <c r="D4748" s="58">
        <v>107</v>
      </c>
      <c r="E4748" s="59">
        <v>9.5764999999999993</v>
      </c>
    </row>
    <row r="4749" spans="1:5" ht="15" x14ac:dyDescent="0.35">
      <c r="A4749" s="58" t="s">
        <v>384</v>
      </c>
      <c r="B4749" s="58" t="s">
        <v>180</v>
      </c>
      <c r="C4749" s="58">
        <v>5</v>
      </c>
      <c r="D4749" s="58">
        <v>108</v>
      </c>
      <c r="E4749" s="59">
        <v>9.5764999999999993</v>
      </c>
    </row>
    <row r="4750" spans="1:5" ht="15" x14ac:dyDescent="0.35">
      <c r="A4750" s="58" t="s">
        <v>384</v>
      </c>
      <c r="B4750" s="58" t="s">
        <v>180</v>
      </c>
      <c r="C4750" s="58">
        <v>6</v>
      </c>
      <c r="D4750" s="58">
        <v>109</v>
      </c>
      <c r="E4750" s="59">
        <v>9.5764999999999993</v>
      </c>
    </row>
    <row r="4751" spans="1:5" ht="15" x14ac:dyDescent="0.35">
      <c r="A4751" s="58" t="s">
        <v>384</v>
      </c>
      <c r="B4751" s="58" t="s">
        <v>180</v>
      </c>
      <c r="C4751" s="58">
        <v>7</v>
      </c>
      <c r="D4751" s="58">
        <v>110</v>
      </c>
      <c r="E4751" s="59">
        <v>9.5764999999999993</v>
      </c>
    </row>
    <row r="4752" spans="1:5" ht="15" x14ac:dyDescent="0.35">
      <c r="A4752" s="58" t="s">
        <v>384</v>
      </c>
      <c r="B4752" s="58" t="s">
        <v>180</v>
      </c>
      <c r="C4752" s="58">
        <v>8</v>
      </c>
      <c r="D4752" s="58">
        <v>111</v>
      </c>
      <c r="E4752" s="59">
        <v>9.5764999999999993</v>
      </c>
    </row>
    <row r="4753" spans="1:5" ht="15" x14ac:dyDescent="0.35">
      <c r="A4753" s="58" t="s">
        <v>384</v>
      </c>
      <c r="B4753" s="58" t="s">
        <v>180</v>
      </c>
      <c r="C4753" s="58">
        <v>9</v>
      </c>
      <c r="D4753" s="58">
        <v>112</v>
      </c>
      <c r="E4753" s="59">
        <v>9.5764999999999993</v>
      </c>
    </row>
    <row r="4754" spans="1:5" ht="15" x14ac:dyDescent="0.35">
      <c r="A4754" s="58" t="s">
        <v>384</v>
      </c>
      <c r="B4754" s="58" t="s">
        <v>180</v>
      </c>
      <c r="C4754" s="58">
        <v>10</v>
      </c>
      <c r="D4754" s="58">
        <v>113</v>
      </c>
      <c r="E4754" s="59">
        <v>9.5764999999999993</v>
      </c>
    </row>
    <row r="4755" spans="1:5" ht="15" x14ac:dyDescent="0.35">
      <c r="A4755" s="58" t="s">
        <v>384</v>
      </c>
      <c r="B4755" s="58" t="s">
        <v>180</v>
      </c>
      <c r="C4755" s="58">
        <v>11</v>
      </c>
      <c r="D4755" s="58">
        <v>114</v>
      </c>
      <c r="E4755" s="59">
        <v>9.5764999999999993</v>
      </c>
    </row>
    <row r="4756" spans="1:5" ht="15" x14ac:dyDescent="0.35">
      <c r="A4756" s="58" t="s">
        <v>384</v>
      </c>
      <c r="B4756" s="58" t="s">
        <v>180</v>
      </c>
      <c r="C4756" s="58">
        <v>12</v>
      </c>
      <c r="D4756" s="58">
        <v>115</v>
      </c>
      <c r="E4756" s="59">
        <v>9.5764999999999993</v>
      </c>
    </row>
    <row r="4757" spans="1:5" ht="15" x14ac:dyDescent="0.35">
      <c r="A4757" s="58" t="s">
        <v>359</v>
      </c>
      <c r="B4757" s="58" t="s">
        <v>182</v>
      </c>
      <c r="C4757" s="58">
        <v>1</v>
      </c>
      <c r="D4757" s="58">
        <v>104</v>
      </c>
      <c r="E4757" s="59">
        <v>11.724399999999999</v>
      </c>
    </row>
    <row r="4758" spans="1:5" ht="15" x14ac:dyDescent="0.35">
      <c r="A4758" s="58" t="s">
        <v>359</v>
      </c>
      <c r="B4758" s="58" t="s">
        <v>182</v>
      </c>
      <c r="C4758" s="58">
        <v>2</v>
      </c>
      <c r="D4758" s="58">
        <v>105</v>
      </c>
      <c r="E4758" s="59">
        <v>1.28</v>
      </c>
    </row>
    <row r="4759" spans="1:5" ht="15" x14ac:dyDescent="0.35">
      <c r="A4759" s="58" t="s">
        <v>359</v>
      </c>
      <c r="B4759" s="58" t="s">
        <v>182</v>
      </c>
      <c r="C4759" s="58">
        <v>3</v>
      </c>
      <c r="D4759" s="58">
        <v>106</v>
      </c>
      <c r="E4759" s="59">
        <v>1.28</v>
      </c>
    </row>
    <row r="4760" spans="1:5" ht="15" x14ac:dyDescent="0.35">
      <c r="A4760" s="58" t="s">
        <v>359</v>
      </c>
      <c r="B4760" s="58" t="s">
        <v>182</v>
      </c>
      <c r="C4760" s="58">
        <v>4</v>
      </c>
      <c r="D4760" s="58">
        <v>107</v>
      </c>
      <c r="E4760" s="59">
        <v>1.28</v>
      </c>
    </row>
    <row r="4761" spans="1:5" ht="15" x14ac:dyDescent="0.35">
      <c r="A4761" s="58" t="s">
        <v>359</v>
      </c>
      <c r="B4761" s="58" t="s">
        <v>182</v>
      </c>
      <c r="C4761" s="58">
        <v>5</v>
      </c>
      <c r="D4761" s="58">
        <v>108</v>
      </c>
      <c r="E4761" s="59">
        <v>1.28</v>
      </c>
    </row>
    <row r="4762" spans="1:5" ht="15" x14ac:dyDescent="0.35">
      <c r="A4762" s="58" t="s">
        <v>359</v>
      </c>
      <c r="B4762" s="58" t="s">
        <v>182</v>
      </c>
      <c r="C4762" s="58">
        <v>6</v>
      </c>
      <c r="D4762" s="58">
        <v>109</v>
      </c>
      <c r="E4762" s="59">
        <v>1.28</v>
      </c>
    </row>
    <row r="4763" spans="1:5" ht="15" x14ac:dyDescent="0.35">
      <c r="A4763" s="58" t="s">
        <v>359</v>
      </c>
      <c r="B4763" s="58" t="s">
        <v>182</v>
      </c>
      <c r="C4763" s="58">
        <v>7</v>
      </c>
      <c r="D4763" s="58">
        <v>110</v>
      </c>
      <c r="E4763" s="59">
        <v>1.28</v>
      </c>
    </row>
    <row r="4764" spans="1:5" ht="15" x14ac:dyDescent="0.35">
      <c r="A4764" s="58" t="s">
        <v>359</v>
      </c>
      <c r="B4764" s="58" t="s">
        <v>182</v>
      </c>
      <c r="C4764" s="58">
        <v>8</v>
      </c>
      <c r="D4764" s="58">
        <v>111</v>
      </c>
      <c r="E4764" s="59">
        <v>1.28</v>
      </c>
    </row>
    <row r="4765" spans="1:5" ht="15" x14ac:dyDescent="0.35">
      <c r="A4765" s="58" t="s">
        <v>359</v>
      </c>
      <c r="B4765" s="58" t="s">
        <v>182</v>
      </c>
      <c r="C4765" s="58">
        <v>9</v>
      </c>
      <c r="D4765" s="58">
        <v>112</v>
      </c>
      <c r="E4765" s="59">
        <v>1.28</v>
      </c>
    </row>
    <row r="4766" spans="1:5" ht="15" x14ac:dyDescent="0.35">
      <c r="A4766" s="58" t="s">
        <v>359</v>
      </c>
      <c r="B4766" s="58" t="s">
        <v>182</v>
      </c>
      <c r="C4766" s="58">
        <v>10</v>
      </c>
      <c r="D4766" s="58">
        <v>113</v>
      </c>
      <c r="E4766" s="59">
        <v>1.28</v>
      </c>
    </row>
    <row r="4767" spans="1:5" ht="15" x14ac:dyDescent="0.35">
      <c r="A4767" s="58" t="s">
        <v>359</v>
      </c>
      <c r="B4767" s="58" t="s">
        <v>182</v>
      </c>
      <c r="C4767" s="58">
        <v>11</v>
      </c>
      <c r="D4767" s="58">
        <v>114</v>
      </c>
      <c r="E4767" s="59">
        <v>1.28</v>
      </c>
    </row>
    <row r="4768" spans="1:5" ht="15" x14ac:dyDescent="0.35">
      <c r="A4768" s="58" t="s">
        <v>359</v>
      </c>
      <c r="B4768" s="58" t="s">
        <v>182</v>
      </c>
      <c r="C4768" s="58">
        <v>12</v>
      </c>
      <c r="D4768" s="58">
        <v>115</v>
      </c>
      <c r="E4768" s="59">
        <v>1.28</v>
      </c>
    </row>
    <row r="4769" spans="1:5" ht="15" x14ac:dyDescent="0.35">
      <c r="A4769" s="58" t="s">
        <v>359</v>
      </c>
      <c r="B4769" s="58" t="s">
        <v>176</v>
      </c>
      <c r="C4769" s="58">
        <v>1</v>
      </c>
      <c r="D4769" s="58">
        <v>104</v>
      </c>
      <c r="E4769" s="59">
        <v>7.875</v>
      </c>
    </row>
    <row r="4770" spans="1:5" ht="15" x14ac:dyDescent="0.35">
      <c r="A4770" s="58" t="s">
        <v>359</v>
      </c>
      <c r="B4770" s="58" t="s">
        <v>176</v>
      </c>
      <c r="C4770" s="58">
        <v>2</v>
      </c>
      <c r="D4770" s="58">
        <v>105</v>
      </c>
      <c r="E4770" s="59">
        <v>7.875</v>
      </c>
    </row>
    <row r="4771" spans="1:5" ht="15" x14ac:dyDescent="0.35">
      <c r="A4771" s="58" t="s">
        <v>359</v>
      </c>
      <c r="B4771" s="58" t="s">
        <v>176</v>
      </c>
      <c r="C4771" s="58">
        <v>3</v>
      </c>
      <c r="D4771" s="58">
        <v>106</v>
      </c>
      <c r="E4771" s="59">
        <v>7.875</v>
      </c>
    </row>
    <row r="4772" spans="1:5" ht="15" x14ac:dyDescent="0.35">
      <c r="A4772" s="58" t="s">
        <v>359</v>
      </c>
      <c r="B4772" s="58" t="s">
        <v>176</v>
      </c>
      <c r="C4772" s="58">
        <v>4</v>
      </c>
      <c r="D4772" s="58">
        <v>107</v>
      </c>
      <c r="E4772" s="59">
        <v>7.875</v>
      </c>
    </row>
    <row r="4773" spans="1:5" ht="15" x14ac:dyDescent="0.35">
      <c r="A4773" s="58" t="s">
        <v>359</v>
      </c>
      <c r="B4773" s="58" t="s">
        <v>176</v>
      </c>
      <c r="C4773" s="58">
        <v>5</v>
      </c>
      <c r="D4773" s="58">
        <v>108</v>
      </c>
      <c r="E4773" s="59">
        <v>7.875</v>
      </c>
    </row>
    <row r="4774" spans="1:5" ht="15" x14ac:dyDescent="0.35">
      <c r="A4774" s="58" t="s">
        <v>359</v>
      </c>
      <c r="B4774" s="58" t="s">
        <v>176</v>
      </c>
      <c r="C4774" s="58">
        <v>6</v>
      </c>
      <c r="D4774" s="58">
        <v>109</v>
      </c>
      <c r="E4774" s="59">
        <v>7.875</v>
      </c>
    </row>
    <row r="4775" spans="1:5" ht="15" x14ac:dyDescent="0.35">
      <c r="A4775" s="58" t="s">
        <v>359</v>
      </c>
      <c r="B4775" s="58" t="s">
        <v>176</v>
      </c>
      <c r="C4775" s="58">
        <v>7</v>
      </c>
      <c r="D4775" s="58">
        <v>110</v>
      </c>
      <c r="E4775" s="59">
        <v>7.875</v>
      </c>
    </row>
    <row r="4776" spans="1:5" ht="15" x14ac:dyDescent="0.35">
      <c r="A4776" s="58" t="s">
        <v>359</v>
      </c>
      <c r="B4776" s="58" t="s">
        <v>176</v>
      </c>
      <c r="C4776" s="58">
        <v>8</v>
      </c>
      <c r="D4776" s="58">
        <v>111</v>
      </c>
      <c r="E4776" s="59">
        <v>7.875</v>
      </c>
    </row>
    <row r="4777" spans="1:5" ht="15" x14ac:dyDescent="0.35">
      <c r="A4777" s="58" t="s">
        <v>359</v>
      </c>
      <c r="B4777" s="58" t="s">
        <v>176</v>
      </c>
      <c r="C4777" s="58">
        <v>9</v>
      </c>
      <c r="D4777" s="58">
        <v>112</v>
      </c>
      <c r="E4777" s="59">
        <v>7.875</v>
      </c>
    </row>
    <row r="4778" spans="1:5" ht="15" x14ac:dyDescent="0.35">
      <c r="A4778" s="58" t="s">
        <v>359</v>
      </c>
      <c r="B4778" s="58" t="s">
        <v>176</v>
      </c>
      <c r="C4778" s="58">
        <v>10</v>
      </c>
      <c r="D4778" s="58">
        <v>113</v>
      </c>
      <c r="E4778" s="59">
        <v>7.875</v>
      </c>
    </row>
    <row r="4779" spans="1:5" ht="15" x14ac:dyDescent="0.35">
      <c r="A4779" s="58" t="s">
        <v>359</v>
      </c>
      <c r="B4779" s="58" t="s">
        <v>176</v>
      </c>
      <c r="C4779" s="58">
        <v>11</v>
      </c>
      <c r="D4779" s="58">
        <v>114</v>
      </c>
      <c r="E4779" s="59">
        <v>7.875</v>
      </c>
    </row>
    <row r="4780" spans="1:5" ht="15" x14ac:dyDescent="0.35">
      <c r="A4780" s="58" t="s">
        <v>359</v>
      </c>
      <c r="B4780" s="58" t="s">
        <v>176</v>
      </c>
      <c r="C4780" s="58">
        <v>12</v>
      </c>
      <c r="D4780" s="58">
        <v>115</v>
      </c>
      <c r="E4780" s="59">
        <v>7.875</v>
      </c>
    </row>
    <row r="4781" spans="1:5" ht="15" x14ac:dyDescent="0.35">
      <c r="A4781" s="58" t="s">
        <v>359</v>
      </c>
      <c r="B4781" s="58" t="s">
        <v>172</v>
      </c>
      <c r="C4781" s="58">
        <v>1</v>
      </c>
      <c r="D4781" s="58">
        <v>104</v>
      </c>
      <c r="E4781" s="59">
        <v>13</v>
      </c>
    </row>
    <row r="4782" spans="1:5" ht="15" x14ac:dyDescent="0.35">
      <c r="A4782" s="58" t="s">
        <v>359</v>
      </c>
      <c r="B4782" s="58" t="s">
        <v>172</v>
      </c>
      <c r="C4782" s="58">
        <v>2</v>
      </c>
      <c r="D4782" s="58">
        <v>105</v>
      </c>
      <c r="E4782" s="59">
        <v>13</v>
      </c>
    </row>
    <row r="4783" spans="1:5" ht="15" x14ac:dyDescent="0.35">
      <c r="A4783" s="58" t="s">
        <v>359</v>
      </c>
      <c r="B4783" s="58" t="s">
        <v>172</v>
      </c>
      <c r="C4783" s="58">
        <v>3</v>
      </c>
      <c r="D4783" s="58">
        <v>106</v>
      </c>
      <c r="E4783" s="59">
        <v>13</v>
      </c>
    </row>
    <row r="4784" spans="1:5" ht="15" x14ac:dyDescent="0.35">
      <c r="A4784" s="58" t="s">
        <v>359</v>
      </c>
      <c r="B4784" s="58" t="s">
        <v>172</v>
      </c>
      <c r="C4784" s="58">
        <v>4</v>
      </c>
      <c r="D4784" s="58">
        <v>107</v>
      </c>
      <c r="E4784" s="59">
        <v>13</v>
      </c>
    </row>
    <row r="4785" spans="1:5" ht="15" x14ac:dyDescent="0.35">
      <c r="A4785" s="58" t="s">
        <v>359</v>
      </c>
      <c r="B4785" s="58" t="s">
        <v>172</v>
      </c>
      <c r="C4785" s="58">
        <v>5</v>
      </c>
      <c r="D4785" s="58">
        <v>108</v>
      </c>
      <c r="E4785" s="59">
        <v>13</v>
      </c>
    </row>
    <row r="4786" spans="1:5" ht="15" x14ac:dyDescent="0.35">
      <c r="A4786" s="58" t="s">
        <v>359</v>
      </c>
      <c r="B4786" s="58" t="s">
        <v>172</v>
      </c>
      <c r="C4786" s="58">
        <v>6</v>
      </c>
      <c r="D4786" s="58">
        <v>109</v>
      </c>
      <c r="E4786" s="59">
        <v>13</v>
      </c>
    </row>
    <row r="4787" spans="1:5" ht="15" x14ac:dyDescent="0.35">
      <c r="A4787" s="58" t="s">
        <v>359</v>
      </c>
      <c r="B4787" s="58" t="s">
        <v>172</v>
      </c>
      <c r="C4787" s="58">
        <v>7</v>
      </c>
      <c r="D4787" s="58">
        <v>110</v>
      </c>
      <c r="E4787" s="59">
        <v>13</v>
      </c>
    </row>
    <row r="4788" spans="1:5" ht="15" x14ac:dyDescent="0.35">
      <c r="A4788" s="58" t="s">
        <v>359</v>
      </c>
      <c r="B4788" s="58" t="s">
        <v>172</v>
      </c>
      <c r="C4788" s="58">
        <v>8</v>
      </c>
      <c r="D4788" s="58">
        <v>111</v>
      </c>
      <c r="E4788" s="59">
        <v>13</v>
      </c>
    </row>
    <row r="4789" spans="1:5" ht="15" x14ac:dyDescent="0.35">
      <c r="A4789" s="58" t="s">
        <v>359</v>
      </c>
      <c r="B4789" s="58" t="s">
        <v>172</v>
      </c>
      <c r="C4789" s="58">
        <v>9</v>
      </c>
      <c r="D4789" s="58">
        <v>112</v>
      </c>
      <c r="E4789" s="59">
        <v>13</v>
      </c>
    </row>
    <row r="4790" spans="1:5" ht="15" x14ac:dyDescent="0.35">
      <c r="A4790" s="58" t="s">
        <v>359</v>
      </c>
      <c r="B4790" s="58" t="s">
        <v>172</v>
      </c>
      <c r="C4790" s="58">
        <v>10</v>
      </c>
      <c r="D4790" s="58">
        <v>113</v>
      </c>
      <c r="E4790" s="59">
        <v>13</v>
      </c>
    </row>
    <row r="4791" spans="1:5" ht="15" x14ac:dyDescent="0.35">
      <c r="A4791" s="58" t="s">
        <v>359</v>
      </c>
      <c r="B4791" s="58" t="s">
        <v>172</v>
      </c>
      <c r="C4791" s="58">
        <v>11</v>
      </c>
      <c r="D4791" s="58">
        <v>114</v>
      </c>
      <c r="E4791" s="59">
        <v>13</v>
      </c>
    </row>
    <row r="4792" spans="1:5" ht="15" x14ac:dyDescent="0.35">
      <c r="A4792" s="58" t="s">
        <v>359</v>
      </c>
      <c r="B4792" s="58" t="s">
        <v>172</v>
      </c>
      <c r="C4792" s="58">
        <v>12</v>
      </c>
      <c r="D4792" s="58">
        <v>115</v>
      </c>
      <c r="E4792" s="59">
        <v>13</v>
      </c>
    </row>
    <row r="4793" spans="1:5" ht="15" x14ac:dyDescent="0.35">
      <c r="A4793" s="58" t="s">
        <v>359</v>
      </c>
      <c r="B4793" s="58" t="s">
        <v>180</v>
      </c>
      <c r="C4793" s="58">
        <v>1</v>
      </c>
      <c r="D4793" s="58">
        <v>104</v>
      </c>
      <c r="E4793" s="59">
        <v>11.9284</v>
      </c>
    </row>
    <row r="4794" spans="1:5" ht="15" x14ac:dyDescent="0.35">
      <c r="A4794" s="58" t="s">
        <v>359</v>
      </c>
      <c r="B4794" s="58" t="s">
        <v>180</v>
      </c>
      <c r="C4794" s="58">
        <v>2</v>
      </c>
      <c r="D4794" s="58">
        <v>105</v>
      </c>
      <c r="E4794" s="59">
        <v>11.9284</v>
      </c>
    </row>
    <row r="4795" spans="1:5" ht="15" x14ac:dyDescent="0.35">
      <c r="A4795" s="58" t="s">
        <v>359</v>
      </c>
      <c r="B4795" s="58" t="s">
        <v>180</v>
      </c>
      <c r="C4795" s="58">
        <v>3</v>
      </c>
      <c r="D4795" s="58">
        <v>106</v>
      </c>
      <c r="E4795" s="59">
        <v>11.9284</v>
      </c>
    </row>
    <row r="4796" spans="1:5" ht="15" x14ac:dyDescent="0.35">
      <c r="A4796" s="58" t="s">
        <v>359</v>
      </c>
      <c r="B4796" s="58" t="s">
        <v>180</v>
      </c>
      <c r="C4796" s="58">
        <v>4</v>
      </c>
      <c r="D4796" s="58">
        <v>107</v>
      </c>
      <c r="E4796" s="59">
        <v>11.9284</v>
      </c>
    </row>
    <row r="4797" spans="1:5" ht="15" x14ac:dyDescent="0.35">
      <c r="A4797" s="58" t="s">
        <v>359</v>
      </c>
      <c r="B4797" s="58" t="s">
        <v>180</v>
      </c>
      <c r="C4797" s="58">
        <v>5</v>
      </c>
      <c r="D4797" s="58">
        <v>108</v>
      </c>
      <c r="E4797" s="59">
        <v>11.9284</v>
      </c>
    </row>
    <row r="4798" spans="1:5" ht="15" x14ac:dyDescent="0.35">
      <c r="A4798" s="58" t="s">
        <v>359</v>
      </c>
      <c r="B4798" s="58" t="s">
        <v>180</v>
      </c>
      <c r="C4798" s="58">
        <v>6</v>
      </c>
      <c r="D4798" s="58">
        <v>109</v>
      </c>
      <c r="E4798" s="59">
        <v>11.9284</v>
      </c>
    </row>
    <row r="4799" spans="1:5" ht="15" x14ac:dyDescent="0.35">
      <c r="A4799" s="58" t="s">
        <v>359</v>
      </c>
      <c r="B4799" s="58" t="s">
        <v>180</v>
      </c>
      <c r="C4799" s="58">
        <v>7</v>
      </c>
      <c r="D4799" s="58">
        <v>110</v>
      </c>
      <c r="E4799" s="59">
        <v>11.9284</v>
      </c>
    </row>
    <row r="4800" spans="1:5" ht="15" x14ac:dyDescent="0.35">
      <c r="A4800" s="58" t="s">
        <v>359</v>
      </c>
      <c r="B4800" s="58" t="s">
        <v>180</v>
      </c>
      <c r="C4800" s="58">
        <v>8</v>
      </c>
      <c r="D4800" s="58">
        <v>111</v>
      </c>
      <c r="E4800" s="59">
        <v>11.9284</v>
      </c>
    </row>
    <row r="4801" spans="1:5" ht="15" x14ac:dyDescent="0.35">
      <c r="A4801" s="58" t="s">
        <v>359</v>
      </c>
      <c r="B4801" s="58" t="s">
        <v>180</v>
      </c>
      <c r="C4801" s="58">
        <v>9</v>
      </c>
      <c r="D4801" s="58">
        <v>112</v>
      </c>
      <c r="E4801" s="59">
        <v>11.9284</v>
      </c>
    </row>
    <row r="4802" spans="1:5" ht="15" x14ac:dyDescent="0.35">
      <c r="A4802" s="58" t="s">
        <v>359</v>
      </c>
      <c r="B4802" s="58" t="s">
        <v>180</v>
      </c>
      <c r="C4802" s="58">
        <v>10</v>
      </c>
      <c r="D4802" s="58">
        <v>113</v>
      </c>
      <c r="E4802" s="59">
        <v>11.9284</v>
      </c>
    </row>
    <row r="4803" spans="1:5" ht="15" x14ac:dyDescent="0.35">
      <c r="A4803" s="58" t="s">
        <v>359</v>
      </c>
      <c r="B4803" s="58" t="s">
        <v>180</v>
      </c>
      <c r="C4803" s="58">
        <v>11</v>
      </c>
      <c r="D4803" s="58">
        <v>114</v>
      </c>
      <c r="E4803" s="59">
        <v>11.9284</v>
      </c>
    </row>
    <row r="4804" spans="1:5" ht="15" x14ac:dyDescent="0.35">
      <c r="A4804" s="58" t="s">
        <v>359</v>
      </c>
      <c r="B4804" s="58" t="s">
        <v>180</v>
      </c>
      <c r="C4804" s="58">
        <v>12</v>
      </c>
      <c r="D4804" s="58">
        <v>115</v>
      </c>
      <c r="E4804" s="59">
        <v>11.9284</v>
      </c>
    </row>
    <row r="4805" spans="1:5" ht="15" x14ac:dyDescent="0.35">
      <c r="A4805" s="58" t="s">
        <v>394</v>
      </c>
      <c r="B4805" s="58" t="s">
        <v>182</v>
      </c>
      <c r="C4805" s="58">
        <v>1</v>
      </c>
      <c r="D4805" s="58">
        <v>104</v>
      </c>
      <c r="E4805" s="59">
        <v>116.3389</v>
      </c>
    </row>
    <row r="4806" spans="1:5" ht="15" x14ac:dyDescent="0.35">
      <c r="A4806" s="58" t="s">
        <v>394</v>
      </c>
      <c r="B4806" s="58" t="s">
        <v>182</v>
      </c>
      <c r="C4806" s="58">
        <v>2</v>
      </c>
      <c r="D4806" s="58">
        <v>105</v>
      </c>
      <c r="E4806" s="59">
        <v>71.005600000000001</v>
      </c>
    </row>
    <row r="4807" spans="1:5" ht="15" x14ac:dyDescent="0.35">
      <c r="A4807" s="58" t="s">
        <v>394</v>
      </c>
      <c r="B4807" s="58" t="s">
        <v>182</v>
      </c>
      <c r="C4807" s="58">
        <v>3</v>
      </c>
      <c r="D4807" s="58">
        <v>106</v>
      </c>
      <c r="E4807" s="59">
        <v>71.005600000000001</v>
      </c>
    </row>
    <row r="4808" spans="1:5" ht="15" x14ac:dyDescent="0.35">
      <c r="A4808" s="58" t="s">
        <v>394</v>
      </c>
      <c r="B4808" s="58" t="s">
        <v>182</v>
      </c>
      <c r="C4808" s="58">
        <v>4</v>
      </c>
      <c r="D4808" s="58">
        <v>107</v>
      </c>
      <c r="E4808" s="59">
        <v>71.005600000000001</v>
      </c>
    </row>
    <row r="4809" spans="1:5" ht="15" x14ac:dyDescent="0.35">
      <c r="A4809" s="58" t="s">
        <v>394</v>
      </c>
      <c r="B4809" s="58" t="s">
        <v>182</v>
      </c>
      <c r="C4809" s="58">
        <v>5</v>
      </c>
      <c r="D4809" s="58">
        <v>108</v>
      </c>
      <c r="E4809" s="59">
        <v>71.005600000000001</v>
      </c>
    </row>
    <row r="4810" spans="1:5" ht="15" x14ac:dyDescent="0.35">
      <c r="A4810" s="58" t="s">
        <v>394</v>
      </c>
      <c r="B4810" s="58" t="s">
        <v>182</v>
      </c>
      <c r="C4810" s="58">
        <v>6</v>
      </c>
      <c r="D4810" s="58">
        <v>109</v>
      </c>
      <c r="E4810" s="59">
        <v>71.005600000000001</v>
      </c>
    </row>
    <row r="4811" spans="1:5" ht="15" x14ac:dyDescent="0.35">
      <c r="A4811" s="58" t="s">
        <v>394</v>
      </c>
      <c r="B4811" s="58" t="s">
        <v>182</v>
      </c>
      <c r="C4811" s="58">
        <v>7</v>
      </c>
      <c r="D4811" s="58">
        <v>110</v>
      </c>
      <c r="E4811" s="59">
        <v>71.005600000000001</v>
      </c>
    </row>
    <row r="4812" spans="1:5" ht="15" x14ac:dyDescent="0.35">
      <c r="A4812" s="58" t="s">
        <v>394</v>
      </c>
      <c r="B4812" s="58" t="s">
        <v>182</v>
      </c>
      <c r="C4812" s="58">
        <v>8</v>
      </c>
      <c r="D4812" s="58">
        <v>111</v>
      </c>
      <c r="E4812" s="59">
        <v>71.005600000000001</v>
      </c>
    </row>
    <row r="4813" spans="1:5" ht="15" x14ac:dyDescent="0.35">
      <c r="A4813" s="58" t="s">
        <v>394</v>
      </c>
      <c r="B4813" s="58" t="s">
        <v>182</v>
      </c>
      <c r="C4813" s="58">
        <v>9</v>
      </c>
      <c r="D4813" s="58">
        <v>112</v>
      </c>
      <c r="E4813" s="59">
        <v>71.005600000000001</v>
      </c>
    </row>
    <row r="4814" spans="1:5" ht="15" x14ac:dyDescent="0.35">
      <c r="A4814" s="58" t="s">
        <v>394</v>
      </c>
      <c r="B4814" s="58" t="s">
        <v>182</v>
      </c>
      <c r="C4814" s="58">
        <v>10</v>
      </c>
      <c r="D4814" s="58">
        <v>113</v>
      </c>
      <c r="E4814" s="59">
        <v>71.005600000000001</v>
      </c>
    </row>
    <row r="4815" spans="1:5" ht="15" x14ac:dyDescent="0.35">
      <c r="A4815" s="58" t="s">
        <v>394</v>
      </c>
      <c r="B4815" s="58" t="s">
        <v>182</v>
      </c>
      <c r="C4815" s="58">
        <v>11</v>
      </c>
      <c r="D4815" s="58">
        <v>114</v>
      </c>
      <c r="E4815" s="59">
        <v>71.338899999999995</v>
      </c>
    </row>
    <row r="4816" spans="1:5" ht="15" x14ac:dyDescent="0.35">
      <c r="A4816" s="58" t="s">
        <v>394</v>
      </c>
      <c r="B4816" s="58" t="s">
        <v>182</v>
      </c>
      <c r="C4816" s="58">
        <v>12</v>
      </c>
      <c r="D4816" s="58">
        <v>115</v>
      </c>
      <c r="E4816" s="59">
        <v>81.7834</v>
      </c>
    </row>
    <row r="4817" spans="1:5" ht="15" x14ac:dyDescent="0.35">
      <c r="A4817" s="58" t="s">
        <v>394</v>
      </c>
      <c r="B4817" s="58" t="s">
        <v>176</v>
      </c>
      <c r="C4817" s="58">
        <v>1</v>
      </c>
      <c r="D4817" s="58">
        <v>104</v>
      </c>
      <c r="E4817" s="59">
        <v>105.875</v>
      </c>
    </row>
    <row r="4818" spans="1:5" ht="15" x14ac:dyDescent="0.35">
      <c r="A4818" s="58" t="s">
        <v>394</v>
      </c>
      <c r="B4818" s="58" t="s">
        <v>176</v>
      </c>
      <c r="C4818" s="58">
        <v>2</v>
      </c>
      <c r="D4818" s="58">
        <v>105</v>
      </c>
      <c r="E4818" s="59">
        <v>105.875</v>
      </c>
    </row>
    <row r="4819" spans="1:5" ht="15" x14ac:dyDescent="0.35">
      <c r="A4819" s="58" t="s">
        <v>394</v>
      </c>
      <c r="B4819" s="58" t="s">
        <v>176</v>
      </c>
      <c r="C4819" s="58">
        <v>3</v>
      </c>
      <c r="D4819" s="58">
        <v>106</v>
      </c>
      <c r="E4819" s="59">
        <v>105.875</v>
      </c>
    </row>
    <row r="4820" spans="1:5" ht="15" x14ac:dyDescent="0.35">
      <c r="A4820" s="58" t="s">
        <v>394</v>
      </c>
      <c r="B4820" s="58" t="s">
        <v>176</v>
      </c>
      <c r="C4820" s="58">
        <v>4</v>
      </c>
      <c r="D4820" s="58">
        <v>107</v>
      </c>
      <c r="E4820" s="59">
        <v>105.875</v>
      </c>
    </row>
    <row r="4821" spans="1:5" ht="15" x14ac:dyDescent="0.35">
      <c r="A4821" s="58" t="s">
        <v>394</v>
      </c>
      <c r="B4821" s="58" t="s">
        <v>176</v>
      </c>
      <c r="C4821" s="58">
        <v>5</v>
      </c>
      <c r="D4821" s="58">
        <v>108</v>
      </c>
      <c r="E4821" s="59">
        <v>105.875</v>
      </c>
    </row>
    <row r="4822" spans="1:5" ht="15" x14ac:dyDescent="0.35">
      <c r="A4822" s="58" t="s">
        <v>394</v>
      </c>
      <c r="B4822" s="58" t="s">
        <v>176</v>
      </c>
      <c r="C4822" s="58">
        <v>6</v>
      </c>
      <c r="D4822" s="58">
        <v>109</v>
      </c>
      <c r="E4822" s="59">
        <v>105.875</v>
      </c>
    </row>
    <row r="4823" spans="1:5" ht="15" x14ac:dyDescent="0.35">
      <c r="A4823" s="58" t="s">
        <v>394</v>
      </c>
      <c r="B4823" s="58" t="s">
        <v>176</v>
      </c>
      <c r="C4823" s="58">
        <v>7</v>
      </c>
      <c r="D4823" s="58">
        <v>110</v>
      </c>
      <c r="E4823" s="59">
        <v>105.875</v>
      </c>
    </row>
    <row r="4824" spans="1:5" ht="15" x14ac:dyDescent="0.35">
      <c r="A4824" s="58" t="s">
        <v>394</v>
      </c>
      <c r="B4824" s="58" t="s">
        <v>176</v>
      </c>
      <c r="C4824" s="58">
        <v>8</v>
      </c>
      <c r="D4824" s="58">
        <v>111</v>
      </c>
      <c r="E4824" s="59">
        <v>105.875</v>
      </c>
    </row>
    <row r="4825" spans="1:5" ht="15" x14ac:dyDescent="0.35">
      <c r="A4825" s="58" t="s">
        <v>394</v>
      </c>
      <c r="B4825" s="58" t="s">
        <v>176</v>
      </c>
      <c r="C4825" s="58">
        <v>9</v>
      </c>
      <c r="D4825" s="58">
        <v>112</v>
      </c>
      <c r="E4825" s="59">
        <v>105.875</v>
      </c>
    </row>
    <row r="4826" spans="1:5" ht="15" x14ac:dyDescent="0.35">
      <c r="A4826" s="58" t="s">
        <v>394</v>
      </c>
      <c r="B4826" s="58" t="s">
        <v>176</v>
      </c>
      <c r="C4826" s="58">
        <v>10</v>
      </c>
      <c r="D4826" s="58">
        <v>113</v>
      </c>
      <c r="E4826" s="59">
        <v>105.875</v>
      </c>
    </row>
    <row r="4827" spans="1:5" ht="15" x14ac:dyDescent="0.35">
      <c r="A4827" s="58" t="s">
        <v>394</v>
      </c>
      <c r="B4827" s="58" t="s">
        <v>176</v>
      </c>
      <c r="C4827" s="58">
        <v>11</v>
      </c>
      <c r="D4827" s="58">
        <v>114</v>
      </c>
      <c r="E4827" s="59">
        <v>105.875</v>
      </c>
    </row>
    <row r="4828" spans="1:5" ht="15" x14ac:dyDescent="0.35">
      <c r="A4828" s="58" t="s">
        <v>394</v>
      </c>
      <c r="B4828" s="58" t="s">
        <v>176</v>
      </c>
      <c r="C4828" s="58">
        <v>12</v>
      </c>
      <c r="D4828" s="58">
        <v>115</v>
      </c>
      <c r="E4828" s="59">
        <v>105.875</v>
      </c>
    </row>
    <row r="4829" spans="1:5" ht="15" x14ac:dyDescent="0.35">
      <c r="A4829" s="58" t="s">
        <v>394</v>
      </c>
      <c r="B4829" s="58" t="s">
        <v>172</v>
      </c>
      <c r="C4829" s="58">
        <v>1</v>
      </c>
      <c r="D4829" s="58">
        <v>104</v>
      </c>
      <c r="E4829" s="59">
        <v>113</v>
      </c>
    </row>
    <row r="4830" spans="1:5" ht="15" x14ac:dyDescent="0.35">
      <c r="A4830" s="58" t="s">
        <v>394</v>
      </c>
      <c r="B4830" s="58" t="s">
        <v>172</v>
      </c>
      <c r="C4830" s="58">
        <v>2</v>
      </c>
      <c r="D4830" s="58">
        <v>105</v>
      </c>
      <c r="E4830" s="59">
        <v>113</v>
      </c>
    </row>
    <row r="4831" spans="1:5" ht="15" x14ac:dyDescent="0.35">
      <c r="A4831" s="58" t="s">
        <v>394</v>
      </c>
      <c r="B4831" s="58" t="s">
        <v>172</v>
      </c>
      <c r="C4831" s="58">
        <v>3</v>
      </c>
      <c r="D4831" s="58">
        <v>106</v>
      </c>
      <c r="E4831" s="59">
        <v>113</v>
      </c>
    </row>
    <row r="4832" spans="1:5" ht="15" x14ac:dyDescent="0.35">
      <c r="A4832" s="58" t="s">
        <v>394</v>
      </c>
      <c r="B4832" s="58" t="s">
        <v>172</v>
      </c>
      <c r="C4832" s="58">
        <v>4</v>
      </c>
      <c r="D4832" s="58">
        <v>107</v>
      </c>
      <c r="E4832" s="59">
        <v>113</v>
      </c>
    </row>
    <row r="4833" spans="1:5" ht="15" x14ac:dyDescent="0.35">
      <c r="A4833" s="58" t="s">
        <v>394</v>
      </c>
      <c r="B4833" s="58" t="s">
        <v>172</v>
      </c>
      <c r="C4833" s="58">
        <v>5</v>
      </c>
      <c r="D4833" s="58">
        <v>108</v>
      </c>
      <c r="E4833" s="59">
        <v>113</v>
      </c>
    </row>
    <row r="4834" spans="1:5" ht="15" x14ac:dyDescent="0.35">
      <c r="A4834" s="58" t="s">
        <v>394</v>
      </c>
      <c r="B4834" s="58" t="s">
        <v>172</v>
      </c>
      <c r="C4834" s="58">
        <v>6</v>
      </c>
      <c r="D4834" s="58">
        <v>109</v>
      </c>
      <c r="E4834" s="59">
        <v>113</v>
      </c>
    </row>
    <row r="4835" spans="1:5" ht="15" x14ac:dyDescent="0.35">
      <c r="A4835" s="58" t="s">
        <v>394</v>
      </c>
      <c r="B4835" s="58" t="s">
        <v>172</v>
      </c>
      <c r="C4835" s="58">
        <v>7</v>
      </c>
      <c r="D4835" s="58">
        <v>110</v>
      </c>
      <c r="E4835" s="59">
        <v>113</v>
      </c>
    </row>
    <row r="4836" spans="1:5" ht="15" x14ac:dyDescent="0.35">
      <c r="A4836" s="58" t="s">
        <v>394</v>
      </c>
      <c r="B4836" s="58" t="s">
        <v>172</v>
      </c>
      <c r="C4836" s="58">
        <v>8</v>
      </c>
      <c r="D4836" s="58">
        <v>111</v>
      </c>
      <c r="E4836" s="59">
        <v>113</v>
      </c>
    </row>
    <row r="4837" spans="1:5" ht="15" x14ac:dyDescent="0.35">
      <c r="A4837" s="58" t="s">
        <v>394</v>
      </c>
      <c r="B4837" s="58" t="s">
        <v>172</v>
      </c>
      <c r="C4837" s="58">
        <v>9</v>
      </c>
      <c r="D4837" s="58">
        <v>112</v>
      </c>
      <c r="E4837" s="59">
        <v>113</v>
      </c>
    </row>
    <row r="4838" spans="1:5" ht="15" x14ac:dyDescent="0.35">
      <c r="A4838" s="58" t="s">
        <v>394</v>
      </c>
      <c r="B4838" s="58" t="s">
        <v>172</v>
      </c>
      <c r="C4838" s="58">
        <v>10</v>
      </c>
      <c r="D4838" s="58">
        <v>113</v>
      </c>
      <c r="E4838" s="59">
        <v>113</v>
      </c>
    </row>
    <row r="4839" spans="1:5" ht="15" x14ac:dyDescent="0.35">
      <c r="A4839" s="58" t="s">
        <v>394</v>
      </c>
      <c r="B4839" s="58" t="s">
        <v>172</v>
      </c>
      <c r="C4839" s="58">
        <v>11</v>
      </c>
      <c r="D4839" s="58">
        <v>114</v>
      </c>
      <c r="E4839" s="59">
        <v>113</v>
      </c>
    </row>
    <row r="4840" spans="1:5" ht="15" x14ac:dyDescent="0.35">
      <c r="A4840" s="58" t="s">
        <v>394</v>
      </c>
      <c r="B4840" s="58" t="s">
        <v>172</v>
      </c>
      <c r="C4840" s="58">
        <v>12</v>
      </c>
      <c r="D4840" s="58">
        <v>115</v>
      </c>
      <c r="E4840" s="59">
        <v>113</v>
      </c>
    </row>
    <row r="4841" spans="1:5" ht="15" x14ac:dyDescent="0.35">
      <c r="A4841" s="58" t="s">
        <v>394</v>
      </c>
      <c r="B4841" s="58" t="s">
        <v>180</v>
      </c>
      <c r="C4841" s="58">
        <v>1</v>
      </c>
      <c r="D4841" s="58">
        <v>104</v>
      </c>
      <c r="E4841" s="59">
        <v>78.475499999999997</v>
      </c>
    </row>
    <row r="4842" spans="1:5" ht="15" x14ac:dyDescent="0.35">
      <c r="A4842" s="58" t="s">
        <v>394</v>
      </c>
      <c r="B4842" s="58" t="s">
        <v>180</v>
      </c>
      <c r="C4842" s="58">
        <v>2</v>
      </c>
      <c r="D4842" s="58">
        <v>105</v>
      </c>
      <c r="E4842" s="59">
        <v>78.475499999999997</v>
      </c>
    </row>
    <row r="4843" spans="1:5" ht="15" x14ac:dyDescent="0.35">
      <c r="A4843" s="58" t="s">
        <v>394</v>
      </c>
      <c r="B4843" s="58" t="s">
        <v>180</v>
      </c>
      <c r="C4843" s="58">
        <v>3</v>
      </c>
      <c r="D4843" s="58">
        <v>106</v>
      </c>
      <c r="E4843" s="59">
        <v>78.475499999999997</v>
      </c>
    </row>
    <row r="4844" spans="1:5" ht="15" x14ac:dyDescent="0.35">
      <c r="A4844" s="58" t="s">
        <v>394</v>
      </c>
      <c r="B4844" s="58" t="s">
        <v>180</v>
      </c>
      <c r="C4844" s="58">
        <v>4</v>
      </c>
      <c r="D4844" s="58">
        <v>107</v>
      </c>
      <c r="E4844" s="59">
        <v>78.475499999999997</v>
      </c>
    </row>
    <row r="4845" spans="1:5" ht="15" x14ac:dyDescent="0.35">
      <c r="A4845" s="58" t="s">
        <v>394</v>
      </c>
      <c r="B4845" s="58" t="s">
        <v>180</v>
      </c>
      <c r="C4845" s="58">
        <v>5</v>
      </c>
      <c r="D4845" s="58">
        <v>108</v>
      </c>
      <c r="E4845" s="59">
        <v>78.475499999999997</v>
      </c>
    </row>
    <row r="4846" spans="1:5" ht="15" x14ac:dyDescent="0.35">
      <c r="A4846" s="58" t="s">
        <v>394</v>
      </c>
      <c r="B4846" s="58" t="s">
        <v>180</v>
      </c>
      <c r="C4846" s="58">
        <v>6</v>
      </c>
      <c r="D4846" s="58">
        <v>109</v>
      </c>
      <c r="E4846" s="59">
        <v>78.475499999999997</v>
      </c>
    </row>
    <row r="4847" spans="1:5" ht="15" x14ac:dyDescent="0.35">
      <c r="A4847" s="58" t="s">
        <v>394</v>
      </c>
      <c r="B4847" s="58" t="s">
        <v>180</v>
      </c>
      <c r="C4847" s="58">
        <v>7</v>
      </c>
      <c r="D4847" s="58">
        <v>110</v>
      </c>
      <c r="E4847" s="59">
        <v>78.475499999999997</v>
      </c>
    </row>
    <row r="4848" spans="1:5" ht="15" x14ac:dyDescent="0.35">
      <c r="A4848" s="58" t="s">
        <v>394</v>
      </c>
      <c r="B4848" s="58" t="s">
        <v>180</v>
      </c>
      <c r="C4848" s="58">
        <v>8</v>
      </c>
      <c r="D4848" s="58">
        <v>111</v>
      </c>
      <c r="E4848" s="59">
        <v>78.475499999999997</v>
      </c>
    </row>
    <row r="4849" spans="1:5" ht="15" x14ac:dyDescent="0.35">
      <c r="A4849" s="58" t="s">
        <v>394</v>
      </c>
      <c r="B4849" s="58" t="s">
        <v>180</v>
      </c>
      <c r="C4849" s="58">
        <v>9</v>
      </c>
      <c r="D4849" s="58">
        <v>112</v>
      </c>
      <c r="E4849" s="59">
        <v>78.475499999999997</v>
      </c>
    </row>
    <row r="4850" spans="1:5" ht="15" x14ac:dyDescent="0.35">
      <c r="A4850" s="58" t="s">
        <v>394</v>
      </c>
      <c r="B4850" s="58" t="s">
        <v>180</v>
      </c>
      <c r="C4850" s="58">
        <v>10</v>
      </c>
      <c r="D4850" s="58">
        <v>113</v>
      </c>
      <c r="E4850" s="59">
        <v>78.475499999999997</v>
      </c>
    </row>
    <row r="4851" spans="1:5" ht="15" x14ac:dyDescent="0.35">
      <c r="A4851" s="58" t="s">
        <v>394</v>
      </c>
      <c r="B4851" s="58" t="s">
        <v>180</v>
      </c>
      <c r="C4851" s="58">
        <v>11</v>
      </c>
      <c r="D4851" s="58">
        <v>114</v>
      </c>
      <c r="E4851" s="59">
        <v>78.475499999999997</v>
      </c>
    </row>
    <row r="4852" spans="1:5" ht="15" x14ac:dyDescent="0.35">
      <c r="A4852" s="58" t="s">
        <v>394</v>
      </c>
      <c r="B4852" s="58" t="s">
        <v>180</v>
      </c>
      <c r="C4852" s="58">
        <v>12</v>
      </c>
      <c r="D4852" s="58">
        <v>115</v>
      </c>
      <c r="E4852" s="59">
        <v>78.475499999999997</v>
      </c>
    </row>
    <row r="4853" spans="1:5" ht="15" x14ac:dyDescent="0.35">
      <c r="A4853" s="58" t="s">
        <v>341</v>
      </c>
      <c r="B4853" s="58" t="s">
        <v>182</v>
      </c>
      <c r="C4853" s="58">
        <v>1</v>
      </c>
      <c r="D4853" s="58">
        <v>104</v>
      </c>
      <c r="E4853" s="59">
        <v>49.343499999999999</v>
      </c>
    </row>
    <row r="4854" spans="1:5" ht="15" x14ac:dyDescent="0.35">
      <c r="A4854" s="58" t="s">
        <v>341</v>
      </c>
      <c r="B4854" s="58" t="s">
        <v>182</v>
      </c>
      <c r="C4854" s="58">
        <v>2</v>
      </c>
      <c r="D4854" s="58">
        <v>105</v>
      </c>
      <c r="E4854" s="59">
        <v>0</v>
      </c>
    </row>
    <row r="4855" spans="1:5" ht="15" x14ac:dyDescent="0.35">
      <c r="A4855" s="58" t="s">
        <v>341</v>
      </c>
      <c r="B4855" s="58" t="s">
        <v>182</v>
      </c>
      <c r="C4855" s="58">
        <v>3</v>
      </c>
      <c r="D4855" s="58">
        <v>106</v>
      </c>
      <c r="E4855" s="59">
        <v>0</v>
      </c>
    </row>
    <row r="4856" spans="1:5" ht="15" x14ac:dyDescent="0.35">
      <c r="A4856" s="58" t="s">
        <v>341</v>
      </c>
      <c r="B4856" s="58" t="s">
        <v>182</v>
      </c>
      <c r="C4856" s="58">
        <v>4</v>
      </c>
      <c r="D4856" s="58">
        <v>107</v>
      </c>
      <c r="E4856" s="59">
        <v>0</v>
      </c>
    </row>
    <row r="4857" spans="1:5" ht="15" x14ac:dyDescent="0.35">
      <c r="A4857" s="58" t="s">
        <v>341</v>
      </c>
      <c r="B4857" s="58" t="s">
        <v>182</v>
      </c>
      <c r="C4857" s="58">
        <v>5</v>
      </c>
      <c r="D4857" s="58">
        <v>108</v>
      </c>
      <c r="E4857" s="59">
        <v>0</v>
      </c>
    </row>
    <row r="4858" spans="1:5" ht="15" x14ac:dyDescent="0.35">
      <c r="A4858" s="58" t="s">
        <v>341</v>
      </c>
      <c r="B4858" s="58" t="s">
        <v>182</v>
      </c>
      <c r="C4858" s="58">
        <v>6</v>
      </c>
      <c r="D4858" s="58">
        <v>109</v>
      </c>
      <c r="E4858" s="59">
        <v>0</v>
      </c>
    </row>
    <row r="4859" spans="1:5" ht="15" x14ac:dyDescent="0.35">
      <c r="A4859" s="58" t="s">
        <v>341</v>
      </c>
      <c r="B4859" s="58" t="s">
        <v>182</v>
      </c>
      <c r="C4859" s="58">
        <v>7</v>
      </c>
      <c r="D4859" s="58">
        <v>110</v>
      </c>
      <c r="E4859" s="59">
        <v>0</v>
      </c>
    </row>
    <row r="4860" spans="1:5" ht="15" x14ac:dyDescent="0.35">
      <c r="A4860" s="58" t="s">
        <v>341</v>
      </c>
      <c r="B4860" s="58" t="s">
        <v>182</v>
      </c>
      <c r="C4860" s="58">
        <v>8</v>
      </c>
      <c r="D4860" s="58">
        <v>111</v>
      </c>
      <c r="E4860" s="59">
        <v>0</v>
      </c>
    </row>
    <row r="4861" spans="1:5" ht="15" x14ac:dyDescent="0.35">
      <c r="A4861" s="58" t="s">
        <v>341</v>
      </c>
      <c r="B4861" s="58" t="s">
        <v>182</v>
      </c>
      <c r="C4861" s="58">
        <v>9</v>
      </c>
      <c r="D4861" s="58">
        <v>112</v>
      </c>
      <c r="E4861" s="59">
        <v>0</v>
      </c>
    </row>
    <row r="4862" spans="1:5" ht="15" x14ac:dyDescent="0.35">
      <c r="A4862" s="58" t="s">
        <v>341</v>
      </c>
      <c r="B4862" s="58" t="s">
        <v>182</v>
      </c>
      <c r="C4862" s="58">
        <v>10</v>
      </c>
      <c r="D4862" s="58">
        <v>113</v>
      </c>
      <c r="E4862" s="59">
        <v>0</v>
      </c>
    </row>
    <row r="4863" spans="1:5" ht="15" x14ac:dyDescent="0.35">
      <c r="A4863" s="58" t="s">
        <v>341</v>
      </c>
      <c r="B4863" s="58" t="s">
        <v>182</v>
      </c>
      <c r="C4863" s="58">
        <v>11</v>
      </c>
      <c r="D4863" s="58">
        <v>114</v>
      </c>
      <c r="E4863" s="59">
        <v>0</v>
      </c>
    </row>
    <row r="4864" spans="1:5" ht="15" x14ac:dyDescent="0.35">
      <c r="A4864" s="58" t="s">
        <v>341</v>
      </c>
      <c r="B4864" s="58" t="s">
        <v>182</v>
      </c>
      <c r="C4864" s="58">
        <v>12</v>
      </c>
      <c r="D4864" s="58">
        <v>115</v>
      </c>
      <c r="E4864" s="59">
        <v>0</v>
      </c>
    </row>
    <row r="4865" spans="1:5" ht="15" x14ac:dyDescent="0.35">
      <c r="A4865" s="58" t="s">
        <v>341</v>
      </c>
      <c r="B4865" s="58" t="s">
        <v>176</v>
      </c>
      <c r="C4865" s="58">
        <v>1</v>
      </c>
      <c r="D4865" s="58">
        <v>104</v>
      </c>
      <c r="E4865" s="59">
        <v>36.5</v>
      </c>
    </row>
    <row r="4866" spans="1:5" ht="15" x14ac:dyDescent="0.35">
      <c r="A4866" s="58" t="s">
        <v>341</v>
      </c>
      <c r="B4866" s="58" t="s">
        <v>176</v>
      </c>
      <c r="C4866" s="58">
        <v>2</v>
      </c>
      <c r="D4866" s="58">
        <v>105</v>
      </c>
      <c r="E4866" s="59">
        <v>36.5</v>
      </c>
    </row>
    <row r="4867" spans="1:5" ht="15" x14ac:dyDescent="0.35">
      <c r="A4867" s="58" t="s">
        <v>341</v>
      </c>
      <c r="B4867" s="58" t="s">
        <v>176</v>
      </c>
      <c r="C4867" s="58">
        <v>3</v>
      </c>
      <c r="D4867" s="58">
        <v>106</v>
      </c>
      <c r="E4867" s="59">
        <v>36.5</v>
      </c>
    </row>
    <row r="4868" spans="1:5" ht="15" x14ac:dyDescent="0.35">
      <c r="A4868" s="58" t="s">
        <v>341</v>
      </c>
      <c r="B4868" s="58" t="s">
        <v>176</v>
      </c>
      <c r="C4868" s="58">
        <v>4</v>
      </c>
      <c r="D4868" s="58">
        <v>107</v>
      </c>
      <c r="E4868" s="59">
        <v>36.5</v>
      </c>
    </row>
    <row r="4869" spans="1:5" ht="15" x14ac:dyDescent="0.35">
      <c r="A4869" s="58" t="s">
        <v>341</v>
      </c>
      <c r="B4869" s="58" t="s">
        <v>176</v>
      </c>
      <c r="C4869" s="58">
        <v>5</v>
      </c>
      <c r="D4869" s="58">
        <v>108</v>
      </c>
      <c r="E4869" s="59">
        <v>36.5</v>
      </c>
    </row>
    <row r="4870" spans="1:5" ht="15" x14ac:dyDescent="0.35">
      <c r="A4870" s="58" t="s">
        <v>341</v>
      </c>
      <c r="B4870" s="58" t="s">
        <v>176</v>
      </c>
      <c r="C4870" s="58">
        <v>6</v>
      </c>
      <c r="D4870" s="58">
        <v>109</v>
      </c>
      <c r="E4870" s="59">
        <v>36.5</v>
      </c>
    </row>
    <row r="4871" spans="1:5" ht="15" x14ac:dyDescent="0.35">
      <c r="A4871" s="58" t="s">
        <v>341</v>
      </c>
      <c r="B4871" s="58" t="s">
        <v>176</v>
      </c>
      <c r="C4871" s="58">
        <v>7</v>
      </c>
      <c r="D4871" s="58">
        <v>110</v>
      </c>
      <c r="E4871" s="59">
        <v>36.5</v>
      </c>
    </row>
    <row r="4872" spans="1:5" ht="15" x14ac:dyDescent="0.35">
      <c r="A4872" s="58" t="s">
        <v>341</v>
      </c>
      <c r="B4872" s="58" t="s">
        <v>176</v>
      </c>
      <c r="C4872" s="58">
        <v>8</v>
      </c>
      <c r="D4872" s="58">
        <v>111</v>
      </c>
      <c r="E4872" s="59">
        <v>36.5</v>
      </c>
    </row>
    <row r="4873" spans="1:5" ht="15" x14ac:dyDescent="0.35">
      <c r="A4873" s="58" t="s">
        <v>341</v>
      </c>
      <c r="B4873" s="58" t="s">
        <v>176</v>
      </c>
      <c r="C4873" s="58">
        <v>9</v>
      </c>
      <c r="D4873" s="58">
        <v>112</v>
      </c>
      <c r="E4873" s="59">
        <v>36.5</v>
      </c>
    </row>
    <row r="4874" spans="1:5" ht="15" x14ac:dyDescent="0.35">
      <c r="A4874" s="58" t="s">
        <v>341</v>
      </c>
      <c r="B4874" s="58" t="s">
        <v>176</v>
      </c>
      <c r="C4874" s="58">
        <v>10</v>
      </c>
      <c r="D4874" s="58">
        <v>113</v>
      </c>
      <c r="E4874" s="59">
        <v>36.5</v>
      </c>
    </row>
    <row r="4875" spans="1:5" ht="15" x14ac:dyDescent="0.35">
      <c r="A4875" s="58" t="s">
        <v>341</v>
      </c>
      <c r="B4875" s="58" t="s">
        <v>176</v>
      </c>
      <c r="C4875" s="58">
        <v>11</v>
      </c>
      <c r="D4875" s="58">
        <v>114</v>
      </c>
      <c r="E4875" s="59">
        <v>36.5</v>
      </c>
    </row>
    <row r="4876" spans="1:5" ht="15" x14ac:dyDescent="0.35">
      <c r="A4876" s="58" t="s">
        <v>341</v>
      </c>
      <c r="B4876" s="58" t="s">
        <v>176</v>
      </c>
      <c r="C4876" s="58">
        <v>12</v>
      </c>
      <c r="D4876" s="58">
        <v>115</v>
      </c>
      <c r="E4876" s="59">
        <v>36.5</v>
      </c>
    </row>
    <row r="4877" spans="1:5" ht="15" x14ac:dyDescent="0.35">
      <c r="A4877" s="58" t="s">
        <v>341</v>
      </c>
      <c r="B4877" s="58" t="s">
        <v>172</v>
      </c>
      <c r="C4877" s="58">
        <v>1</v>
      </c>
      <c r="D4877" s="58">
        <v>104</v>
      </c>
      <c r="E4877" s="59">
        <v>37</v>
      </c>
    </row>
    <row r="4878" spans="1:5" ht="15" x14ac:dyDescent="0.35">
      <c r="A4878" s="58" t="s">
        <v>341</v>
      </c>
      <c r="B4878" s="58" t="s">
        <v>172</v>
      </c>
      <c r="C4878" s="58">
        <v>2</v>
      </c>
      <c r="D4878" s="58">
        <v>105</v>
      </c>
      <c r="E4878" s="59">
        <v>37</v>
      </c>
    </row>
    <row r="4879" spans="1:5" ht="15" x14ac:dyDescent="0.35">
      <c r="A4879" s="58" t="s">
        <v>341</v>
      </c>
      <c r="B4879" s="58" t="s">
        <v>172</v>
      </c>
      <c r="C4879" s="58">
        <v>3</v>
      </c>
      <c r="D4879" s="58">
        <v>106</v>
      </c>
      <c r="E4879" s="59">
        <v>37</v>
      </c>
    </row>
    <row r="4880" spans="1:5" ht="15" x14ac:dyDescent="0.35">
      <c r="A4880" s="58" t="s">
        <v>341</v>
      </c>
      <c r="B4880" s="58" t="s">
        <v>172</v>
      </c>
      <c r="C4880" s="58">
        <v>4</v>
      </c>
      <c r="D4880" s="58">
        <v>107</v>
      </c>
      <c r="E4880" s="59">
        <v>37</v>
      </c>
    </row>
    <row r="4881" spans="1:5" ht="15" x14ac:dyDescent="0.35">
      <c r="A4881" s="58" t="s">
        <v>341</v>
      </c>
      <c r="B4881" s="58" t="s">
        <v>172</v>
      </c>
      <c r="C4881" s="58">
        <v>5</v>
      </c>
      <c r="D4881" s="58">
        <v>108</v>
      </c>
      <c r="E4881" s="59">
        <v>37</v>
      </c>
    </row>
    <row r="4882" spans="1:5" ht="15" x14ac:dyDescent="0.35">
      <c r="A4882" s="58" t="s">
        <v>341</v>
      </c>
      <c r="B4882" s="58" t="s">
        <v>172</v>
      </c>
      <c r="C4882" s="58">
        <v>6</v>
      </c>
      <c r="D4882" s="58">
        <v>109</v>
      </c>
      <c r="E4882" s="59">
        <v>37</v>
      </c>
    </row>
    <row r="4883" spans="1:5" ht="15" x14ac:dyDescent="0.35">
      <c r="A4883" s="58" t="s">
        <v>341</v>
      </c>
      <c r="B4883" s="58" t="s">
        <v>172</v>
      </c>
      <c r="C4883" s="58">
        <v>7</v>
      </c>
      <c r="D4883" s="58">
        <v>110</v>
      </c>
      <c r="E4883" s="59">
        <v>37</v>
      </c>
    </row>
    <row r="4884" spans="1:5" ht="15" x14ac:dyDescent="0.35">
      <c r="A4884" s="58" t="s">
        <v>341</v>
      </c>
      <c r="B4884" s="58" t="s">
        <v>172</v>
      </c>
      <c r="C4884" s="58">
        <v>8</v>
      </c>
      <c r="D4884" s="58">
        <v>111</v>
      </c>
      <c r="E4884" s="59">
        <v>37</v>
      </c>
    </row>
    <row r="4885" spans="1:5" ht="15" x14ac:dyDescent="0.35">
      <c r="A4885" s="58" t="s">
        <v>341</v>
      </c>
      <c r="B4885" s="58" t="s">
        <v>172</v>
      </c>
      <c r="C4885" s="58">
        <v>9</v>
      </c>
      <c r="D4885" s="58">
        <v>112</v>
      </c>
      <c r="E4885" s="59">
        <v>37</v>
      </c>
    </row>
    <row r="4886" spans="1:5" ht="15" x14ac:dyDescent="0.35">
      <c r="A4886" s="58" t="s">
        <v>341</v>
      </c>
      <c r="B4886" s="58" t="s">
        <v>172</v>
      </c>
      <c r="C4886" s="58">
        <v>10</v>
      </c>
      <c r="D4886" s="58">
        <v>113</v>
      </c>
      <c r="E4886" s="59">
        <v>37</v>
      </c>
    </row>
    <row r="4887" spans="1:5" ht="15" x14ac:dyDescent="0.35">
      <c r="A4887" s="58" t="s">
        <v>341</v>
      </c>
      <c r="B4887" s="58" t="s">
        <v>172</v>
      </c>
      <c r="C4887" s="58">
        <v>11</v>
      </c>
      <c r="D4887" s="58">
        <v>114</v>
      </c>
      <c r="E4887" s="59">
        <v>37</v>
      </c>
    </row>
    <row r="4888" spans="1:5" ht="15" x14ac:dyDescent="0.35">
      <c r="A4888" s="58" t="s">
        <v>341</v>
      </c>
      <c r="B4888" s="58" t="s">
        <v>172</v>
      </c>
      <c r="C4888" s="58">
        <v>12</v>
      </c>
      <c r="D4888" s="58">
        <v>115</v>
      </c>
      <c r="E4888" s="59">
        <v>37</v>
      </c>
    </row>
    <row r="4889" spans="1:5" ht="15" x14ac:dyDescent="0.35">
      <c r="A4889" s="58" t="s">
        <v>341</v>
      </c>
      <c r="B4889" s="58" t="s">
        <v>180</v>
      </c>
      <c r="C4889" s="58">
        <v>1</v>
      </c>
      <c r="D4889" s="58">
        <v>104</v>
      </c>
      <c r="E4889" s="59">
        <v>39.314900000000002</v>
      </c>
    </row>
    <row r="4890" spans="1:5" ht="15" x14ac:dyDescent="0.35">
      <c r="A4890" s="58" t="s">
        <v>341</v>
      </c>
      <c r="B4890" s="58" t="s">
        <v>180</v>
      </c>
      <c r="C4890" s="58">
        <v>2</v>
      </c>
      <c r="D4890" s="58">
        <v>105</v>
      </c>
      <c r="E4890" s="59">
        <v>39.314900000000002</v>
      </c>
    </row>
    <row r="4891" spans="1:5" ht="15" x14ac:dyDescent="0.35">
      <c r="A4891" s="58" t="s">
        <v>341</v>
      </c>
      <c r="B4891" s="58" t="s">
        <v>180</v>
      </c>
      <c r="C4891" s="58">
        <v>3</v>
      </c>
      <c r="D4891" s="58">
        <v>106</v>
      </c>
      <c r="E4891" s="59">
        <v>39.314900000000002</v>
      </c>
    </row>
    <row r="4892" spans="1:5" ht="15" x14ac:dyDescent="0.35">
      <c r="A4892" s="58" t="s">
        <v>341</v>
      </c>
      <c r="B4892" s="58" t="s">
        <v>180</v>
      </c>
      <c r="C4892" s="58">
        <v>4</v>
      </c>
      <c r="D4892" s="58">
        <v>107</v>
      </c>
      <c r="E4892" s="59">
        <v>39.314900000000002</v>
      </c>
    </row>
    <row r="4893" spans="1:5" ht="15" x14ac:dyDescent="0.35">
      <c r="A4893" s="58" t="s">
        <v>341</v>
      </c>
      <c r="B4893" s="58" t="s">
        <v>180</v>
      </c>
      <c r="C4893" s="58">
        <v>5</v>
      </c>
      <c r="D4893" s="58">
        <v>108</v>
      </c>
      <c r="E4893" s="59">
        <v>39.314900000000002</v>
      </c>
    </row>
    <row r="4894" spans="1:5" ht="15" x14ac:dyDescent="0.35">
      <c r="A4894" s="58" t="s">
        <v>341</v>
      </c>
      <c r="B4894" s="58" t="s">
        <v>180</v>
      </c>
      <c r="C4894" s="58">
        <v>6</v>
      </c>
      <c r="D4894" s="58">
        <v>109</v>
      </c>
      <c r="E4894" s="59">
        <v>39.314900000000002</v>
      </c>
    </row>
    <row r="4895" spans="1:5" ht="15" x14ac:dyDescent="0.35">
      <c r="A4895" s="58" t="s">
        <v>341</v>
      </c>
      <c r="B4895" s="58" t="s">
        <v>180</v>
      </c>
      <c r="C4895" s="58">
        <v>7</v>
      </c>
      <c r="D4895" s="58">
        <v>110</v>
      </c>
      <c r="E4895" s="59">
        <v>39.314900000000002</v>
      </c>
    </row>
    <row r="4896" spans="1:5" ht="15" x14ac:dyDescent="0.35">
      <c r="A4896" s="58" t="s">
        <v>341</v>
      </c>
      <c r="B4896" s="58" t="s">
        <v>180</v>
      </c>
      <c r="C4896" s="58">
        <v>8</v>
      </c>
      <c r="D4896" s="58">
        <v>111</v>
      </c>
      <c r="E4896" s="59">
        <v>39.314900000000002</v>
      </c>
    </row>
    <row r="4897" spans="1:5" ht="15" x14ac:dyDescent="0.35">
      <c r="A4897" s="58" t="s">
        <v>341</v>
      </c>
      <c r="B4897" s="58" t="s">
        <v>180</v>
      </c>
      <c r="C4897" s="58">
        <v>9</v>
      </c>
      <c r="D4897" s="58">
        <v>112</v>
      </c>
      <c r="E4897" s="59">
        <v>39.314900000000002</v>
      </c>
    </row>
    <row r="4898" spans="1:5" ht="15" x14ac:dyDescent="0.35">
      <c r="A4898" s="58" t="s">
        <v>341</v>
      </c>
      <c r="B4898" s="58" t="s">
        <v>180</v>
      </c>
      <c r="C4898" s="58">
        <v>10</v>
      </c>
      <c r="D4898" s="58">
        <v>113</v>
      </c>
      <c r="E4898" s="59">
        <v>39.314900000000002</v>
      </c>
    </row>
    <row r="4899" spans="1:5" ht="15" x14ac:dyDescent="0.35">
      <c r="A4899" s="58" t="s">
        <v>341</v>
      </c>
      <c r="B4899" s="58" t="s">
        <v>180</v>
      </c>
      <c r="C4899" s="58">
        <v>11</v>
      </c>
      <c r="D4899" s="58">
        <v>114</v>
      </c>
      <c r="E4899" s="59">
        <v>39.314900000000002</v>
      </c>
    </row>
    <row r="4900" spans="1:5" ht="15" x14ac:dyDescent="0.35">
      <c r="A4900" s="58" t="s">
        <v>341</v>
      </c>
      <c r="B4900" s="58" t="s">
        <v>180</v>
      </c>
      <c r="C4900" s="58">
        <v>12</v>
      </c>
      <c r="D4900" s="58">
        <v>115</v>
      </c>
      <c r="E4900" s="59">
        <v>39.314900000000002</v>
      </c>
    </row>
    <row r="4901" spans="1:5" ht="15" x14ac:dyDescent="0.35">
      <c r="A4901" s="58" t="s">
        <v>333</v>
      </c>
      <c r="B4901" s="58" t="s">
        <v>182</v>
      </c>
      <c r="C4901" s="58">
        <v>1</v>
      </c>
      <c r="D4901" s="58">
        <v>104</v>
      </c>
      <c r="E4901" s="59">
        <v>23.3504</v>
      </c>
    </row>
    <row r="4902" spans="1:5" ht="15" x14ac:dyDescent="0.35">
      <c r="A4902" s="58" t="s">
        <v>333</v>
      </c>
      <c r="B4902" s="58" t="s">
        <v>182</v>
      </c>
      <c r="C4902" s="58">
        <v>2</v>
      </c>
      <c r="D4902" s="58">
        <v>105</v>
      </c>
      <c r="E4902" s="59">
        <v>0</v>
      </c>
    </row>
    <row r="4903" spans="1:5" ht="15" x14ac:dyDescent="0.35">
      <c r="A4903" s="58" t="s">
        <v>333</v>
      </c>
      <c r="B4903" s="58" t="s">
        <v>182</v>
      </c>
      <c r="C4903" s="58">
        <v>3</v>
      </c>
      <c r="D4903" s="58">
        <v>106</v>
      </c>
      <c r="E4903" s="59">
        <v>0</v>
      </c>
    </row>
    <row r="4904" spans="1:5" ht="15" x14ac:dyDescent="0.35">
      <c r="A4904" s="58" t="s">
        <v>333</v>
      </c>
      <c r="B4904" s="58" t="s">
        <v>182</v>
      </c>
      <c r="C4904" s="58">
        <v>4</v>
      </c>
      <c r="D4904" s="58">
        <v>107</v>
      </c>
      <c r="E4904" s="59">
        <v>0</v>
      </c>
    </row>
    <row r="4905" spans="1:5" ht="15" x14ac:dyDescent="0.35">
      <c r="A4905" s="58" t="s">
        <v>333</v>
      </c>
      <c r="B4905" s="58" t="s">
        <v>182</v>
      </c>
      <c r="C4905" s="58">
        <v>5</v>
      </c>
      <c r="D4905" s="58">
        <v>108</v>
      </c>
      <c r="E4905" s="59">
        <v>0</v>
      </c>
    </row>
    <row r="4906" spans="1:5" ht="15" x14ac:dyDescent="0.35">
      <c r="A4906" s="58" t="s">
        <v>333</v>
      </c>
      <c r="B4906" s="58" t="s">
        <v>182</v>
      </c>
      <c r="C4906" s="58">
        <v>6</v>
      </c>
      <c r="D4906" s="58">
        <v>109</v>
      </c>
      <c r="E4906" s="59">
        <v>0</v>
      </c>
    </row>
    <row r="4907" spans="1:5" ht="15" x14ac:dyDescent="0.35">
      <c r="A4907" s="58" t="s">
        <v>333</v>
      </c>
      <c r="B4907" s="58" t="s">
        <v>182</v>
      </c>
      <c r="C4907" s="58">
        <v>7</v>
      </c>
      <c r="D4907" s="58">
        <v>110</v>
      </c>
      <c r="E4907" s="59">
        <v>0</v>
      </c>
    </row>
    <row r="4908" spans="1:5" ht="15" x14ac:dyDescent="0.35">
      <c r="A4908" s="58" t="s">
        <v>333</v>
      </c>
      <c r="B4908" s="58" t="s">
        <v>182</v>
      </c>
      <c r="C4908" s="58">
        <v>8</v>
      </c>
      <c r="D4908" s="58">
        <v>111</v>
      </c>
      <c r="E4908" s="59">
        <v>0</v>
      </c>
    </row>
    <row r="4909" spans="1:5" ht="15" x14ac:dyDescent="0.35">
      <c r="A4909" s="58" t="s">
        <v>333</v>
      </c>
      <c r="B4909" s="58" t="s">
        <v>182</v>
      </c>
      <c r="C4909" s="58">
        <v>9</v>
      </c>
      <c r="D4909" s="58">
        <v>112</v>
      </c>
      <c r="E4909" s="59">
        <v>0</v>
      </c>
    </row>
    <row r="4910" spans="1:5" ht="15" x14ac:dyDescent="0.35">
      <c r="A4910" s="58" t="s">
        <v>333</v>
      </c>
      <c r="B4910" s="58" t="s">
        <v>182</v>
      </c>
      <c r="C4910" s="58">
        <v>10</v>
      </c>
      <c r="D4910" s="58">
        <v>113</v>
      </c>
      <c r="E4910" s="59">
        <v>0</v>
      </c>
    </row>
    <row r="4911" spans="1:5" ht="15" x14ac:dyDescent="0.35">
      <c r="A4911" s="58" t="s">
        <v>333</v>
      </c>
      <c r="B4911" s="58" t="s">
        <v>182</v>
      </c>
      <c r="C4911" s="58">
        <v>11</v>
      </c>
      <c r="D4911" s="58">
        <v>114</v>
      </c>
      <c r="E4911" s="59">
        <v>0</v>
      </c>
    </row>
    <row r="4912" spans="1:5" ht="15" x14ac:dyDescent="0.35">
      <c r="A4912" s="58" t="s">
        <v>333</v>
      </c>
      <c r="B4912" s="58" t="s">
        <v>182</v>
      </c>
      <c r="C4912" s="58">
        <v>12</v>
      </c>
      <c r="D4912" s="58">
        <v>115</v>
      </c>
      <c r="E4912" s="59">
        <v>0</v>
      </c>
    </row>
    <row r="4913" spans="1:5" ht="15" x14ac:dyDescent="0.35">
      <c r="A4913" s="58" t="s">
        <v>333</v>
      </c>
      <c r="B4913" s="58" t="s">
        <v>176</v>
      </c>
      <c r="C4913" s="58">
        <v>1</v>
      </c>
      <c r="D4913" s="58">
        <v>104</v>
      </c>
      <c r="E4913" s="59">
        <v>42.25</v>
      </c>
    </row>
    <row r="4914" spans="1:5" ht="15" x14ac:dyDescent="0.35">
      <c r="A4914" s="58" t="s">
        <v>333</v>
      </c>
      <c r="B4914" s="58" t="s">
        <v>176</v>
      </c>
      <c r="C4914" s="58">
        <v>2</v>
      </c>
      <c r="D4914" s="58">
        <v>105</v>
      </c>
      <c r="E4914" s="59">
        <v>42.25</v>
      </c>
    </row>
    <row r="4915" spans="1:5" ht="15" x14ac:dyDescent="0.35">
      <c r="A4915" s="58" t="s">
        <v>333</v>
      </c>
      <c r="B4915" s="58" t="s">
        <v>176</v>
      </c>
      <c r="C4915" s="58">
        <v>3</v>
      </c>
      <c r="D4915" s="58">
        <v>106</v>
      </c>
      <c r="E4915" s="59">
        <v>42.25</v>
      </c>
    </row>
    <row r="4916" spans="1:5" ht="15" x14ac:dyDescent="0.35">
      <c r="A4916" s="58" t="s">
        <v>333</v>
      </c>
      <c r="B4916" s="58" t="s">
        <v>176</v>
      </c>
      <c r="C4916" s="58">
        <v>4</v>
      </c>
      <c r="D4916" s="58">
        <v>107</v>
      </c>
      <c r="E4916" s="59">
        <v>42.25</v>
      </c>
    </row>
    <row r="4917" spans="1:5" ht="15" x14ac:dyDescent="0.35">
      <c r="A4917" s="58" t="s">
        <v>333</v>
      </c>
      <c r="B4917" s="58" t="s">
        <v>176</v>
      </c>
      <c r="C4917" s="58">
        <v>5</v>
      </c>
      <c r="D4917" s="58">
        <v>108</v>
      </c>
      <c r="E4917" s="59">
        <v>42.25</v>
      </c>
    </row>
    <row r="4918" spans="1:5" ht="15" x14ac:dyDescent="0.35">
      <c r="A4918" s="58" t="s">
        <v>333</v>
      </c>
      <c r="B4918" s="58" t="s">
        <v>176</v>
      </c>
      <c r="C4918" s="58">
        <v>6</v>
      </c>
      <c r="D4918" s="58">
        <v>109</v>
      </c>
      <c r="E4918" s="59">
        <v>42.25</v>
      </c>
    </row>
    <row r="4919" spans="1:5" ht="15" x14ac:dyDescent="0.35">
      <c r="A4919" s="58" t="s">
        <v>333</v>
      </c>
      <c r="B4919" s="58" t="s">
        <v>176</v>
      </c>
      <c r="C4919" s="58">
        <v>7</v>
      </c>
      <c r="D4919" s="58">
        <v>110</v>
      </c>
      <c r="E4919" s="59">
        <v>42.25</v>
      </c>
    </row>
    <row r="4920" spans="1:5" ht="15" x14ac:dyDescent="0.35">
      <c r="A4920" s="58" t="s">
        <v>333</v>
      </c>
      <c r="B4920" s="58" t="s">
        <v>176</v>
      </c>
      <c r="C4920" s="58">
        <v>8</v>
      </c>
      <c r="D4920" s="58">
        <v>111</v>
      </c>
      <c r="E4920" s="59">
        <v>42.25</v>
      </c>
    </row>
    <row r="4921" spans="1:5" ht="15" x14ac:dyDescent="0.35">
      <c r="A4921" s="58" t="s">
        <v>333</v>
      </c>
      <c r="B4921" s="58" t="s">
        <v>176</v>
      </c>
      <c r="C4921" s="58">
        <v>9</v>
      </c>
      <c r="D4921" s="58">
        <v>112</v>
      </c>
      <c r="E4921" s="59">
        <v>42.25</v>
      </c>
    </row>
    <row r="4922" spans="1:5" ht="15" x14ac:dyDescent="0.35">
      <c r="A4922" s="58" t="s">
        <v>333</v>
      </c>
      <c r="B4922" s="58" t="s">
        <v>176</v>
      </c>
      <c r="C4922" s="58">
        <v>10</v>
      </c>
      <c r="D4922" s="58">
        <v>113</v>
      </c>
      <c r="E4922" s="59">
        <v>42.25</v>
      </c>
    </row>
    <row r="4923" spans="1:5" ht="15" x14ac:dyDescent="0.35">
      <c r="A4923" s="58" t="s">
        <v>333</v>
      </c>
      <c r="B4923" s="58" t="s">
        <v>176</v>
      </c>
      <c r="C4923" s="58">
        <v>11</v>
      </c>
      <c r="D4923" s="58">
        <v>114</v>
      </c>
      <c r="E4923" s="59">
        <v>42.25</v>
      </c>
    </row>
    <row r="4924" spans="1:5" ht="15" x14ac:dyDescent="0.35">
      <c r="A4924" s="58" t="s">
        <v>333</v>
      </c>
      <c r="B4924" s="58" t="s">
        <v>176</v>
      </c>
      <c r="C4924" s="58">
        <v>12</v>
      </c>
      <c r="D4924" s="58">
        <v>115</v>
      </c>
      <c r="E4924" s="59">
        <v>42.25</v>
      </c>
    </row>
    <row r="4925" spans="1:5" ht="15" x14ac:dyDescent="0.35">
      <c r="A4925" s="58" t="s">
        <v>333</v>
      </c>
      <c r="B4925" s="58" t="s">
        <v>172</v>
      </c>
      <c r="C4925" s="58">
        <v>1</v>
      </c>
      <c r="D4925" s="58">
        <v>104</v>
      </c>
      <c r="E4925" s="59">
        <v>20</v>
      </c>
    </row>
    <row r="4926" spans="1:5" ht="15" x14ac:dyDescent="0.35">
      <c r="A4926" s="58" t="s">
        <v>333</v>
      </c>
      <c r="B4926" s="58" t="s">
        <v>172</v>
      </c>
      <c r="C4926" s="58">
        <v>2</v>
      </c>
      <c r="D4926" s="58">
        <v>105</v>
      </c>
      <c r="E4926" s="59">
        <v>20</v>
      </c>
    </row>
    <row r="4927" spans="1:5" ht="15" x14ac:dyDescent="0.35">
      <c r="A4927" s="58" t="s">
        <v>333</v>
      </c>
      <c r="B4927" s="58" t="s">
        <v>172</v>
      </c>
      <c r="C4927" s="58">
        <v>3</v>
      </c>
      <c r="D4927" s="58">
        <v>106</v>
      </c>
      <c r="E4927" s="59">
        <v>20</v>
      </c>
    </row>
    <row r="4928" spans="1:5" ht="15" x14ac:dyDescent="0.35">
      <c r="A4928" s="58" t="s">
        <v>333</v>
      </c>
      <c r="B4928" s="58" t="s">
        <v>172</v>
      </c>
      <c r="C4928" s="58">
        <v>4</v>
      </c>
      <c r="D4928" s="58">
        <v>107</v>
      </c>
      <c r="E4928" s="59">
        <v>20</v>
      </c>
    </row>
    <row r="4929" spans="1:5" ht="15" x14ac:dyDescent="0.35">
      <c r="A4929" s="58" t="s">
        <v>333</v>
      </c>
      <c r="B4929" s="58" t="s">
        <v>172</v>
      </c>
      <c r="C4929" s="58">
        <v>5</v>
      </c>
      <c r="D4929" s="58">
        <v>108</v>
      </c>
      <c r="E4929" s="59">
        <v>20</v>
      </c>
    </row>
    <row r="4930" spans="1:5" ht="15" x14ac:dyDescent="0.35">
      <c r="A4930" s="58" t="s">
        <v>333</v>
      </c>
      <c r="B4930" s="58" t="s">
        <v>172</v>
      </c>
      <c r="C4930" s="58">
        <v>6</v>
      </c>
      <c r="D4930" s="58">
        <v>109</v>
      </c>
      <c r="E4930" s="59">
        <v>20</v>
      </c>
    </row>
    <row r="4931" spans="1:5" ht="15" x14ac:dyDescent="0.35">
      <c r="A4931" s="58" t="s">
        <v>333</v>
      </c>
      <c r="B4931" s="58" t="s">
        <v>172</v>
      </c>
      <c r="C4931" s="58">
        <v>7</v>
      </c>
      <c r="D4931" s="58">
        <v>110</v>
      </c>
      <c r="E4931" s="59">
        <v>20</v>
      </c>
    </row>
    <row r="4932" spans="1:5" ht="15" x14ac:dyDescent="0.35">
      <c r="A4932" s="58" t="s">
        <v>333</v>
      </c>
      <c r="B4932" s="58" t="s">
        <v>172</v>
      </c>
      <c r="C4932" s="58">
        <v>8</v>
      </c>
      <c r="D4932" s="58">
        <v>111</v>
      </c>
      <c r="E4932" s="59">
        <v>20</v>
      </c>
    </row>
    <row r="4933" spans="1:5" ht="15" x14ac:dyDescent="0.35">
      <c r="A4933" s="58" t="s">
        <v>333</v>
      </c>
      <c r="B4933" s="58" t="s">
        <v>172</v>
      </c>
      <c r="C4933" s="58">
        <v>9</v>
      </c>
      <c r="D4933" s="58">
        <v>112</v>
      </c>
      <c r="E4933" s="59">
        <v>20</v>
      </c>
    </row>
    <row r="4934" spans="1:5" ht="15" x14ac:dyDescent="0.35">
      <c r="A4934" s="58" t="s">
        <v>333</v>
      </c>
      <c r="B4934" s="58" t="s">
        <v>172</v>
      </c>
      <c r="C4934" s="58">
        <v>10</v>
      </c>
      <c r="D4934" s="58">
        <v>113</v>
      </c>
      <c r="E4934" s="59">
        <v>20</v>
      </c>
    </row>
    <row r="4935" spans="1:5" ht="15" x14ac:dyDescent="0.35">
      <c r="A4935" s="58" t="s">
        <v>333</v>
      </c>
      <c r="B4935" s="58" t="s">
        <v>172</v>
      </c>
      <c r="C4935" s="58">
        <v>11</v>
      </c>
      <c r="D4935" s="58">
        <v>114</v>
      </c>
      <c r="E4935" s="59">
        <v>20</v>
      </c>
    </row>
    <row r="4936" spans="1:5" ht="15" x14ac:dyDescent="0.35">
      <c r="A4936" s="58" t="s">
        <v>333</v>
      </c>
      <c r="B4936" s="58" t="s">
        <v>172</v>
      </c>
      <c r="C4936" s="58">
        <v>12</v>
      </c>
      <c r="D4936" s="58">
        <v>115</v>
      </c>
      <c r="E4936" s="59">
        <v>20</v>
      </c>
    </row>
    <row r="4937" spans="1:5" ht="15" x14ac:dyDescent="0.35">
      <c r="A4937" s="58" t="s">
        <v>333</v>
      </c>
      <c r="B4937" s="58" t="s">
        <v>180</v>
      </c>
      <c r="C4937" s="58">
        <v>1</v>
      </c>
      <c r="D4937" s="58">
        <v>104</v>
      </c>
      <c r="E4937" s="59">
        <v>30.200800000000001</v>
      </c>
    </row>
    <row r="4938" spans="1:5" ht="15" x14ac:dyDescent="0.35">
      <c r="A4938" s="58" t="s">
        <v>333</v>
      </c>
      <c r="B4938" s="58" t="s">
        <v>180</v>
      </c>
      <c r="C4938" s="58">
        <v>2</v>
      </c>
      <c r="D4938" s="58">
        <v>105</v>
      </c>
      <c r="E4938" s="59">
        <v>30.200800000000001</v>
      </c>
    </row>
    <row r="4939" spans="1:5" ht="15" x14ac:dyDescent="0.35">
      <c r="A4939" s="58" t="s">
        <v>333</v>
      </c>
      <c r="B4939" s="58" t="s">
        <v>180</v>
      </c>
      <c r="C4939" s="58">
        <v>3</v>
      </c>
      <c r="D4939" s="58">
        <v>106</v>
      </c>
      <c r="E4939" s="59">
        <v>30.200800000000001</v>
      </c>
    </row>
    <row r="4940" spans="1:5" ht="15" x14ac:dyDescent="0.35">
      <c r="A4940" s="58" t="s">
        <v>333</v>
      </c>
      <c r="B4940" s="58" t="s">
        <v>180</v>
      </c>
      <c r="C4940" s="58">
        <v>4</v>
      </c>
      <c r="D4940" s="58">
        <v>107</v>
      </c>
      <c r="E4940" s="59">
        <v>30.200800000000001</v>
      </c>
    </row>
    <row r="4941" spans="1:5" ht="15" x14ac:dyDescent="0.35">
      <c r="A4941" s="58" t="s">
        <v>333</v>
      </c>
      <c r="B4941" s="58" t="s">
        <v>180</v>
      </c>
      <c r="C4941" s="58">
        <v>5</v>
      </c>
      <c r="D4941" s="58">
        <v>108</v>
      </c>
      <c r="E4941" s="59">
        <v>30.200800000000001</v>
      </c>
    </row>
    <row r="4942" spans="1:5" ht="15" x14ac:dyDescent="0.35">
      <c r="A4942" s="58" t="s">
        <v>333</v>
      </c>
      <c r="B4942" s="58" t="s">
        <v>180</v>
      </c>
      <c r="C4942" s="58">
        <v>6</v>
      </c>
      <c r="D4942" s="58">
        <v>109</v>
      </c>
      <c r="E4942" s="59">
        <v>30.200800000000001</v>
      </c>
    </row>
    <row r="4943" spans="1:5" ht="15" x14ac:dyDescent="0.35">
      <c r="A4943" s="58" t="s">
        <v>333</v>
      </c>
      <c r="B4943" s="58" t="s">
        <v>180</v>
      </c>
      <c r="C4943" s="58">
        <v>7</v>
      </c>
      <c r="D4943" s="58">
        <v>110</v>
      </c>
      <c r="E4943" s="59">
        <v>30.200800000000001</v>
      </c>
    </row>
    <row r="4944" spans="1:5" ht="15" x14ac:dyDescent="0.35">
      <c r="A4944" s="58" t="s">
        <v>333</v>
      </c>
      <c r="B4944" s="58" t="s">
        <v>180</v>
      </c>
      <c r="C4944" s="58">
        <v>8</v>
      </c>
      <c r="D4944" s="58">
        <v>111</v>
      </c>
      <c r="E4944" s="59">
        <v>30.200800000000001</v>
      </c>
    </row>
    <row r="4945" spans="1:5" ht="15" x14ac:dyDescent="0.35">
      <c r="A4945" s="58" t="s">
        <v>333</v>
      </c>
      <c r="B4945" s="58" t="s">
        <v>180</v>
      </c>
      <c r="C4945" s="58">
        <v>9</v>
      </c>
      <c r="D4945" s="58">
        <v>112</v>
      </c>
      <c r="E4945" s="59">
        <v>30.200800000000001</v>
      </c>
    </row>
    <row r="4946" spans="1:5" ht="15" x14ac:dyDescent="0.35">
      <c r="A4946" s="58" t="s">
        <v>333</v>
      </c>
      <c r="B4946" s="58" t="s">
        <v>180</v>
      </c>
      <c r="C4946" s="58">
        <v>10</v>
      </c>
      <c r="D4946" s="58">
        <v>113</v>
      </c>
      <c r="E4946" s="59">
        <v>30.200800000000001</v>
      </c>
    </row>
    <row r="4947" spans="1:5" ht="15" x14ac:dyDescent="0.35">
      <c r="A4947" s="58" t="s">
        <v>333</v>
      </c>
      <c r="B4947" s="58" t="s">
        <v>180</v>
      </c>
      <c r="C4947" s="58">
        <v>11</v>
      </c>
      <c r="D4947" s="58">
        <v>114</v>
      </c>
      <c r="E4947" s="59">
        <v>30.200800000000001</v>
      </c>
    </row>
    <row r="4948" spans="1:5" ht="15" x14ac:dyDescent="0.35">
      <c r="A4948" s="58" t="s">
        <v>333</v>
      </c>
      <c r="B4948" s="58" t="s">
        <v>180</v>
      </c>
      <c r="C4948" s="58">
        <v>12</v>
      </c>
      <c r="D4948" s="58">
        <v>115</v>
      </c>
      <c r="E4948" s="59">
        <v>30.200800000000001</v>
      </c>
    </row>
    <row r="4949" spans="1:5" ht="15" x14ac:dyDescent="0.35">
      <c r="A4949" s="58" t="s">
        <v>343</v>
      </c>
      <c r="B4949" s="58" t="s">
        <v>182</v>
      </c>
      <c r="C4949" s="58">
        <v>1</v>
      </c>
      <c r="D4949" s="58">
        <v>104</v>
      </c>
      <c r="E4949" s="59">
        <v>29.204899999999999</v>
      </c>
    </row>
    <row r="4950" spans="1:5" ht="15" x14ac:dyDescent="0.35">
      <c r="A4950" s="58" t="s">
        <v>343</v>
      </c>
      <c r="B4950" s="58" t="s">
        <v>182</v>
      </c>
      <c r="C4950" s="58">
        <v>2</v>
      </c>
      <c r="D4950" s="58">
        <v>105</v>
      </c>
      <c r="E4950" s="59">
        <v>0</v>
      </c>
    </row>
    <row r="4951" spans="1:5" ht="15" x14ac:dyDescent="0.35">
      <c r="A4951" s="58" t="s">
        <v>343</v>
      </c>
      <c r="B4951" s="58" t="s">
        <v>182</v>
      </c>
      <c r="C4951" s="58">
        <v>3</v>
      </c>
      <c r="D4951" s="58">
        <v>106</v>
      </c>
      <c r="E4951" s="59">
        <v>0</v>
      </c>
    </row>
    <row r="4952" spans="1:5" ht="15" x14ac:dyDescent="0.35">
      <c r="A4952" s="58" t="s">
        <v>343</v>
      </c>
      <c r="B4952" s="58" t="s">
        <v>182</v>
      </c>
      <c r="C4952" s="58">
        <v>4</v>
      </c>
      <c r="D4952" s="58">
        <v>107</v>
      </c>
      <c r="E4952" s="59">
        <v>0</v>
      </c>
    </row>
    <row r="4953" spans="1:5" ht="15" x14ac:dyDescent="0.35">
      <c r="A4953" s="58" t="s">
        <v>343</v>
      </c>
      <c r="B4953" s="58" t="s">
        <v>182</v>
      </c>
      <c r="C4953" s="58">
        <v>5</v>
      </c>
      <c r="D4953" s="58">
        <v>108</v>
      </c>
      <c r="E4953" s="59">
        <v>0</v>
      </c>
    </row>
    <row r="4954" spans="1:5" ht="15" x14ac:dyDescent="0.35">
      <c r="A4954" s="58" t="s">
        <v>343</v>
      </c>
      <c r="B4954" s="58" t="s">
        <v>182</v>
      </c>
      <c r="C4954" s="58">
        <v>6</v>
      </c>
      <c r="D4954" s="58">
        <v>109</v>
      </c>
      <c r="E4954" s="59">
        <v>0</v>
      </c>
    </row>
    <row r="4955" spans="1:5" ht="15" x14ac:dyDescent="0.35">
      <c r="A4955" s="58" t="s">
        <v>343</v>
      </c>
      <c r="B4955" s="58" t="s">
        <v>182</v>
      </c>
      <c r="C4955" s="58">
        <v>7</v>
      </c>
      <c r="D4955" s="58">
        <v>110</v>
      </c>
      <c r="E4955" s="59">
        <v>0</v>
      </c>
    </row>
    <row r="4956" spans="1:5" ht="15" x14ac:dyDescent="0.35">
      <c r="A4956" s="58" t="s">
        <v>343</v>
      </c>
      <c r="B4956" s="58" t="s">
        <v>182</v>
      </c>
      <c r="C4956" s="58">
        <v>8</v>
      </c>
      <c r="D4956" s="58">
        <v>111</v>
      </c>
      <c r="E4956" s="59">
        <v>0</v>
      </c>
    </row>
    <row r="4957" spans="1:5" ht="15" x14ac:dyDescent="0.35">
      <c r="A4957" s="58" t="s">
        <v>343</v>
      </c>
      <c r="B4957" s="58" t="s">
        <v>182</v>
      </c>
      <c r="C4957" s="58">
        <v>9</v>
      </c>
      <c r="D4957" s="58">
        <v>112</v>
      </c>
      <c r="E4957" s="59">
        <v>0</v>
      </c>
    </row>
    <row r="4958" spans="1:5" ht="15" x14ac:dyDescent="0.35">
      <c r="A4958" s="58" t="s">
        <v>343</v>
      </c>
      <c r="B4958" s="58" t="s">
        <v>182</v>
      </c>
      <c r="C4958" s="58">
        <v>10</v>
      </c>
      <c r="D4958" s="58">
        <v>113</v>
      </c>
      <c r="E4958" s="59">
        <v>0</v>
      </c>
    </row>
    <row r="4959" spans="1:5" ht="15" x14ac:dyDescent="0.35">
      <c r="A4959" s="58" t="s">
        <v>343</v>
      </c>
      <c r="B4959" s="58" t="s">
        <v>182</v>
      </c>
      <c r="C4959" s="58">
        <v>11</v>
      </c>
      <c r="D4959" s="58">
        <v>114</v>
      </c>
      <c r="E4959" s="59">
        <v>0</v>
      </c>
    </row>
    <row r="4960" spans="1:5" ht="15" x14ac:dyDescent="0.35">
      <c r="A4960" s="58" t="s">
        <v>343</v>
      </c>
      <c r="B4960" s="58" t="s">
        <v>182</v>
      </c>
      <c r="C4960" s="58">
        <v>12</v>
      </c>
      <c r="D4960" s="58">
        <v>115</v>
      </c>
      <c r="E4960" s="59">
        <v>0</v>
      </c>
    </row>
    <row r="4961" spans="1:5" ht="15" x14ac:dyDescent="0.35">
      <c r="A4961" s="58" t="s">
        <v>343</v>
      </c>
      <c r="B4961" s="58" t="s">
        <v>176</v>
      </c>
      <c r="C4961" s="58">
        <v>1</v>
      </c>
      <c r="D4961" s="58">
        <v>104</v>
      </c>
      <c r="E4961" s="59">
        <v>32.25</v>
      </c>
    </row>
    <row r="4962" spans="1:5" ht="15" x14ac:dyDescent="0.35">
      <c r="A4962" s="58" t="s">
        <v>343</v>
      </c>
      <c r="B4962" s="58" t="s">
        <v>176</v>
      </c>
      <c r="C4962" s="58">
        <v>2</v>
      </c>
      <c r="D4962" s="58">
        <v>105</v>
      </c>
      <c r="E4962" s="59">
        <v>32.25</v>
      </c>
    </row>
    <row r="4963" spans="1:5" ht="15" x14ac:dyDescent="0.35">
      <c r="A4963" s="58" t="s">
        <v>343</v>
      </c>
      <c r="B4963" s="58" t="s">
        <v>176</v>
      </c>
      <c r="C4963" s="58">
        <v>3</v>
      </c>
      <c r="D4963" s="58">
        <v>106</v>
      </c>
      <c r="E4963" s="59">
        <v>32.25</v>
      </c>
    </row>
    <row r="4964" spans="1:5" ht="15" x14ac:dyDescent="0.35">
      <c r="A4964" s="58" t="s">
        <v>343</v>
      </c>
      <c r="B4964" s="58" t="s">
        <v>176</v>
      </c>
      <c r="C4964" s="58">
        <v>4</v>
      </c>
      <c r="D4964" s="58">
        <v>107</v>
      </c>
      <c r="E4964" s="59">
        <v>32.25</v>
      </c>
    </row>
    <row r="4965" spans="1:5" ht="15" x14ac:dyDescent="0.35">
      <c r="A4965" s="58" t="s">
        <v>343</v>
      </c>
      <c r="B4965" s="58" t="s">
        <v>176</v>
      </c>
      <c r="C4965" s="58">
        <v>5</v>
      </c>
      <c r="D4965" s="58">
        <v>108</v>
      </c>
      <c r="E4965" s="59">
        <v>32.25</v>
      </c>
    </row>
    <row r="4966" spans="1:5" ht="15" x14ac:dyDescent="0.35">
      <c r="A4966" s="58" t="s">
        <v>343</v>
      </c>
      <c r="B4966" s="58" t="s">
        <v>176</v>
      </c>
      <c r="C4966" s="58">
        <v>6</v>
      </c>
      <c r="D4966" s="58">
        <v>109</v>
      </c>
      <c r="E4966" s="59">
        <v>32.25</v>
      </c>
    </row>
    <row r="4967" spans="1:5" ht="15" x14ac:dyDescent="0.35">
      <c r="A4967" s="58" t="s">
        <v>343</v>
      </c>
      <c r="B4967" s="58" t="s">
        <v>176</v>
      </c>
      <c r="C4967" s="58">
        <v>7</v>
      </c>
      <c r="D4967" s="58">
        <v>110</v>
      </c>
      <c r="E4967" s="59">
        <v>32.25</v>
      </c>
    </row>
    <row r="4968" spans="1:5" ht="15" x14ac:dyDescent="0.35">
      <c r="A4968" s="58" t="s">
        <v>343</v>
      </c>
      <c r="B4968" s="58" t="s">
        <v>176</v>
      </c>
      <c r="C4968" s="58">
        <v>8</v>
      </c>
      <c r="D4968" s="58">
        <v>111</v>
      </c>
      <c r="E4968" s="59">
        <v>32.25</v>
      </c>
    </row>
    <row r="4969" spans="1:5" ht="15" x14ac:dyDescent="0.35">
      <c r="A4969" s="58" t="s">
        <v>343</v>
      </c>
      <c r="B4969" s="58" t="s">
        <v>176</v>
      </c>
      <c r="C4969" s="58">
        <v>9</v>
      </c>
      <c r="D4969" s="58">
        <v>112</v>
      </c>
      <c r="E4969" s="59">
        <v>32.25</v>
      </c>
    </row>
    <row r="4970" spans="1:5" ht="15" x14ac:dyDescent="0.35">
      <c r="A4970" s="58" t="s">
        <v>343</v>
      </c>
      <c r="B4970" s="58" t="s">
        <v>176</v>
      </c>
      <c r="C4970" s="58">
        <v>10</v>
      </c>
      <c r="D4970" s="58">
        <v>113</v>
      </c>
      <c r="E4970" s="59">
        <v>32.25</v>
      </c>
    </row>
    <row r="4971" spans="1:5" ht="15" x14ac:dyDescent="0.35">
      <c r="A4971" s="58" t="s">
        <v>343</v>
      </c>
      <c r="B4971" s="58" t="s">
        <v>176</v>
      </c>
      <c r="C4971" s="58">
        <v>11</v>
      </c>
      <c r="D4971" s="58">
        <v>114</v>
      </c>
      <c r="E4971" s="59">
        <v>32.25</v>
      </c>
    </row>
    <row r="4972" spans="1:5" ht="15" x14ac:dyDescent="0.35">
      <c r="A4972" s="58" t="s">
        <v>343</v>
      </c>
      <c r="B4972" s="58" t="s">
        <v>176</v>
      </c>
      <c r="C4972" s="58">
        <v>12</v>
      </c>
      <c r="D4972" s="58">
        <v>115</v>
      </c>
      <c r="E4972" s="59">
        <v>32.25</v>
      </c>
    </row>
    <row r="4973" spans="1:5" ht="15" x14ac:dyDescent="0.35">
      <c r="A4973" s="58" t="s">
        <v>343</v>
      </c>
      <c r="B4973" s="58" t="s">
        <v>172</v>
      </c>
      <c r="C4973" s="58">
        <v>1</v>
      </c>
      <c r="D4973" s="58">
        <v>104</v>
      </c>
      <c r="E4973" s="59">
        <v>28</v>
      </c>
    </row>
    <row r="4974" spans="1:5" ht="15" x14ac:dyDescent="0.35">
      <c r="A4974" s="58" t="s">
        <v>343</v>
      </c>
      <c r="B4974" s="58" t="s">
        <v>172</v>
      </c>
      <c r="C4974" s="58">
        <v>2</v>
      </c>
      <c r="D4974" s="58">
        <v>105</v>
      </c>
      <c r="E4974" s="59">
        <v>28</v>
      </c>
    </row>
    <row r="4975" spans="1:5" ht="15" x14ac:dyDescent="0.35">
      <c r="A4975" s="58" t="s">
        <v>343</v>
      </c>
      <c r="B4975" s="58" t="s">
        <v>172</v>
      </c>
      <c r="C4975" s="58">
        <v>3</v>
      </c>
      <c r="D4975" s="58">
        <v>106</v>
      </c>
      <c r="E4975" s="59">
        <v>28</v>
      </c>
    </row>
    <row r="4976" spans="1:5" ht="15" x14ac:dyDescent="0.35">
      <c r="A4976" s="58" t="s">
        <v>343</v>
      </c>
      <c r="B4976" s="58" t="s">
        <v>172</v>
      </c>
      <c r="C4976" s="58">
        <v>4</v>
      </c>
      <c r="D4976" s="58">
        <v>107</v>
      </c>
      <c r="E4976" s="59">
        <v>28</v>
      </c>
    </row>
    <row r="4977" spans="1:5" ht="15" x14ac:dyDescent="0.35">
      <c r="A4977" s="58" t="s">
        <v>343</v>
      </c>
      <c r="B4977" s="58" t="s">
        <v>172</v>
      </c>
      <c r="C4977" s="58">
        <v>5</v>
      </c>
      <c r="D4977" s="58">
        <v>108</v>
      </c>
      <c r="E4977" s="59">
        <v>28</v>
      </c>
    </row>
    <row r="4978" spans="1:5" ht="15" x14ac:dyDescent="0.35">
      <c r="A4978" s="58" t="s">
        <v>343</v>
      </c>
      <c r="B4978" s="58" t="s">
        <v>172</v>
      </c>
      <c r="C4978" s="58">
        <v>6</v>
      </c>
      <c r="D4978" s="58">
        <v>109</v>
      </c>
      <c r="E4978" s="59">
        <v>28</v>
      </c>
    </row>
    <row r="4979" spans="1:5" ht="15" x14ac:dyDescent="0.35">
      <c r="A4979" s="58" t="s">
        <v>343</v>
      </c>
      <c r="B4979" s="58" t="s">
        <v>172</v>
      </c>
      <c r="C4979" s="58">
        <v>7</v>
      </c>
      <c r="D4979" s="58">
        <v>110</v>
      </c>
      <c r="E4979" s="59">
        <v>28</v>
      </c>
    </row>
    <row r="4980" spans="1:5" ht="15" x14ac:dyDescent="0.35">
      <c r="A4980" s="58" t="s">
        <v>343</v>
      </c>
      <c r="B4980" s="58" t="s">
        <v>172</v>
      </c>
      <c r="C4980" s="58">
        <v>8</v>
      </c>
      <c r="D4980" s="58">
        <v>111</v>
      </c>
      <c r="E4980" s="59">
        <v>28</v>
      </c>
    </row>
    <row r="4981" spans="1:5" ht="15" x14ac:dyDescent="0.35">
      <c r="A4981" s="58" t="s">
        <v>343</v>
      </c>
      <c r="B4981" s="58" t="s">
        <v>172</v>
      </c>
      <c r="C4981" s="58">
        <v>9</v>
      </c>
      <c r="D4981" s="58">
        <v>112</v>
      </c>
      <c r="E4981" s="59">
        <v>28</v>
      </c>
    </row>
    <row r="4982" spans="1:5" ht="15" x14ac:dyDescent="0.35">
      <c r="A4982" s="58" t="s">
        <v>343</v>
      </c>
      <c r="B4982" s="58" t="s">
        <v>172</v>
      </c>
      <c r="C4982" s="58">
        <v>10</v>
      </c>
      <c r="D4982" s="58">
        <v>113</v>
      </c>
      <c r="E4982" s="59">
        <v>28</v>
      </c>
    </row>
    <row r="4983" spans="1:5" ht="15" x14ac:dyDescent="0.35">
      <c r="A4983" s="58" t="s">
        <v>343</v>
      </c>
      <c r="B4983" s="58" t="s">
        <v>172</v>
      </c>
      <c r="C4983" s="58">
        <v>11</v>
      </c>
      <c r="D4983" s="58">
        <v>114</v>
      </c>
      <c r="E4983" s="59">
        <v>28</v>
      </c>
    </row>
    <row r="4984" spans="1:5" ht="15" x14ac:dyDescent="0.35">
      <c r="A4984" s="58" t="s">
        <v>343</v>
      </c>
      <c r="B4984" s="58" t="s">
        <v>172</v>
      </c>
      <c r="C4984" s="58">
        <v>12</v>
      </c>
      <c r="D4984" s="58">
        <v>115</v>
      </c>
      <c r="E4984" s="59">
        <v>28</v>
      </c>
    </row>
    <row r="4985" spans="1:5" ht="15" x14ac:dyDescent="0.35">
      <c r="A4985" s="58" t="s">
        <v>343</v>
      </c>
      <c r="B4985" s="58" t="s">
        <v>180</v>
      </c>
      <c r="C4985" s="58">
        <v>1</v>
      </c>
      <c r="D4985" s="58">
        <v>104</v>
      </c>
      <c r="E4985" s="59">
        <v>34.507800000000003</v>
      </c>
    </row>
    <row r="4986" spans="1:5" ht="15" x14ac:dyDescent="0.35">
      <c r="A4986" s="58" t="s">
        <v>343</v>
      </c>
      <c r="B4986" s="58" t="s">
        <v>180</v>
      </c>
      <c r="C4986" s="58">
        <v>2</v>
      </c>
      <c r="D4986" s="58">
        <v>105</v>
      </c>
      <c r="E4986" s="59">
        <v>34.507800000000003</v>
      </c>
    </row>
    <row r="4987" spans="1:5" ht="15" x14ac:dyDescent="0.35">
      <c r="A4987" s="58" t="s">
        <v>343</v>
      </c>
      <c r="B4987" s="58" t="s">
        <v>180</v>
      </c>
      <c r="C4987" s="58">
        <v>3</v>
      </c>
      <c r="D4987" s="58">
        <v>106</v>
      </c>
      <c r="E4987" s="59">
        <v>34.507800000000003</v>
      </c>
    </row>
    <row r="4988" spans="1:5" ht="15" x14ac:dyDescent="0.35">
      <c r="A4988" s="58" t="s">
        <v>343</v>
      </c>
      <c r="B4988" s="58" t="s">
        <v>180</v>
      </c>
      <c r="C4988" s="58">
        <v>4</v>
      </c>
      <c r="D4988" s="58">
        <v>107</v>
      </c>
      <c r="E4988" s="59">
        <v>34.507800000000003</v>
      </c>
    </row>
    <row r="4989" spans="1:5" ht="15" x14ac:dyDescent="0.35">
      <c r="A4989" s="58" t="s">
        <v>343</v>
      </c>
      <c r="B4989" s="58" t="s">
        <v>180</v>
      </c>
      <c r="C4989" s="58">
        <v>5</v>
      </c>
      <c r="D4989" s="58">
        <v>108</v>
      </c>
      <c r="E4989" s="59">
        <v>34.507800000000003</v>
      </c>
    </row>
    <row r="4990" spans="1:5" ht="15" x14ac:dyDescent="0.35">
      <c r="A4990" s="58" t="s">
        <v>343</v>
      </c>
      <c r="B4990" s="58" t="s">
        <v>180</v>
      </c>
      <c r="C4990" s="58">
        <v>6</v>
      </c>
      <c r="D4990" s="58">
        <v>109</v>
      </c>
      <c r="E4990" s="59">
        <v>34.507800000000003</v>
      </c>
    </row>
    <row r="4991" spans="1:5" ht="15" x14ac:dyDescent="0.35">
      <c r="A4991" s="58" t="s">
        <v>343</v>
      </c>
      <c r="B4991" s="58" t="s">
        <v>180</v>
      </c>
      <c r="C4991" s="58">
        <v>7</v>
      </c>
      <c r="D4991" s="58">
        <v>110</v>
      </c>
      <c r="E4991" s="59">
        <v>34.507800000000003</v>
      </c>
    </row>
    <row r="4992" spans="1:5" ht="15" x14ac:dyDescent="0.35">
      <c r="A4992" s="58" t="s">
        <v>343</v>
      </c>
      <c r="B4992" s="58" t="s">
        <v>180</v>
      </c>
      <c r="C4992" s="58">
        <v>8</v>
      </c>
      <c r="D4992" s="58">
        <v>111</v>
      </c>
      <c r="E4992" s="59">
        <v>34.507800000000003</v>
      </c>
    </row>
    <row r="4993" spans="1:5" ht="15" x14ac:dyDescent="0.35">
      <c r="A4993" s="58" t="s">
        <v>343</v>
      </c>
      <c r="B4993" s="58" t="s">
        <v>180</v>
      </c>
      <c r="C4993" s="58">
        <v>9</v>
      </c>
      <c r="D4993" s="58">
        <v>112</v>
      </c>
      <c r="E4993" s="59">
        <v>34.507800000000003</v>
      </c>
    </row>
    <row r="4994" spans="1:5" ht="15" x14ac:dyDescent="0.35">
      <c r="A4994" s="58" t="s">
        <v>343</v>
      </c>
      <c r="B4994" s="58" t="s">
        <v>180</v>
      </c>
      <c r="C4994" s="58">
        <v>10</v>
      </c>
      <c r="D4994" s="58">
        <v>113</v>
      </c>
      <c r="E4994" s="59">
        <v>34.507800000000003</v>
      </c>
    </row>
    <row r="4995" spans="1:5" ht="15" x14ac:dyDescent="0.35">
      <c r="A4995" s="58" t="s">
        <v>343</v>
      </c>
      <c r="B4995" s="58" t="s">
        <v>180</v>
      </c>
      <c r="C4995" s="58">
        <v>11</v>
      </c>
      <c r="D4995" s="58">
        <v>114</v>
      </c>
      <c r="E4995" s="59">
        <v>34.507800000000003</v>
      </c>
    </row>
    <row r="4996" spans="1:5" ht="15" x14ac:dyDescent="0.35">
      <c r="A4996" s="58" t="s">
        <v>343</v>
      </c>
      <c r="B4996" s="58" t="s">
        <v>180</v>
      </c>
      <c r="C4996" s="58">
        <v>12</v>
      </c>
      <c r="D4996" s="58">
        <v>115</v>
      </c>
      <c r="E4996" s="59">
        <v>34.507800000000003</v>
      </c>
    </row>
    <row r="4997" spans="1:5" ht="15" x14ac:dyDescent="0.35">
      <c r="A4997" s="58" t="s">
        <v>270</v>
      </c>
      <c r="B4997" s="58" t="s">
        <v>182</v>
      </c>
      <c r="C4997" s="58">
        <v>1</v>
      </c>
      <c r="D4997" s="58">
        <v>104</v>
      </c>
      <c r="E4997" s="59">
        <v>322.4502</v>
      </c>
    </row>
    <row r="4998" spans="1:5" ht="15" x14ac:dyDescent="0.35">
      <c r="A4998" s="58" t="s">
        <v>270</v>
      </c>
      <c r="B4998" s="58" t="s">
        <v>182</v>
      </c>
      <c r="C4998" s="58">
        <v>2</v>
      </c>
      <c r="D4998" s="58">
        <v>105</v>
      </c>
      <c r="E4998" s="59">
        <v>0</v>
      </c>
    </row>
    <row r="4999" spans="1:5" ht="15" x14ac:dyDescent="0.35">
      <c r="A4999" s="58" t="s">
        <v>270</v>
      </c>
      <c r="B4999" s="58" t="s">
        <v>182</v>
      </c>
      <c r="C4999" s="58">
        <v>3</v>
      </c>
      <c r="D4999" s="58">
        <v>106</v>
      </c>
      <c r="E4999" s="59">
        <v>0</v>
      </c>
    </row>
    <row r="5000" spans="1:5" ht="15" x14ac:dyDescent="0.35">
      <c r="A5000" s="58" t="s">
        <v>270</v>
      </c>
      <c r="B5000" s="58" t="s">
        <v>182</v>
      </c>
      <c r="C5000" s="58">
        <v>4</v>
      </c>
      <c r="D5000" s="58">
        <v>107</v>
      </c>
      <c r="E5000" s="59">
        <v>0</v>
      </c>
    </row>
    <row r="5001" spans="1:5" ht="15" x14ac:dyDescent="0.35">
      <c r="A5001" s="58" t="s">
        <v>270</v>
      </c>
      <c r="B5001" s="58" t="s">
        <v>182</v>
      </c>
      <c r="C5001" s="58">
        <v>5</v>
      </c>
      <c r="D5001" s="58">
        <v>108</v>
      </c>
      <c r="E5001" s="59">
        <v>0</v>
      </c>
    </row>
    <row r="5002" spans="1:5" ht="15" x14ac:dyDescent="0.35">
      <c r="A5002" s="58" t="s">
        <v>270</v>
      </c>
      <c r="B5002" s="58" t="s">
        <v>182</v>
      </c>
      <c r="C5002" s="58">
        <v>6</v>
      </c>
      <c r="D5002" s="58">
        <v>109</v>
      </c>
      <c r="E5002" s="59">
        <v>0</v>
      </c>
    </row>
    <row r="5003" spans="1:5" ht="15" x14ac:dyDescent="0.35">
      <c r="A5003" s="58" t="s">
        <v>270</v>
      </c>
      <c r="B5003" s="58" t="s">
        <v>182</v>
      </c>
      <c r="C5003" s="58">
        <v>7</v>
      </c>
      <c r="D5003" s="58">
        <v>110</v>
      </c>
      <c r="E5003" s="59">
        <v>0</v>
      </c>
    </row>
    <row r="5004" spans="1:5" ht="15" x14ac:dyDescent="0.35">
      <c r="A5004" s="58" t="s">
        <v>270</v>
      </c>
      <c r="B5004" s="58" t="s">
        <v>182</v>
      </c>
      <c r="C5004" s="58">
        <v>8</v>
      </c>
      <c r="D5004" s="58">
        <v>111</v>
      </c>
      <c r="E5004" s="59">
        <v>0</v>
      </c>
    </row>
    <row r="5005" spans="1:5" ht="15" x14ac:dyDescent="0.35">
      <c r="A5005" s="58" t="s">
        <v>270</v>
      </c>
      <c r="B5005" s="58" t="s">
        <v>182</v>
      </c>
      <c r="C5005" s="58">
        <v>9</v>
      </c>
      <c r="D5005" s="58">
        <v>112</v>
      </c>
      <c r="E5005" s="59">
        <v>0</v>
      </c>
    </row>
    <row r="5006" spans="1:5" ht="15" x14ac:dyDescent="0.35">
      <c r="A5006" s="58" t="s">
        <v>270</v>
      </c>
      <c r="B5006" s="58" t="s">
        <v>182</v>
      </c>
      <c r="C5006" s="58">
        <v>10</v>
      </c>
      <c r="D5006" s="58">
        <v>113</v>
      </c>
      <c r="E5006" s="59">
        <v>0</v>
      </c>
    </row>
    <row r="5007" spans="1:5" ht="15" x14ac:dyDescent="0.35">
      <c r="A5007" s="58" t="s">
        <v>270</v>
      </c>
      <c r="B5007" s="58" t="s">
        <v>182</v>
      </c>
      <c r="C5007" s="58">
        <v>11</v>
      </c>
      <c r="D5007" s="58">
        <v>114</v>
      </c>
      <c r="E5007" s="59">
        <v>0</v>
      </c>
    </row>
    <row r="5008" spans="1:5" ht="15" x14ac:dyDescent="0.35">
      <c r="A5008" s="58" t="s">
        <v>270</v>
      </c>
      <c r="B5008" s="58" t="s">
        <v>182</v>
      </c>
      <c r="C5008" s="58">
        <v>12</v>
      </c>
      <c r="D5008" s="58">
        <v>115</v>
      </c>
      <c r="E5008" s="59">
        <v>0</v>
      </c>
    </row>
    <row r="5009" spans="1:5" ht="15" x14ac:dyDescent="0.35">
      <c r="A5009" s="58" t="s">
        <v>270</v>
      </c>
      <c r="B5009" s="58" t="s">
        <v>176</v>
      </c>
      <c r="C5009" s="58">
        <v>1</v>
      </c>
      <c r="D5009" s="58">
        <v>104</v>
      </c>
      <c r="E5009" s="59">
        <v>288.25</v>
      </c>
    </row>
    <row r="5010" spans="1:5" ht="15" x14ac:dyDescent="0.35">
      <c r="A5010" s="58" t="s">
        <v>270</v>
      </c>
      <c r="B5010" s="58" t="s">
        <v>176</v>
      </c>
      <c r="C5010" s="58">
        <v>2</v>
      </c>
      <c r="D5010" s="58">
        <v>105</v>
      </c>
      <c r="E5010" s="59">
        <v>288.25</v>
      </c>
    </row>
    <row r="5011" spans="1:5" ht="15" x14ac:dyDescent="0.35">
      <c r="A5011" s="58" t="s">
        <v>270</v>
      </c>
      <c r="B5011" s="58" t="s">
        <v>176</v>
      </c>
      <c r="C5011" s="58">
        <v>3</v>
      </c>
      <c r="D5011" s="58">
        <v>106</v>
      </c>
      <c r="E5011" s="59">
        <v>288.25</v>
      </c>
    </row>
    <row r="5012" spans="1:5" ht="15" x14ac:dyDescent="0.35">
      <c r="A5012" s="58" t="s">
        <v>270</v>
      </c>
      <c r="B5012" s="58" t="s">
        <v>176</v>
      </c>
      <c r="C5012" s="58">
        <v>4</v>
      </c>
      <c r="D5012" s="58">
        <v>107</v>
      </c>
      <c r="E5012" s="59">
        <v>288.25</v>
      </c>
    </row>
    <row r="5013" spans="1:5" ht="15" x14ac:dyDescent="0.35">
      <c r="A5013" s="58" t="s">
        <v>270</v>
      </c>
      <c r="B5013" s="58" t="s">
        <v>176</v>
      </c>
      <c r="C5013" s="58">
        <v>5</v>
      </c>
      <c r="D5013" s="58">
        <v>108</v>
      </c>
      <c r="E5013" s="59">
        <v>288.25</v>
      </c>
    </row>
    <row r="5014" spans="1:5" ht="15" x14ac:dyDescent="0.35">
      <c r="A5014" s="58" t="s">
        <v>270</v>
      </c>
      <c r="B5014" s="58" t="s">
        <v>176</v>
      </c>
      <c r="C5014" s="58">
        <v>6</v>
      </c>
      <c r="D5014" s="58">
        <v>109</v>
      </c>
      <c r="E5014" s="59">
        <v>288.25</v>
      </c>
    </row>
    <row r="5015" spans="1:5" ht="15" x14ac:dyDescent="0.35">
      <c r="A5015" s="58" t="s">
        <v>270</v>
      </c>
      <c r="B5015" s="58" t="s">
        <v>176</v>
      </c>
      <c r="C5015" s="58">
        <v>7</v>
      </c>
      <c r="D5015" s="58">
        <v>110</v>
      </c>
      <c r="E5015" s="59">
        <v>288.25</v>
      </c>
    </row>
    <row r="5016" spans="1:5" ht="15" x14ac:dyDescent="0.35">
      <c r="A5016" s="58" t="s">
        <v>270</v>
      </c>
      <c r="B5016" s="58" t="s">
        <v>176</v>
      </c>
      <c r="C5016" s="58">
        <v>8</v>
      </c>
      <c r="D5016" s="58">
        <v>111</v>
      </c>
      <c r="E5016" s="59">
        <v>288.25</v>
      </c>
    </row>
    <row r="5017" spans="1:5" ht="15" x14ac:dyDescent="0.35">
      <c r="A5017" s="58" t="s">
        <v>270</v>
      </c>
      <c r="B5017" s="58" t="s">
        <v>176</v>
      </c>
      <c r="C5017" s="58">
        <v>9</v>
      </c>
      <c r="D5017" s="58">
        <v>112</v>
      </c>
      <c r="E5017" s="59">
        <v>288.25</v>
      </c>
    </row>
    <row r="5018" spans="1:5" ht="15" x14ac:dyDescent="0.35">
      <c r="A5018" s="58" t="s">
        <v>270</v>
      </c>
      <c r="B5018" s="58" t="s">
        <v>176</v>
      </c>
      <c r="C5018" s="58">
        <v>10</v>
      </c>
      <c r="D5018" s="58">
        <v>113</v>
      </c>
      <c r="E5018" s="59">
        <v>288.25</v>
      </c>
    </row>
    <row r="5019" spans="1:5" ht="15" x14ac:dyDescent="0.35">
      <c r="A5019" s="58" t="s">
        <v>270</v>
      </c>
      <c r="B5019" s="58" t="s">
        <v>176</v>
      </c>
      <c r="C5019" s="58">
        <v>11</v>
      </c>
      <c r="D5019" s="58">
        <v>114</v>
      </c>
      <c r="E5019" s="59">
        <v>288.25</v>
      </c>
    </row>
    <row r="5020" spans="1:5" ht="15" x14ac:dyDescent="0.35">
      <c r="A5020" s="58" t="s">
        <v>270</v>
      </c>
      <c r="B5020" s="58" t="s">
        <v>176</v>
      </c>
      <c r="C5020" s="58">
        <v>12</v>
      </c>
      <c r="D5020" s="58">
        <v>115</v>
      </c>
      <c r="E5020" s="59">
        <v>288.25</v>
      </c>
    </row>
    <row r="5021" spans="1:5" ht="15" x14ac:dyDescent="0.35">
      <c r="A5021" s="58" t="s">
        <v>270</v>
      </c>
      <c r="B5021" s="58" t="s">
        <v>172</v>
      </c>
      <c r="C5021" s="58">
        <v>1</v>
      </c>
      <c r="D5021" s="58">
        <v>104</v>
      </c>
      <c r="E5021" s="59">
        <v>342</v>
      </c>
    </row>
    <row r="5022" spans="1:5" ht="15" x14ac:dyDescent="0.35">
      <c r="A5022" s="58" t="s">
        <v>270</v>
      </c>
      <c r="B5022" s="58" t="s">
        <v>172</v>
      </c>
      <c r="C5022" s="58">
        <v>2</v>
      </c>
      <c r="D5022" s="58">
        <v>105</v>
      </c>
      <c r="E5022" s="59">
        <v>342</v>
      </c>
    </row>
    <row r="5023" spans="1:5" ht="15" x14ac:dyDescent="0.35">
      <c r="A5023" s="58" t="s">
        <v>270</v>
      </c>
      <c r="B5023" s="58" t="s">
        <v>172</v>
      </c>
      <c r="C5023" s="58">
        <v>3</v>
      </c>
      <c r="D5023" s="58">
        <v>106</v>
      </c>
      <c r="E5023" s="59">
        <v>342</v>
      </c>
    </row>
    <row r="5024" spans="1:5" ht="15" x14ac:dyDescent="0.35">
      <c r="A5024" s="58" t="s">
        <v>270</v>
      </c>
      <c r="B5024" s="58" t="s">
        <v>172</v>
      </c>
      <c r="C5024" s="58">
        <v>4</v>
      </c>
      <c r="D5024" s="58">
        <v>107</v>
      </c>
      <c r="E5024" s="59">
        <v>342</v>
      </c>
    </row>
    <row r="5025" spans="1:5" ht="15" x14ac:dyDescent="0.35">
      <c r="A5025" s="58" t="s">
        <v>270</v>
      </c>
      <c r="B5025" s="58" t="s">
        <v>172</v>
      </c>
      <c r="C5025" s="58">
        <v>5</v>
      </c>
      <c r="D5025" s="58">
        <v>108</v>
      </c>
      <c r="E5025" s="59">
        <v>342</v>
      </c>
    </row>
    <row r="5026" spans="1:5" ht="15" x14ac:dyDescent="0.35">
      <c r="A5026" s="58" t="s">
        <v>270</v>
      </c>
      <c r="B5026" s="58" t="s">
        <v>172</v>
      </c>
      <c r="C5026" s="58">
        <v>6</v>
      </c>
      <c r="D5026" s="58">
        <v>109</v>
      </c>
      <c r="E5026" s="59">
        <v>342</v>
      </c>
    </row>
    <row r="5027" spans="1:5" ht="15" x14ac:dyDescent="0.35">
      <c r="A5027" s="58" t="s">
        <v>270</v>
      </c>
      <c r="B5027" s="58" t="s">
        <v>172</v>
      </c>
      <c r="C5027" s="58">
        <v>7</v>
      </c>
      <c r="D5027" s="58">
        <v>110</v>
      </c>
      <c r="E5027" s="59">
        <v>342</v>
      </c>
    </row>
    <row r="5028" spans="1:5" ht="15" x14ac:dyDescent="0.35">
      <c r="A5028" s="58" t="s">
        <v>270</v>
      </c>
      <c r="B5028" s="58" t="s">
        <v>172</v>
      </c>
      <c r="C5028" s="58">
        <v>8</v>
      </c>
      <c r="D5028" s="58">
        <v>111</v>
      </c>
      <c r="E5028" s="59">
        <v>342</v>
      </c>
    </row>
    <row r="5029" spans="1:5" ht="15" x14ac:dyDescent="0.35">
      <c r="A5029" s="58" t="s">
        <v>270</v>
      </c>
      <c r="B5029" s="58" t="s">
        <v>172</v>
      </c>
      <c r="C5029" s="58">
        <v>9</v>
      </c>
      <c r="D5029" s="58">
        <v>112</v>
      </c>
      <c r="E5029" s="59">
        <v>342</v>
      </c>
    </row>
    <row r="5030" spans="1:5" ht="15" x14ac:dyDescent="0.35">
      <c r="A5030" s="58" t="s">
        <v>270</v>
      </c>
      <c r="B5030" s="58" t="s">
        <v>172</v>
      </c>
      <c r="C5030" s="58">
        <v>10</v>
      </c>
      <c r="D5030" s="58">
        <v>113</v>
      </c>
      <c r="E5030" s="59">
        <v>342</v>
      </c>
    </row>
    <row r="5031" spans="1:5" ht="15" x14ac:dyDescent="0.35">
      <c r="A5031" s="58" t="s">
        <v>270</v>
      </c>
      <c r="B5031" s="58" t="s">
        <v>172</v>
      </c>
      <c r="C5031" s="58">
        <v>11</v>
      </c>
      <c r="D5031" s="58">
        <v>114</v>
      </c>
      <c r="E5031" s="59">
        <v>342</v>
      </c>
    </row>
    <row r="5032" spans="1:5" ht="15" x14ac:dyDescent="0.35">
      <c r="A5032" s="58" t="s">
        <v>270</v>
      </c>
      <c r="B5032" s="58" t="s">
        <v>172</v>
      </c>
      <c r="C5032" s="58">
        <v>12</v>
      </c>
      <c r="D5032" s="58">
        <v>115</v>
      </c>
      <c r="E5032" s="59">
        <v>342</v>
      </c>
    </row>
    <row r="5033" spans="1:5" ht="15" x14ac:dyDescent="0.35">
      <c r="A5033" s="58" t="s">
        <v>270</v>
      </c>
      <c r="B5033" s="58" t="s">
        <v>180</v>
      </c>
      <c r="C5033" s="58">
        <v>1</v>
      </c>
      <c r="D5033" s="58">
        <v>104</v>
      </c>
      <c r="E5033" s="59">
        <v>295.62939999999998</v>
      </c>
    </row>
    <row r="5034" spans="1:5" ht="15" x14ac:dyDescent="0.35">
      <c r="A5034" s="58" t="s">
        <v>270</v>
      </c>
      <c r="B5034" s="58" t="s">
        <v>180</v>
      </c>
      <c r="C5034" s="58">
        <v>2</v>
      </c>
      <c r="D5034" s="58">
        <v>105</v>
      </c>
      <c r="E5034" s="59">
        <v>295.62939999999998</v>
      </c>
    </row>
    <row r="5035" spans="1:5" ht="15" x14ac:dyDescent="0.35">
      <c r="A5035" s="58" t="s">
        <v>270</v>
      </c>
      <c r="B5035" s="58" t="s">
        <v>180</v>
      </c>
      <c r="C5035" s="58">
        <v>3</v>
      </c>
      <c r="D5035" s="58">
        <v>106</v>
      </c>
      <c r="E5035" s="59">
        <v>295.62939999999998</v>
      </c>
    </row>
    <row r="5036" spans="1:5" ht="15" x14ac:dyDescent="0.35">
      <c r="A5036" s="58" t="s">
        <v>270</v>
      </c>
      <c r="B5036" s="58" t="s">
        <v>180</v>
      </c>
      <c r="C5036" s="58">
        <v>4</v>
      </c>
      <c r="D5036" s="58">
        <v>107</v>
      </c>
      <c r="E5036" s="59">
        <v>295.62939999999998</v>
      </c>
    </row>
    <row r="5037" spans="1:5" ht="15" x14ac:dyDescent="0.35">
      <c r="A5037" s="58" t="s">
        <v>270</v>
      </c>
      <c r="B5037" s="58" t="s">
        <v>180</v>
      </c>
      <c r="C5037" s="58">
        <v>5</v>
      </c>
      <c r="D5037" s="58">
        <v>108</v>
      </c>
      <c r="E5037" s="59">
        <v>295.62939999999998</v>
      </c>
    </row>
    <row r="5038" spans="1:5" ht="15" x14ac:dyDescent="0.35">
      <c r="A5038" s="58" t="s">
        <v>270</v>
      </c>
      <c r="B5038" s="58" t="s">
        <v>180</v>
      </c>
      <c r="C5038" s="58">
        <v>6</v>
      </c>
      <c r="D5038" s="58">
        <v>109</v>
      </c>
      <c r="E5038" s="59">
        <v>295.62939999999998</v>
      </c>
    </row>
    <row r="5039" spans="1:5" ht="15" x14ac:dyDescent="0.35">
      <c r="A5039" s="58" t="s">
        <v>270</v>
      </c>
      <c r="B5039" s="58" t="s">
        <v>180</v>
      </c>
      <c r="C5039" s="58">
        <v>7</v>
      </c>
      <c r="D5039" s="58">
        <v>110</v>
      </c>
      <c r="E5039" s="59">
        <v>295.62939999999998</v>
      </c>
    </row>
    <row r="5040" spans="1:5" ht="15" x14ac:dyDescent="0.35">
      <c r="A5040" s="58" t="s">
        <v>270</v>
      </c>
      <c r="B5040" s="58" t="s">
        <v>180</v>
      </c>
      <c r="C5040" s="58">
        <v>8</v>
      </c>
      <c r="D5040" s="58">
        <v>111</v>
      </c>
      <c r="E5040" s="59">
        <v>295.62939999999998</v>
      </c>
    </row>
    <row r="5041" spans="1:5" ht="15" x14ac:dyDescent="0.35">
      <c r="A5041" s="58" t="s">
        <v>270</v>
      </c>
      <c r="B5041" s="58" t="s">
        <v>180</v>
      </c>
      <c r="C5041" s="58">
        <v>9</v>
      </c>
      <c r="D5041" s="58">
        <v>112</v>
      </c>
      <c r="E5041" s="59">
        <v>295.62939999999998</v>
      </c>
    </row>
    <row r="5042" spans="1:5" ht="15" x14ac:dyDescent="0.35">
      <c r="A5042" s="58" t="s">
        <v>270</v>
      </c>
      <c r="B5042" s="58" t="s">
        <v>180</v>
      </c>
      <c r="C5042" s="58">
        <v>10</v>
      </c>
      <c r="D5042" s="58">
        <v>113</v>
      </c>
      <c r="E5042" s="59">
        <v>295.62939999999998</v>
      </c>
    </row>
    <row r="5043" spans="1:5" ht="15" x14ac:dyDescent="0.35">
      <c r="A5043" s="58" t="s">
        <v>270</v>
      </c>
      <c r="B5043" s="58" t="s">
        <v>180</v>
      </c>
      <c r="C5043" s="58">
        <v>11</v>
      </c>
      <c r="D5043" s="58">
        <v>114</v>
      </c>
      <c r="E5043" s="59">
        <v>295.62939999999998</v>
      </c>
    </row>
    <row r="5044" spans="1:5" ht="15" x14ac:dyDescent="0.35">
      <c r="A5044" s="58" t="s">
        <v>270</v>
      </c>
      <c r="B5044" s="58" t="s">
        <v>180</v>
      </c>
      <c r="C5044" s="58">
        <v>12</v>
      </c>
      <c r="D5044" s="58">
        <v>115</v>
      </c>
      <c r="E5044" s="59">
        <v>295.62939999999998</v>
      </c>
    </row>
    <row r="5045" spans="1:5" ht="15" x14ac:dyDescent="0.35">
      <c r="A5045" s="58" t="s">
        <v>298</v>
      </c>
      <c r="B5045" s="58" t="s">
        <v>182</v>
      </c>
      <c r="C5045" s="58">
        <v>1</v>
      </c>
      <c r="D5045" s="58">
        <v>104</v>
      </c>
      <c r="E5045" s="59">
        <v>223.98609999999999</v>
      </c>
    </row>
    <row r="5046" spans="1:5" ht="15" x14ac:dyDescent="0.35">
      <c r="A5046" s="58" t="s">
        <v>298</v>
      </c>
      <c r="B5046" s="58" t="s">
        <v>182</v>
      </c>
      <c r="C5046" s="58">
        <v>2</v>
      </c>
      <c r="D5046" s="58">
        <v>105</v>
      </c>
      <c r="E5046" s="59">
        <v>0</v>
      </c>
    </row>
    <row r="5047" spans="1:5" ht="15" x14ac:dyDescent="0.35">
      <c r="A5047" s="58" t="s">
        <v>298</v>
      </c>
      <c r="B5047" s="58" t="s">
        <v>182</v>
      </c>
      <c r="C5047" s="58">
        <v>3</v>
      </c>
      <c r="D5047" s="58">
        <v>106</v>
      </c>
      <c r="E5047" s="59">
        <v>0</v>
      </c>
    </row>
    <row r="5048" spans="1:5" ht="15" x14ac:dyDescent="0.35">
      <c r="A5048" s="58" t="s">
        <v>298</v>
      </c>
      <c r="B5048" s="58" t="s">
        <v>182</v>
      </c>
      <c r="C5048" s="58">
        <v>4</v>
      </c>
      <c r="D5048" s="58">
        <v>107</v>
      </c>
      <c r="E5048" s="59">
        <v>0</v>
      </c>
    </row>
    <row r="5049" spans="1:5" ht="15" x14ac:dyDescent="0.35">
      <c r="A5049" s="58" t="s">
        <v>298</v>
      </c>
      <c r="B5049" s="58" t="s">
        <v>182</v>
      </c>
      <c r="C5049" s="58">
        <v>5</v>
      </c>
      <c r="D5049" s="58">
        <v>108</v>
      </c>
      <c r="E5049" s="59">
        <v>0</v>
      </c>
    </row>
    <row r="5050" spans="1:5" ht="15" x14ac:dyDescent="0.35">
      <c r="A5050" s="58" t="s">
        <v>298</v>
      </c>
      <c r="B5050" s="58" t="s">
        <v>182</v>
      </c>
      <c r="C5050" s="58">
        <v>6</v>
      </c>
      <c r="D5050" s="58">
        <v>109</v>
      </c>
      <c r="E5050" s="59">
        <v>0</v>
      </c>
    </row>
    <row r="5051" spans="1:5" ht="15" x14ac:dyDescent="0.35">
      <c r="A5051" s="58" t="s">
        <v>298</v>
      </c>
      <c r="B5051" s="58" t="s">
        <v>182</v>
      </c>
      <c r="C5051" s="58">
        <v>7</v>
      </c>
      <c r="D5051" s="58">
        <v>110</v>
      </c>
      <c r="E5051" s="59">
        <v>0</v>
      </c>
    </row>
    <row r="5052" spans="1:5" ht="15" x14ac:dyDescent="0.35">
      <c r="A5052" s="58" t="s">
        <v>298</v>
      </c>
      <c r="B5052" s="58" t="s">
        <v>182</v>
      </c>
      <c r="C5052" s="58">
        <v>8</v>
      </c>
      <c r="D5052" s="58">
        <v>111</v>
      </c>
      <c r="E5052" s="59">
        <v>0</v>
      </c>
    </row>
    <row r="5053" spans="1:5" ht="15" x14ac:dyDescent="0.35">
      <c r="A5053" s="58" t="s">
        <v>298</v>
      </c>
      <c r="B5053" s="58" t="s">
        <v>182</v>
      </c>
      <c r="C5053" s="58">
        <v>9</v>
      </c>
      <c r="D5053" s="58">
        <v>112</v>
      </c>
      <c r="E5053" s="59">
        <v>0</v>
      </c>
    </row>
    <row r="5054" spans="1:5" ht="15" x14ac:dyDescent="0.35">
      <c r="A5054" s="58" t="s">
        <v>298</v>
      </c>
      <c r="B5054" s="58" t="s">
        <v>182</v>
      </c>
      <c r="C5054" s="58">
        <v>10</v>
      </c>
      <c r="D5054" s="58">
        <v>113</v>
      </c>
      <c r="E5054" s="59">
        <v>0</v>
      </c>
    </row>
    <row r="5055" spans="1:5" ht="15" x14ac:dyDescent="0.35">
      <c r="A5055" s="58" t="s">
        <v>298</v>
      </c>
      <c r="B5055" s="58" t="s">
        <v>182</v>
      </c>
      <c r="C5055" s="58">
        <v>11</v>
      </c>
      <c r="D5055" s="58">
        <v>114</v>
      </c>
      <c r="E5055" s="59">
        <v>0</v>
      </c>
    </row>
    <row r="5056" spans="1:5" ht="15" x14ac:dyDescent="0.35">
      <c r="A5056" s="58" t="s">
        <v>298</v>
      </c>
      <c r="B5056" s="58" t="s">
        <v>182</v>
      </c>
      <c r="C5056" s="58">
        <v>12</v>
      </c>
      <c r="D5056" s="58">
        <v>115</v>
      </c>
      <c r="E5056" s="59">
        <v>0</v>
      </c>
    </row>
    <row r="5057" spans="1:5" ht="15" x14ac:dyDescent="0.35">
      <c r="A5057" s="58" t="s">
        <v>298</v>
      </c>
      <c r="B5057" s="58" t="s">
        <v>176</v>
      </c>
      <c r="C5057" s="58">
        <v>1</v>
      </c>
      <c r="D5057" s="58">
        <v>104</v>
      </c>
      <c r="E5057" s="59">
        <v>217.125</v>
      </c>
    </row>
    <row r="5058" spans="1:5" ht="15" x14ac:dyDescent="0.35">
      <c r="A5058" s="58" t="s">
        <v>298</v>
      </c>
      <c r="B5058" s="58" t="s">
        <v>176</v>
      </c>
      <c r="C5058" s="58">
        <v>2</v>
      </c>
      <c r="D5058" s="58">
        <v>105</v>
      </c>
      <c r="E5058" s="59">
        <v>217.125</v>
      </c>
    </row>
    <row r="5059" spans="1:5" ht="15" x14ac:dyDescent="0.35">
      <c r="A5059" s="58" t="s">
        <v>298</v>
      </c>
      <c r="B5059" s="58" t="s">
        <v>176</v>
      </c>
      <c r="C5059" s="58">
        <v>3</v>
      </c>
      <c r="D5059" s="58">
        <v>106</v>
      </c>
      <c r="E5059" s="59">
        <v>217.125</v>
      </c>
    </row>
    <row r="5060" spans="1:5" ht="15" x14ac:dyDescent="0.35">
      <c r="A5060" s="58" t="s">
        <v>298</v>
      </c>
      <c r="B5060" s="58" t="s">
        <v>176</v>
      </c>
      <c r="C5060" s="58">
        <v>4</v>
      </c>
      <c r="D5060" s="58">
        <v>107</v>
      </c>
      <c r="E5060" s="59">
        <v>217.125</v>
      </c>
    </row>
    <row r="5061" spans="1:5" ht="15" x14ac:dyDescent="0.35">
      <c r="A5061" s="58" t="s">
        <v>298</v>
      </c>
      <c r="B5061" s="58" t="s">
        <v>176</v>
      </c>
      <c r="C5061" s="58">
        <v>5</v>
      </c>
      <c r="D5061" s="58">
        <v>108</v>
      </c>
      <c r="E5061" s="59">
        <v>217.125</v>
      </c>
    </row>
    <row r="5062" spans="1:5" ht="15" x14ac:dyDescent="0.35">
      <c r="A5062" s="58" t="s">
        <v>298</v>
      </c>
      <c r="B5062" s="58" t="s">
        <v>176</v>
      </c>
      <c r="C5062" s="58">
        <v>6</v>
      </c>
      <c r="D5062" s="58">
        <v>109</v>
      </c>
      <c r="E5062" s="59">
        <v>217.125</v>
      </c>
    </row>
    <row r="5063" spans="1:5" ht="15" x14ac:dyDescent="0.35">
      <c r="A5063" s="58" t="s">
        <v>298</v>
      </c>
      <c r="B5063" s="58" t="s">
        <v>176</v>
      </c>
      <c r="C5063" s="58">
        <v>7</v>
      </c>
      <c r="D5063" s="58">
        <v>110</v>
      </c>
      <c r="E5063" s="59">
        <v>217.125</v>
      </c>
    </row>
    <row r="5064" spans="1:5" ht="15" x14ac:dyDescent="0.35">
      <c r="A5064" s="58" t="s">
        <v>298</v>
      </c>
      <c r="B5064" s="58" t="s">
        <v>176</v>
      </c>
      <c r="C5064" s="58">
        <v>8</v>
      </c>
      <c r="D5064" s="58">
        <v>111</v>
      </c>
      <c r="E5064" s="59">
        <v>217.125</v>
      </c>
    </row>
    <row r="5065" spans="1:5" ht="15" x14ac:dyDescent="0.35">
      <c r="A5065" s="58" t="s">
        <v>298</v>
      </c>
      <c r="B5065" s="58" t="s">
        <v>176</v>
      </c>
      <c r="C5065" s="58">
        <v>9</v>
      </c>
      <c r="D5065" s="58">
        <v>112</v>
      </c>
      <c r="E5065" s="59">
        <v>217.125</v>
      </c>
    </row>
    <row r="5066" spans="1:5" ht="15" x14ac:dyDescent="0.35">
      <c r="A5066" s="58" t="s">
        <v>298</v>
      </c>
      <c r="B5066" s="58" t="s">
        <v>176</v>
      </c>
      <c r="C5066" s="58">
        <v>10</v>
      </c>
      <c r="D5066" s="58">
        <v>113</v>
      </c>
      <c r="E5066" s="59">
        <v>217.125</v>
      </c>
    </row>
    <row r="5067" spans="1:5" ht="15" x14ac:dyDescent="0.35">
      <c r="A5067" s="58" t="s">
        <v>298</v>
      </c>
      <c r="B5067" s="58" t="s">
        <v>176</v>
      </c>
      <c r="C5067" s="58">
        <v>11</v>
      </c>
      <c r="D5067" s="58">
        <v>114</v>
      </c>
      <c r="E5067" s="59">
        <v>217.125</v>
      </c>
    </row>
    <row r="5068" spans="1:5" ht="15" x14ac:dyDescent="0.35">
      <c r="A5068" s="58" t="s">
        <v>298</v>
      </c>
      <c r="B5068" s="58" t="s">
        <v>176</v>
      </c>
      <c r="C5068" s="58">
        <v>12</v>
      </c>
      <c r="D5068" s="58">
        <v>115</v>
      </c>
      <c r="E5068" s="59">
        <v>217.125</v>
      </c>
    </row>
    <row r="5069" spans="1:5" ht="15" x14ac:dyDescent="0.35">
      <c r="A5069" s="58" t="s">
        <v>298</v>
      </c>
      <c r="B5069" s="58" t="s">
        <v>172</v>
      </c>
      <c r="C5069" s="58">
        <v>1</v>
      </c>
      <c r="D5069" s="58">
        <v>104</v>
      </c>
      <c r="E5069" s="59">
        <v>303</v>
      </c>
    </row>
    <row r="5070" spans="1:5" ht="15" x14ac:dyDescent="0.35">
      <c r="A5070" s="58" t="s">
        <v>298</v>
      </c>
      <c r="B5070" s="58" t="s">
        <v>172</v>
      </c>
      <c r="C5070" s="58">
        <v>2</v>
      </c>
      <c r="D5070" s="58">
        <v>105</v>
      </c>
      <c r="E5070" s="59">
        <v>303</v>
      </c>
    </row>
    <row r="5071" spans="1:5" ht="15" x14ac:dyDescent="0.35">
      <c r="A5071" s="58" t="s">
        <v>298</v>
      </c>
      <c r="B5071" s="58" t="s">
        <v>172</v>
      </c>
      <c r="C5071" s="58">
        <v>3</v>
      </c>
      <c r="D5071" s="58">
        <v>106</v>
      </c>
      <c r="E5071" s="59">
        <v>303</v>
      </c>
    </row>
    <row r="5072" spans="1:5" ht="15" x14ac:dyDescent="0.35">
      <c r="A5072" s="58" t="s">
        <v>298</v>
      </c>
      <c r="B5072" s="58" t="s">
        <v>172</v>
      </c>
      <c r="C5072" s="58">
        <v>4</v>
      </c>
      <c r="D5072" s="58">
        <v>107</v>
      </c>
      <c r="E5072" s="59">
        <v>303</v>
      </c>
    </row>
    <row r="5073" spans="1:5" ht="15" x14ac:dyDescent="0.35">
      <c r="A5073" s="58" t="s">
        <v>298</v>
      </c>
      <c r="B5073" s="58" t="s">
        <v>172</v>
      </c>
      <c r="C5073" s="58">
        <v>5</v>
      </c>
      <c r="D5073" s="58">
        <v>108</v>
      </c>
      <c r="E5073" s="59">
        <v>303</v>
      </c>
    </row>
    <row r="5074" spans="1:5" ht="15" x14ac:dyDescent="0.35">
      <c r="A5074" s="58" t="s">
        <v>298</v>
      </c>
      <c r="B5074" s="58" t="s">
        <v>172</v>
      </c>
      <c r="C5074" s="58">
        <v>6</v>
      </c>
      <c r="D5074" s="58">
        <v>109</v>
      </c>
      <c r="E5074" s="59">
        <v>303</v>
      </c>
    </row>
    <row r="5075" spans="1:5" ht="15" x14ac:dyDescent="0.35">
      <c r="A5075" s="58" t="s">
        <v>298</v>
      </c>
      <c r="B5075" s="58" t="s">
        <v>172</v>
      </c>
      <c r="C5075" s="58">
        <v>7</v>
      </c>
      <c r="D5075" s="58">
        <v>110</v>
      </c>
      <c r="E5075" s="59">
        <v>303</v>
      </c>
    </row>
    <row r="5076" spans="1:5" ht="15" x14ac:dyDescent="0.35">
      <c r="A5076" s="58" t="s">
        <v>298</v>
      </c>
      <c r="B5076" s="58" t="s">
        <v>172</v>
      </c>
      <c r="C5076" s="58">
        <v>8</v>
      </c>
      <c r="D5076" s="58">
        <v>111</v>
      </c>
      <c r="E5076" s="59">
        <v>303</v>
      </c>
    </row>
    <row r="5077" spans="1:5" ht="15" x14ac:dyDescent="0.35">
      <c r="A5077" s="58" t="s">
        <v>298</v>
      </c>
      <c r="B5077" s="58" t="s">
        <v>172</v>
      </c>
      <c r="C5077" s="58">
        <v>9</v>
      </c>
      <c r="D5077" s="58">
        <v>112</v>
      </c>
      <c r="E5077" s="59">
        <v>303</v>
      </c>
    </row>
    <row r="5078" spans="1:5" ht="15" x14ac:dyDescent="0.35">
      <c r="A5078" s="58" t="s">
        <v>298</v>
      </c>
      <c r="B5078" s="58" t="s">
        <v>172</v>
      </c>
      <c r="C5078" s="58">
        <v>10</v>
      </c>
      <c r="D5078" s="58">
        <v>113</v>
      </c>
      <c r="E5078" s="59">
        <v>303</v>
      </c>
    </row>
    <row r="5079" spans="1:5" ht="15" x14ac:dyDescent="0.35">
      <c r="A5079" s="58" t="s">
        <v>298</v>
      </c>
      <c r="B5079" s="58" t="s">
        <v>172</v>
      </c>
      <c r="C5079" s="58">
        <v>11</v>
      </c>
      <c r="D5079" s="58">
        <v>114</v>
      </c>
      <c r="E5079" s="59">
        <v>303</v>
      </c>
    </row>
    <row r="5080" spans="1:5" ht="15" x14ac:dyDescent="0.35">
      <c r="A5080" s="58" t="s">
        <v>298</v>
      </c>
      <c r="B5080" s="58" t="s">
        <v>172</v>
      </c>
      <c r="C5080" s="58">
        <v>12</v>
      </c>
      <c r="D5080" s="58">
        <v>115</v>
      </c>
      <c r="E5080" s="59">
        <v>303</v>
      </c>
    </row>
    <row r="5081" spans="1:5" ht="15" x14ac:dyDescent="0.35">
      <c r="A5081" s="58" t="s">
        <v>298</v>
      </c>
      <c r="B5081" s="58" t="s">
        <v>180</v>
      </c>
      <c r="C5081" s="58">
        <v>1</v>
      </c>
      <c r="D5081" s="58">
        <v>104</v>
      </c>
      <c r="E5081" s="59">
        <v>230.0566</v>
      </c>
    </row>
    <row r="5082" spans="1:5" ht="15" x14ac:dyDescent="0.35">
      <c r="A5082" s="58" t="s">
        <v>298</v>
      </c>
      <c r="B5082" s="58" t="s">
        <v>180</v>
      </c>
      <c r="C5082" s="58">
        <v>2</v>
      </c>
      <c r="D5082" s="58">
        <v>105</v>
      </c>
      <c r="E5082" s="59">
        <v>230.0566</v>
      </c>
    </row>
    <row r="5083" spans="1:5" ht="15" x14ac:dyDescent="0.35">
      <c r="A5083" s="58" t="s">
        <v>298</v>
      </c>
      <c r="B5083" s="58" t="s">
        <v>180</v>
      </c>
      <c r="C5083" s="58">
        <v>3</v>
      </c>
      <c r="D5083" s="58">
        <v>106</v>
      </c>
      <c r="E5083" s="59">
        <v>230.0566</v>
      </c>
    </row>
    <row r="5084" spans="1:5" ht="15" x14ac:dyDescent="0.35">
      <c r="A5084" s="58" t="s">
        <v>298</v>
      </c>
      <c r="B5084" s="58" t="s">
        <v>180</v>
      </c>
      <c r="C5084" s="58">
        <v>4</v>
      </c>
      <c r="D5084" s="58">
        <v>107</v>
      </c>
      <c r="E5084" s="59">
        <v>230.0566</v>
      </c>
    </row>
    <row r="5085" spans="1:5" ht="15" x14ac:dyDescent="0.35">
      <c r="A5085" s="58" t="s">
        <v>298</v>
      </c>
      <c r="B5085" s="58" t="s">
        <v>180</v>
      </c>
      <c r="C5085" s="58">
        <v>5</v>
      </c>
      <c r="D5085" s="58">
        <v>108</v>
      </c>
      <c r="E5085" s="59">
        <v>230.0566</v>
      </c>
    </row>
    <row r="5086" spans="1:5" ht="15" x14ac:dyDescent="0.35">
      <c r="A5086" s="58" t="s">
        <v>298</v>
      </c>
      <c r="B5086" s="58" t="s">
        <v>180</v>
      </c>
      <c r="C5086" s="58">
        <v>6</v>
      </c>
      <c r="D5086" s="58">
        <v>109</v>
      </c>
      <c r="E5086" s="59">
        <v>230.0566</v>
      </c>
    </row>
    <row r="5087" spans="1:5" ht="15" x14ac:dyDescent="0.35">
      <c r="A5087" s="58" t="s">
        <v>298</v>
      </c>
      <c r="B5087" s="58" t="s">
        <v>180</v>
      </c>
      <c r="C5087" s="58">
        <v>7</v>
      </c>
      <c r="D5087" s="58">
        <v>110</v>
      </c>
      <c r="E5087" s="59">
        <v>230.0566</v>
      </c>
    </row>
    <row r="5088" spans="1:5" ht="15" x14ac:dyDescent="0.35">
      <c r="A5088" s="58" t="s">
        <v>298</v>
      </c>
      <c r="B5088" s="58" t="s">
        <v>180</v>
      </c>
      <c r="C5088" s="58">
        <v>8</v>
      </c>
      <c r="D5088" s="58">
        <v>111</v>
      </c>
      <c r="E5088" s="59">
        <v>230.0566</v>
      </c>
    </row>
    <row r="5089" spans="1:5" ht="15" x14ac:dyDescent="0.35">
      <c r="A5089" s="58" t="s">
        <v>298</v>
      </c>
      <c r="B5089" s="58" t="s">
        <v>180</v>
      </c>
      <c r="C5089" s="58">
        <v>9</v>
      </c>
      <c r="D5089" s="58">
        <v>112</v>
      </c>
      <c r="E5089" s="59">
        <v>230.0566</v>
      </c>
    </row>
    <row r="5090" spans="1:5" ht="15" x14ac:dyDescent="0.35">
      <c r="A5090" s="58" t="s">
        <v>298</v>
      </c>
      <c r="B5090" s="58" t="s">
        <v>180</v>
      </c>
      <c r="C5090" s="58">
        <v>10</v>
      </c>
      <c r="D5090" s="58">
        <v>113</v>
      </c>
      <c r="E5090" s="59">
        <v>230.0566</v>
      </c>
    </row>
    <row r="5091" spans="1:5" ht="15" x14ac:dyDescent="0.35">
      <c r="A5091" s="58" t="s">
        <v>298</v>
      </c>
      <c r="B5091" s="58" t="s">
        <v>180</v>
      </c>
      <c r="C5091" s="58">
        <v>11</v>
      </c>
      <c r="D5091" s="58">
        <v>114</v>
      </c>
      <c r="E5091" s="59">
        <v>230.0566</v>
      </c>
    </row>
    <row r="5092" spans="1:5" ht="15" x14ac:dyDescent="0.35">
      <c r="A5092" s="58" t="s">
        <v>298</v>
      </c>
      <c r="B5092" s="58" t="s">
        <v>180</v>
      </c>
      <c r="C5092" s="58">
        <v>12</v>
      </c>
      <c r="D5092" s="58">
        <v>115</v>
      </c>
      <c r="E5092" s="59">
        <v>230.0566</v>
      </c>
    </row>
    <row r="5093" spans="1:5" ht="15" x14ac:dyDescent="0.35">
      <c r="A5093" s="58" t="s">
        <v>308</v>
      </c>
      <c r="B5093" s="58" t="s">
        <v>182</v>
      </c>
      <c r="C5093" s="58">
        <v>1</v>
      </c>
      <c r="D5093" s="58">
        <v>104</v>
      </c>
      <c r="E5093" s="59">
        <v>278.72059999999999</v>
      </c>
    </row>
    <row r="5094" spans="1:5" ht="15" x14ac:dyDescent="0.35">
      <c r="A5094" s="58" t="s">
        <v>308</v>
      </c>
      <c r="B5094" s="58" t="s">
        <v>182</v>
      </c>
      <c r="C5094" s="58">
        <v>2</v>
      </c>
      <c r="D5094" s="58">
        <v>105</v>
      </c>
      <c r="E5094" s="59">
        <v>0</v>
      </c>
    </row>
    <row r="5095" spans="1:5" ht="15" x14ac:dyDescent="0.35">
      <c r="A5095" s="58" t="s">
        <v>308</v>
      </c>
      <c r="B5095" s="58" t="s">
        <v>182</v>
      </c>
      <c r="C5095" s="58">
        <v>3</v>
      </c>
      <c r="D5095" s="58">
        <v>106</v>
      </c>
      <c r="E5095" s="59">
        <v>0</v>
      </c>
    </row>
    <row r="5096" spans="1:5" ht="15" x14ac:dyDescent="0.35">
      <c r="A5096" s="58" t="s">
        <v>308</v>
      </c>
      <c r="B5096" s="58" t="s">
        <v>182</v>
      </c>
      <c r="C5096" s="58">
        <v>4</v>
      </c>
      <c r="D5096" s="58">
        <v>107</v>
      </c>
      <c r="E5096" s="59">
        <v>0</v>
      </c>
    </row>
    <row r="5097" spans="1:5" ht="15" x14ac:dyDescent="0.35">
      <c r="A5097" s="58" t="s">
        <v>308</v>
      </c>
      <c r="B5097" s="58" t="s">
        <v>182</v>
      </c>
      <c r="C5097" s="58">
        <v>5</v>
      </c>
      <c r="D5097" s="58">
        <v>108</v>
      </c>
      <c r="E5097" s="59">
        <v>0</v>
      </c>
    </row>
    <row r="5098" spans="1:5" ht="15" x14ac:dyDescent="0.35">
      <c r="A5098" s="58" t="s">
        <v>308</v>
      </c>
      <c r="B5098" s="58" t="s">
        <v>182</v>
      </c>
      <c r="C5098" s="58">
        <v>6</v>
      </c>
      <c r="D5098" s="58">
        <v>109</v>
      </c>
      <c r="E5098" s="59">
        <v>0</v>
      </c>
    </row>
    <row r="5099" spans="1:5" ht="15" x14ac:dyDescent="0.35">
      <c r="A5099" s="58" t="s">
        <v>308</v>
      </c>
      <c r="B5099" s="58" t="s">
        <v>182</v>
      </c>
      <c r="C5099" s="58">
        <v>7</v>
      </c>
      <c r="D5099" s="58">
        <v>110</v>
      </c>
      <c r="E5099" s="59">
        <v>0</v>
      </c>
    </row>
    <row r="5100" spans="1:5" ht="15" x14ac:dyDescent="0.35">
      <c r="A5100" s="58" t="s">
        <v>308</v>
      </c>
      <c r="B5100" s="58" t="s">
        <v>182</v>
      </c>
      <c r="C5100" s="58">
        <v>8</v>
      </c>
      <c r="D5100" s="58">
        <v>111</v>
      </c>
      <c r="E5100" s="59">
        <v>0</v>
      </c>
    </row>
    <row r="5101" spans="1:5" ht="15" x14ac:dyDescent="0.35">
      <c r="A5101" s="58" t="s">
        <v>308</v>
      </c>
      <c r="B5101" s="58" t="s">
        <v>182</v>
      </c>
      <c r="C5101" s="58">
        <v>9</v>
      </c>
      <c r="D5101" s="58">
        <v>112</v>
      </c>
      <c r="E5101" s="59">
        <v>0</v>
      </c>
    </row>
    <row r="5102" spans="1:5" ht="15" x14ac:dyDescent="0.35">
      <c r="A5102" s="58" t="s">
        <v>308</v>
      </c>
      <c r="B5102" s="58" t="s">
        <v>182</v>
      </c>
      <c r="C5102" s="58">
        <v>10</v>
      </c>
      <c r="D5102" s="58">
        <v>113</v>
      </c>
      <c r="E5102" s="59">
        <v>0</v>
      </c>
    </row>
    <row r="5103" spans="1:5" ht="15" x14ac:dyDescent="0.35">
      <c r="A5103" s="58" t="s">
        <v>308</v>
      </c>
      <c r="B5103" s="58" t="s">
        <v>182</v>
      </c>
      <c r="C5103" s="58">
        <v>11</v>
      </c>
      <c r="D5103" s="58">
        <v>114</v>
      </c>
      <c r="E5103" s="59">
        <v>0</v>
      </c>
    </row>
    <row r="5104" spans="1:5" ht="15" x14ac:dyDescent="0.35">
      <c r="A5104" s="58" t="s">
        <v>308</v>
      </c>
      <c r="B5104" s="58" t="s">
        <v>182</v>
      </c>
      <c r="C5104" s="58">
        <v>12</v>
      </c>
      <c r="D5104" s="58">
        <v>115</v>
      </c>
      <c r="E5104" s="59">
        <v>0</v>
      </c>
    </row>
    <row r="5105" spans="1:5" ht="15" x14ac:dyDescent="0.35">
      <c r="A5105" s="58" t="s">
        <v>308</v>
      </c>
      <c r="B5105" s="58" t="s">
        <v>176</v>
      </c>
      <c r="C5105" s="58">
        <v>1</v>
      </c>
      <c r="D5105" s="58">
        <v>104</v>
      </c>
      <c r="E5105" s="59">
        <v>175.875</v>
      </c>
    </row>
    <row r="5106" spans="1:5" ht="15" x14ac:dyDescent="0.35">
      <c r="A5106" s="58" t="s">
        <v>308</v>
      </c>
      <c r="B5106" s="58" t="s">
        <v>176</v>
      </c>
      <c r="C5106" s="58">
        <v>2</v>
      </c>
      <c r="D5106" s="58">
        <v>105</v>
      </c>
      <c r="E5106" s="59">
        <v>175.875</v>
      </c>
    </row>
    <row r="5107" spans="1:5" ht="15" x14ac:dyDescent="0.35">
      <c r="A5107" s="58" t="s">
        <v>308</v>
      </c>
      <c r="B5107" s="58" t="s">
        <v>176</v>
      </c>
      <c r="C5107" s="58">
        <v>3</v>
      </c>
      <c r="D5107" s="58">
        <v>106</v>
      </c>
      <c r="E5107" s="59">
        <v>175.875</v>
      </c>
    </row>
    <row r="5108" spans="1:5" ht="15" x14ac:dyDescent="0.35">
      <c r="A5108" s="58" t="s">
        <v>308</v>
      </c>
      <c r="B5108" s="58" t="s">
        <v>176</v>
      </c>
      <c r="C5108" s="58">
        <v>4</v>
      </c>
      <c r="D5108" s="58">
        <v>107</v>
      </c>
      <c r="E5108" s="59">
        <v>175.875</v>
      </c>
    </row>
    <row r="5109" spans="1:5" ht="15" x14ac:dyDescent="0.35">
      <c r="A5109" s="58" t="s">
        <v>308</v>
      </c>
      <c r="B5109" s="58" t="s">
        <v>176</v>
      </c>
      <c r="C5109" s="58">
        <v>5</v>
      </c>
      <c r="D5109" s="58">
        <v>108</v>
      </c>
      <c r="E5109" s="59">
        <v>175.875</v>
      </c>
    </row>
    <row r="5110" spans="1:5" ht="15" x14ac:dyDescent="0.35">
      <c r="A5110" s="58" t="s">
        <v>308</v>
      </c>
      <c r="B5110" s="58" t="s">
        <v>176</v>
      </c>
      <c r="C5110" s="58">
        <v>6</v>
      </c>
      <c r="D5110" s="58">
        <v>109</v>
      </c>
      <c r="E5110" s="59">
        <v>175.875</v>
      </c>
    </row>
    <row r="5111" spans="1:5" ht="15" x14ac:dyDescent="0.35">
      <c r="A5111" s="58" t="s">
        <v>308</v>
      </c>
      <c r="B5111" s="58" t="s">
        <v>176</v>
      </c>
      <c r="C5111" s="58">
        <v>7</v>
      </c>
      <c r="D5111" s="58">
        <v>110</v>
      </c>
      <c r="E5111" s="59">
        <v>175.875</v>
      </c>
    </row>
    <row r="5112" spans="1:5" ht="15" x14ac:dyDescent="0.35">
      <c r="A5112" s="58" t="s">
        <v>308</v>
      </c>
      <c r="B5112" s="58" t="s">
        <v>176</v>
      </c>
      <c r="C5112" s="58">
        <v>8</v>
      </c>
      <c r="D5112" s="58">
        <v>111</v>
      </c>
      <c r="E5112" s="59">
        <v>175.875</v>
      </c>
    </row>
    <row r="5113" spans="1:5" ht="15" x14ac:dyDescent="0.35">
      <c r="A5113" s="58" t="s">
        <v>308</v>
      </c>
      <c r="B5113" s="58" t="s">
        <v>176</v>
      </c>
      <c r="C5113" s="58">
        <v>9</v>
      </c>
      <c r="D5113" s="58">
        <v>112</v>
      </c>
      <c r="E5113" s="59">
        <v>175.875</v>
      </c>
    </row>
    <row r="5114" spans="1:5" ht="15" x14ac:dyDescent="0.35">
      <c r="A5114" s="58" t="s">
        <v>308</v>
      </c>
      <c r="B5114" s="58" t="s">
        <v>176</v>
      </c>
      <c r="C5114" s="58">
        <v>10</v>
      </c>
      <c r="D5114" s="58">
        <v>113</v>
      </c>
      <c r="E5114" s="59">
        <v>175.875</v>
      </c>
    </row>
    <row r="5115" spans="1:5" ht="15" x14ac:dyDescent="0.35">
      <c r="A5115" s="58" t="s">
        <v>308</v>
      </c>
      <c r="B5115" s="58" t="s">
        <v>176</v>
      </c>
      <c r="C5115" s="58">
        <v>11</v>
      </c>
      <c r="D5115" s="58">
        <v>114</v>
      </c>
      <c r="E5115" s="59">
        <v>175.875</v>
      </c>
    </row>
    <row r="5116" spans="1:5" ht="15" x14ac:dyDescent="0.35">
      <c r="A5116" s="58" t="s">
        <v>308</v>
      </c>
      <c r="B5116" s="58" t="s">
        <v>176</v>
      </c>
      <c r="C5116" s="58">
        <v>12</v>
      </c>
      <c r="D5116" s="58">
        <v>115</v>
      </c>
      <c r="E5116" s="59">
        <v>175.875</v>
      </c>
    </row>
    <row r="5117" spans="1:5" ht="15" x14ac:dyDescent="0.35">
      <c r="A5117" s="58" t="s">
        <v>308</v>
      </c>
      <c r="B5117" s="58" t="s">
        <v>172</v>
      </c>
      <c r="C5117" s="58">
        <v>1</v>
      </c>
      <c r="D5117" s="58">
        <v>104</v>
      </c>
      <c r="E5117" s="59">
        <v>109</v>
      </c>
    </row>
    <row r="5118" spans="1:5" ht="15" x14ac:dyDescent="0.35">
      <c r="A5118" s="58" t="s">
        <v>308</v>
      </c>
      <c r="B5118" s="58" t="s">
        <v>172</v>
      </c>
      <c r="C5118" s="58">
        <v>2</v>
      </c>
      <c r="D5118" s="58">
        <v>105</v>
      </c>
      <c r="E5118" s="59">
        <v>109</v>
      </c>
    </row>
    <row r="5119" spans="1:5" ht="15" x14ac:dyDescent="0.35">
      <c r="A5119" s="58" t="s">
        <v>308</v>
      </c>
      <c r="B5119" s="58" t="s">
        <v>172</v>
      </c>
      <c r="C5119" s="58">
        <v>3</v>
      </c>
      <c r="D5119" s="58">
        <v>106</v>
      </c>
      <c r="E5119" s="59">
        <v>109</v>
      </c>
    </row>
    <row r="5120" spans="1:5" ht="15" x14ac:dyDescent="0.35">
      <c r="A5120" s="58" t="s">
        <v>308</v>
      </c>
      <c r="B5120" s="58" t="s">
        <v>172</v>
      </c>
      <c r="C5120" s="58">
        <v>4</v>
      </c>
      <c r="D5120" s="58">
        <v>107</v>
      </c>
      <c r="E5120" s="59">
        <v>109</v>
      </c>
    </row>
    <row r="5121" spans="1:5" ht="15" x14ac:dyDescent="0.35">
      <c r="A5121" s="58" t="s">
        <v>308</v>
      </c>
      <c r="B5121" s="58" t="s">
        <v>172</v>
      </c>
      <c r="C5121" s="58">
        <v>5</v>
      </c>
      <c r="D5121" s="58">
        <v>108</v>
      </c>
      <c r="E5121" s="59">
        <v>109</v>
      </c>
    </row>
    <row r="5122" spans="1:5" ht="15" x14ac:dyDescent="0.35">
      <c r="A5122" s="58" t="s">
        <v>308</v>
      </c>
      <c r="B5122" s="58" t="s">
        <v>172</v>
      </c>
      <c r="C5122" s="58">
        <v>6</v>
      </c>
      <c r="D5122" s="58">
        <v>109</v>
      </c>
      <c r="E5122" s="59">
        <v>109</v>
      </c>
    </row>
    <row r="5123" spans="1:5" ht="15" x14ac:dyDescent="0.35">
      <c r="A5123" s="58" t="s">
        <v>308</v>
      </c>
      <c r="B5123" s="58" t="s">
        <v>172</v>
      </c>
      <c r="C5123" s="58">
        <v>7</v>
      </c>
      <c r="D5123" s="58">
        <v>110</v>
      </c>
      <c r="E5123" s="59">
        <v>109</v>
      </c>
    </row>
    <row r="5124" spans="1:5" ht="15" x14ac:dyDescent="0.35">
      <c r="A5124" s="58" t="s">
        <v>308</v>
      </c>
      <c r="B5124" s="58" t="s">
        <v>172</v>
      </c>
      <c r="C5124" s="58">
        <v>8</v>
      </c>
      <c r="D5124" s="58">
        <v>111</v>
      </c>
      <c r="E5124" s="59">
        <v>109</v>
      </c>
    </row>
    <row r="5125" spans="1:5" ht="15" x14ac:dyDescent="0.35">
      <c r="A5125" s="58" t="s">
        <v>308</v>
      </c>
      <c r="B5125" s="58" t="s">
        <v>172</v>
      </c>
      <c r="C5125" s="58">
        <v>9</v>
      </c>
      <c r="D5125" s="58">
        <v>112</v>
      </c>
      <c r="E5125" s="59">
        <v>109</v>
      </c>
    </row>
    <row r="5126" spans="1:5" ht="15" x14ac:dyDescent="0.35">
      <c r="A5126" s="58" t="s">
        <v>308</v>
      </c>
      <c r="B5126" s="58" t="s">
        <v>172</v>
      </c>
      <c r="C5126" s="58">
        <v>10</v>
      </c>
      <c r="D5126" s="58">
        <v>113</v>
      </c>
      <c r="E5126" s="59">
        <v>109</v>
      </c>
    </row>
    <row r="5127" spans="1:5" ht="15" x14ac:dyDescent="0.35">
      <c r="A5127" s="58" t="s">
        <v>308</v>
      </c>
      <c r="B5127" s="58" t="s">
        <v>172</v>
      </c>
      <c r="C5127" s="58">
        <v>11</v>
      </c>
      <c r="D5127" s="58">
        <v>114</v>
      </c>
      <c r="E5127" s="59">
        <v>109</v>
      </c>
    </row>
    <row r="5128" spans="1:5" ht="15" x14ac:dyDescent="0.35">
      <c r="A5128" s="58" t="s">
        <v>308</v>
      </c>
      <c r="B5128" s="58" t="s">
        <v>172</v>
      </c>
      <c r="C5128" s="58">
        <v>12</v>
      </c>
      <c r="D5128" s="58">
        <v>115</v>
      </c>
      <c r="E5128" s="59">
        <v>109</v>
      </c>
    </row>
    <row r="5129" spans="1:5" ht="15" x14ac:dyDescent="0.35">
      <c r="A5129" s="58" t="s">
        <v>308</v>
      </c>
      <c r="B5129" s="58" t="s">
        <v>180</v>
      </c>
      <c r="C5129" s="58">
        <v>1</v>
      </c>
      <c r="D5129" s="58">
        <v>104</v>
      </c>
      <c r="E5129" s="59">
        <v>173.07980000000001</v>
      </c>
    </row>
    <row r="5130" spans="1:5" ht="15" x14ac:dyDescent="0.35">
      <c r="A5130" s="58" t="s">
        <v>308</v>
      </c>
      <c r="B5130" s="58" t="s">
        <v>180</v>
      </c>
      <c r="C5130" s="58">
        <v>2</v>
      </c>
      <c r="D5130" s="58">
        <v>105</v>
      </c>
      <c r="E5130" s="59">
        <v>173.07980000000001</v>
      </c>
    </row>
    <row r="5131" spans="1:5" ht="15" x14ac:dyDescent="0.35">
      <c r="A5131" s="58" t="s">
        <v>308</v>
      </c>
      <c r="B5131" s="58" t="s">
        <v>180</v>
      </c>
      <c r="C5131" s="58">
        <v>3</v>
      </c>
      <c r="D5131" s="58">
        <v>106</v>
      </c>
      <c r="E5131" s="59">
        <v>173.07980000000001</v>
      </c>
    </row>
    <row r="5132" spans="1:5" ht="15" x14ac:dyDescent="0.35">
      <c r="A5132" s="58" t="s">
        <v>308</v>
      </c>
      <c r="B5132" s="58" t="s">
        <v>180</v>
      </c>
      <c r="C5132" s="58">
        <v>4</v>
      </c>
      <c r="D5132" s="58">
        <v>107</v>
      </c>
      <c r="E5132" s="59">
        <v>173.07980000000001</v>
      </c>
    </row>
    <row r="5133" spans="1:5" ht="15" x14ac:dyDescent="0.35">
      <c r="A5133" s="58" t="s">
        <v>308</v>
      </c>
      <c r="B5133" s="58" t="s">
        <v>180</v>
      </c>
      <c r="C5133" s="58">
        <v>5</v>
      </c>
      <c r="D5133" s="58">
        <v>108</v>
      </c>
      <c r="E5133" s="59">
        <v>173.07980000000001</v>
      </c>
    </row>
    <row r="5134" spans="1:5" ht="15" x14ac:dyDescent="0.35">
      <c r="A5134" s="58" t="s">
        <v>308</v>
      </c>
      <c r="B5134" s="58" t="s">
        <v>180</v>
      </c>
      <c r="C5134" s="58">
        <v>6</v>
      </c>
      <c r="D5134" s="58">
        <v>109</v>
      </c>
      <c r="E5134" s="59">
        <v>173.07980000000001</v>
      </c>
    </row>
    <row r="5135" spans="1:5" ht="15" x14ac:dyDescent="0.35">
      <c r="A5135" s="58" t="s">
        <v>308</v>
      </c>
      <c r="B5135" s="58" t="s">
        <v>180</v>
      </c>
      <c r="C5135" s="58">
        <v>7</v>
      </c>
      <c r="D5135" s="58">
        <v>110</v>
      </c>
      <c r="E5135" s="59">
        <v>173.07980000000001</v>
      </c>
    </row>
    <row r="5136" spans="1:5" ht="15" x14ac:dyDescent="0.35">
      <c r="A5136" s="58" t="s">
        <v>308</v>
      </c>
      <c r="B5136" s="58" t="s">
        <v>180</v>
      </c>
      <c r="C5136" s="58">
        <v>8</v>
      </c>
      <c r="D5136" s="58">
        <v>111</v>
      </c>
      <c r="E5136" s="59">
        <v>173.07980000000001</v>
      </c>
    </row>
    <row r="5137" spans="1:5" ht="15" x14ac:dyDescent="0.35">
      <c r="A5137" s="58" t="s">
        <v>308</v>
      </c>
      <c r="B5137" s="58" t="s">
        <v>180</v>
      </c>
      <c r="C5137" s="58">
        <v>9</v>
      </c>
      <c r="D5137" s="58">
        <v>112</v>
      </c>
      <c r="E5137" s="59">
        <v>173.07980000000001</v>
      </c>
    </row>
    <row r="5138" spans="1:5" ht="15" x14ac:dyDescent="0.35">
      <c r="A5138" s="58" t="s">
        <v>308</v>
      </c>
      <c r="B5138" s="58" t="s">
        <v>180</v>
      </c>
      <c r="C5138" s="58">
        <v>10</v>
      </c>
      <c r="D5138" s="58">
        <v>113</v>
      </c>
      <c r="E5138" s="59">
        <v>173.07980000000001</v>
      </c>
    </row>
    <row r="5139" spans="1:5" ht="15" x14ac:dyDescent="0.35">
      <c r="A5139" s="58" t="s">
        <v>308</v>
      </c>
      <c r="B5139" s="58" t="s">
        <v>180</v>
      </c>
      <c r="C5139" s="58">
        <v>11</v>
      </c>
      <c r="D5139" s="58">
        <v>114</v>
      </c>
      <c r="E5139" s="59">
        <v>173.07980000000001</v>
      </c>
    </row>
    <row r="5140" spans="1:5" ht="15" x14ac:dyDescent="0.35">
      <c r="A5140" s="58" t="s">
        <v>308</v>
      </c>
      <c r="B5140" s="58" t="s">
        <v>180</v>
      </c>
      <c r="C5140" s="58">
        <v>12</v>
      </c>
      <c r="D5140" s="58">
        <v>115</v>
      </c>
      <c r="E5140" s="59">
        <v>173.07980000000001</v>
      </c>
    </row>
    <row r="5141" spans="1:5" ht="15" x14ac:dyDescent="0.35">
      <c r="A5141" s="58" t="s">
        <v>379</v>
      </c>
      <c r="B5141" s="58" t="s">
        <v>182</v>
      </c>
      <c r="C5141" s="58">
        <v>1</v>
      </c>
      <c r="D5141" s="58">
        <v>104</v>
      </c>
      <c r="E5141" s="59">
        <v>104.0637</v>
      </c>
    </row>
    <row r="5142" spans="1:5" ht="15" x14ac:dyDescent="0.35">
      <c r="A5142" s="58" t="s">
        <v>379</v>
      </c>
      <c r="B5142" s="58" t="s">
        <v>182</v>
      </c>
      <c r="C5142" s="58">
        <v>2</v>
      </c>
      <c r="D5142" s="58">
        <v>105</v>
      </c>
      <c r="E5142" s="59">
        <v>13.619300000000001</v>
      </c>
    </row>
    <row r="5143" spans="1:5" ht="15" x14ac:dyDescent="0.35">
      <c r="A5143" s="58" t="s">
        <v>379</v>
      </c>
      <c r="B5143" s="58" t="s">
        <v>182</v>
      </c>
      <c r="C5143" s="58">
        <v>3</v>
      </c>
      <c r="D5143" s="58">
        <v>106</v>
      </c>
      <c r="E5143" s="59">
        <v>13.619300000000001</v>
      </c>
    </row>
    <row r="5144" spans="1:5" ht="15" x14ac:dyDescent="0.35">
      <c r="A5144" s="58" t="s">
        <v>379</v>
      </c>
      <c r="B5144" s="58" t="s">
        <v>182</v>
      </c>
      <c r="C5144" s="58">
        <v>4</v>
      </c>
      <c r="D5144" s="58">
        <v>107</v>
      </c>
      <c r="E5144" s="59">
        <v>13.619300000000001</v>
      </c>
    </row>
    <row r="5145" spans="1:5" ht="15" x14ac:dyDescent="0.35">
      <c r="A5145" s="58" t="s">
        <v>379</v>
      </c>
      <c r="B5145" s="58" t="s">
        <v>182</v>
      </c>
      <c r="C5145" s="58">
        <v>5</v>
      </c>
      <c r="D5145" s="58">
        <v>108</v>
      </c>
      <c r="E5145" s="59">
        <v>13.619300000000001</v>
      </c>
    </row>
    <row r="5146" spans="1:5" ht="15" x14ac:dyDescent="0.35">
      <c r="A5146" s="58" t="s">
        <v>379</v>
      </c>
      <c r="B5146" s="58" t="s">
        <v>182</v>
      </c>
      <c r="C5146" s="58">
        <v>6</v>
      </c>
      <c r="D5146" s="58">
        <v>109</v>
      </c>
      <c r="E5146" s="59">
        <v>13.619300000000001</v>
      </c>
    </row>
    <row r="5147" spans="1:5" ht="15" x14ac:dyDescent="0.35">
      <c r="A5147" s="58" t="s">
        <v>379</v>
      </c>
      <c r="B5147" s="58" t="s">
        <v>182</v>
      </c>
      <c r="C5147" s="58">
        <v>7</v>
      </c>
      <c r="D5147" s="58">
        <v>110</v>
      </c>
      <c r="E5147" s="59">
        <v>13.619300000000001</v>
      </c>
    </row>
    <row r="5148" spans="1:5" ht="15" x14ac:dyDescent="0.35">
      <c r="A5148" s="58" t="s">
        <v>379</v>
      </c>
      <c r="B5148" s="58" t="s">
        <v>182</v>
      </c>
      <c r="C5148" s="58">
        <v>8</v>
      </c>
      <c r="D5148" s="58">
        <v>111</v>
      </c>
      <c r="E5148" s="59">
        <v>13.619300000000001</v>
      </c>
    </row>
    <row r="5149" spans="1:5" ht="15" x14ac:dyDescent="0.35">
      <c r="A5149" s="58" t="s">
        <v>379</v>
      </c>
      <c r="B5149" s="58" t="s">
        <v>182</v>
      </c>
      <c r="C5149" s="58">
        <v>9</v>
      </c>
      <c r="D5149" s="58">
        <v>112</v>
      </c>
      <c r="E5149" s="59">
        <v>13.619300000000001</v>
      </c>
    </row>
    <row r="5150" spans="1:5" ht="15" x14ac:dyDescent="0.35">
      <c r="A5150" s="58" t="s">
        <v>379</v>
      </c>
      <c r="B5150" s="58" t="s">
        <v>182</v>
      </c>
      <c r="C5150" s="58">
        <v>10</v>
      </c>
      <c r="D5150" s="58">
        <v>113</v>
      </c>
      <c r="E5150" s="59">
        <v>13.619300000000001</v>
      </c>
    </row>
    <row r="5151" spans="1:5" ht="15" x14ac:dyDescent="0.35">
      <c r="A5151" s="58" t="s">
        <v>379</v>
      </c>
      <c r="B5151" s="58" t="s">
        <v>182</v>
      </c>
      <c r="C5151" s="58">
        <v>11</v>
      </c>
      <c r="D5151" s="58">
        <v>114</v>
      </c>
      <c r="E5151" s="59">
        <v>13.619300000000001</v>
      </c>
    </row>
    <row r="5152" spans="1:5" ht="15" x14ac:dyDescent="0.35">
      <c r="A5152" s="58" t="s">
        <v>379</v>
      </c>
      <c r="B5152" s="58" t="s">
        <v>182</v>
      </c>
      <c r="C5152" s="58">
        <v>12</v>
      </c>
      <c r="D5152" s="58">
        <v>115</v>
      </c>
      <c r="E5152" s="59">
        <v>13.619300000000001</v>
      </c>
    </row>
    <row r="5153" spans="1:5" ht="15" x14ac:dyDescent="0.35">
      <c r="A5153" s="58" t="s">
        <v>379</v>
      </c>
      <c r="B5153" s="58" t="s">
        <v>176</v>
      </c>
      <c r="C5153" s="58">
        <v>1</v>
      </c>
      <c r="D5153" s="58">
        <v>104</v>
      </c>
      <c r="E5153" s="59">
        <v>100.625</v>
      </c>
    </row>
    <row r="5154" spans="1:5" ht="15" x14ac:dyDescent="0.35">
      <c r="A5154" s="58" t="s">
        <v>379</v>
      </c>
      <c r="B5154" s="58" t="s">
        <v>176</v>
      </c>
      <c r="C5154" s="58">
        <v>2</v>
      </c>
      <c r="D5154" s="58">
        <v>105</v>
      </c>
      <c r="E5154" s="59">
        <v>100.625</v>
      </c>
    </row>
    <row r="5155" spans="1:5" ht="15" x14ac:dyDescent="0.35">
      <c r="A5155" s="58" t="s">
        <v>379</v>
      </c>
      <c r="B5155" s="58" t="s">
        <v>176</v>
      </c>
      <c r="C5155" s="58">
        <v>3</v>
      </c>
      <c r="D5155" s="58">
        <v>106</v>
      </c>
      <c r="E5155" s="59">
        <v>100.625</v>
      </c>
    </row>
    <row r="5156" spans="1:5" ht="15" x14ac:dyDescent="0.35">
      <c r="A5156" s="58" t="s">
        <v>379</v>
      </c>
      <c r="B5156" s="58" t="s">
        <v>176</v>
      </c>
      <c r="C5156" s="58">
        <v>4</v>
      </c>
      <c r="D5156" s="58">
        <v>107</v>
      </c>
      <c r="E5156" s="59">
        <v>100.625</v>
      </c>
    </row>
    <row r="5157" spans="1:5" ht="15" x14ac:dyDescent="0.35">
      <c r="A5157" s="58" t="s">
        <v>379</v>
      </c>
      <c r="B5157" s="58" t="s">
        <v>176</v>
      </c>
      <c r="C5157" s="58">
        <v>5</v>
      </c>
      <c r="D5157" s="58">
        <v>108</v>
      </c>
      <c r="E5157" s="59">
        <v>100.625</v>
      </c>
    </row>
    <row r="5158" spans="1:5" ht="15" x14ac:dyDescent="0.35">
      <c r="A5158" s="58" t="s">
        <v>379</v>
      </c>
      <c r="B5158" s="58" t="s">
        <v>176</v>
      </c>
      <c r="C5158" s="58">
        <v>6</v>
      </c>
      <c r="D5158" s="58">
        <v>109</v>
      </c>
      <c r="E5158" s="59">
        <v>100.625</v>
      </c>
    </row>
    <row r="5159" spans="1:5" ht="15" x14ac:dyDescent="0.35">
      <c r="A5159" s="58" t="s">
        <v>379</v>
      </c>
      <c r="B5159" s="58" t="s">
        <v>176</v>
      </c>
      <c r="C5159" s="58">
        <v>7</v>
      </c>
      <c r="D5159" s="58">
        <v>110</v>
      </c>
      <c r="E5159" s="59">
        <v>100.625</v>
      </c>
    </row>
    <row r="5160" spans="1:5" ht="15" x14ac:dyDescent="0.35">
      <c r="A5160" s="58" t="s">
        <v>379</v>
      </c>
      <c r="B5160" s="58" t="s">
        <v>176</v>
      </c>
      <c r="C5160" s="58">
        <v>8</v>
      </c>
      <c r="D5160" s="58">
        <v>111</v>
      </c>
      <c r="E5160" s="59">
        <v>100.625</v>
      </c>
    </row>
    <row r="5161" spans="1:5" ht="15" x14ac:dyDescent="0.35">
      <c r="A5161" s="58" t="s">
        <v>379</v>
      </c>
      <c r="B5161" s="58" t="s">
        <v>176</v>
      </c>
      <c r="C5161" s="58">
        <v>9</v>
      </c>
      <c r="D5161" s="58">
        <v>112</v>
      </c>
      <c r="E5161" s="59">
        <v>100.625</v>
      </c>
    </row>
    <row r="5162" spans="1:5" ht="15" x14ac:dyDescent="0.35">
      <c r="A5162" s="58" t="s">
        <v>379</v>
      </c>
      <c r="B5162" s="58" t="s">
        <v>176</v>
      </c>
      <c r="C5162" s="58">
        <v>10</v>
      </c>
      <c r="D5162" s="58">
        <v>113</v>
      </c>
      <c r="E5162" s="59">
        <v>100.625</v>
      </c>
    </row>
    <row r="5163" spans="1:5" ht="15" x14ac:dyDescent="0.35">
      <c r="A5163" s="58" t="s">
        <v>379</v>
      </c>
      <c r="B5163" s="58" t="s">
        <v>176</v>
      </c>
      <c r="C5163" s="58">
        <v>11</v>
      </c>
      <c r="D5163" s="58">
        <v>114</v>
      </c>
      <c r="E5163" s="59">
        <v>100.625</v>
      </c>
    </row>
    <row r="5164" spans="1:5" ht="15" x14ac:dyDescent="0.35">
      <c r="A5164" s="58" t="s">
        <v>379</v>
      </c>
      <c r="B5164" s="58" t="s">
        <v>176</v>
      </c>
      <c r="C5164" s="58">
        <v>12</v>
      </c>
      <c r="D5164" s="58">
        <v>115</v>
      </c>
      <c r="E5164" s="59">
        <v>100.625</v>
      </c>
    </row>
    <row r="5165" spans="1:5" ht="15" x14ac:dyDescent="0.35">
      <c r="A5165" s="58" t="s">
        <v>379</v>
      </c>
      <c r="B5165" s="58" t="s">
        <v>172</v>
      </c>
      <c r="C5165" s="58">
        <v>1</v>
      </c>
      <c r="D5165" s="58">
        <v>104</v>
      </c>
      <c r="E5165" s="59">
        <v>135</v>
      </c>
    </row>
    <row r="5166" spans="1:5" ht="15" x14ac:dyDescent="0.35">
      <c r="A5166" s="58" t="s">
        <v>379</v>
      </c>
      <c r="B5166" s="58" t="s">
        <v>172</v>
      </c>
      <c r="C5166" s="58">
        <v>2</v>
      </c>
      <c r="D5166" s="58">
        <v>105</v>
      </c>
      <c r="E5166" s="59">
        <v>135</v>
      </c>
    </row>
    <row r="5167" spans="1:5" ht="15" x14ac:dyDescent="0.35">
      <c r="A5167" s="58" t="s">
        <v>379</v>
      </c>
      <c r="B5167" s="58" t="s">
        <v>172</v>
      </c>
      <c r="C5167" s="58">
        <v>3</v>
      </c>
      <c r="D5167" s="58">
        <v>106</v>
      </c>
      <c r="E5167" s="59">
        <v>135</v>
      </c>
    </row>
    <row r="5168" spans="1:5" ht="15" x14ac:dyDescent="0.35">
      <c r="A5168" s="58" t="s">
        <v>379</v>
      </c>
      <c r="B5168" s="58" t="s">
        <v>172</v>
      </c>
      <c r="C5168" s="58">
        <v>4</v>
      </c>
      <c r="D5168" s="58">
        <v>107</v>
      </c>
      <c r="E5168" s="59">
        <v>135</v>
      </c>
    </row>
    <row r="5169" spans="1:5" ht="15" x14ac:dyDescent="0.35">
      <c r="A5169" s="58" t="s">
        <v>379</v>
      </c>
      <c r="B5169" s="58" t="s">
        <v>172</v>
      </c>
      <c r="C5169" s="58">
        <v>5</v>
      </c>
      <c r="D5169" s="58">
        <v>108</v>
      </c>
      <c r="E5169" s="59">
        <v>135</v>
      </c>
    </row>
    <row r="5170" spans="1:5" ht="15" x14ac:dyDescent="0.35">
      <c r="A5170" s="58" t="s">
        <v>379</v>
      </c>
      <c r="B5170" s="58" t="s">
        <v>172</v>
      </c>
      <c r="C5170" s="58">
        <v>6</v>
      </c>
      <c r="D5170" s="58">
        <v>109</v>
      </c>
      <c r="E5170" s="59">
        <v>135</v>
      </c>
    </row>
    <row r="5171" spans="1:5" ht="15" x14ac:dyDescent="0.35">
      <c r="A5171" s="58" t="s">
        <v>379</v>
      </c>
      <c r="B5171" s="58" t="s">
        <v>172</v>
      </c>
      <c r="C5171" s="58">
        <v>7</v>
      </c>
      <c r="D5171" s="58">
        <v>110</v>
      </c>
      <c r="E5171" s="59">
        <v>135</v>
      </c>
    </row>
    <row r="5172" spans="1:5" ht="15" x14ac:dyDescent="0.35">
      <c r="A5172" s="58" t="s">
        <v>379</v>
      </c>
      <c r="B5172" s="58" t="s">
        <v>172</v>
      </c>
      <c r="C5172" s="58">
        <v>8</v>
      </c>
      <c r="D5172" s="58">
        <v>111</v>
      </c>
      <c r="E5172" s="59">
        <v>135</v>
      </c>
    </row>
    <row r="5173" spans="1:5" ht="15" x14ac:dyDescent="0.35">
      <c r="A5173" s="58" t="s">
        <v>379</v>
      </c>
      <c r="B5173" s="58" t="s">
        <v>172</v>
      </c>
      <c r="C5173" s="58">
        <v>9</v>
      </c>
      <c r="D5173" s="58">
        <v>112</v>
      </c>
      <c r="E5173" s="59">
        <v>135</v>
      </c>
    </row>
    <row r="5174" spans="1:5" ht="15" x14ac:dyDescent="0.35">
      <c r="A5174" s="58" t="s">
        <v>379</v>
      </c>
      <c r="B5174" s="58" t="s">
        <v>172</v>
      </c>
      <c r="C5174" s="58">
        <v>10</v>
      </c>
      <c r="D5174" s="58">
        <v>113</v>
      </c>
      <c r="E5174" s="59">
        <v>135</v>
      </c>
    </row>
    <row r="5175" spans="1:5" ht="15" x14ac:dyDescent="0.35">
      <c r="A5175" s="58" t="s">
        <v>379</v>
      </c>
      <c r="B5175" s="58" t="s">
        <v>172</v>
      </c>
      <c r="C5175" s="58">
        <v>11</v>
      </c>
      <c r="D5175" s="58">
        <v>114</v>
      </c>
      <c r="E5175" s="59">
        <v>135</v>
      </c>
    </row>
    <row r="5176" spans="1:5" ht="15" x14ac:dyDescent="0.35">
      <c r="A5176" s="58" t="s">
        <v>379</v>
      </c>
      <c r="B5176" s="58" t="s">
        <v>172</v>
      </c>
      <c r="C5176" s="58">
        <v>12</v>
      </c>
      <c r="D5176" s="58">
        <v>115</v>
      </c>
      <c r="E5176" s="59">
        <v>135</v>
      </c>
    </row>
    <row r="5177" spans="1:5" ht="15" x14ac:dyDescent="0.35">
      <c r="A5177" s="58" t="s">
        <v>379</v>
      </c>
      <c r="B5177" s="58" t="s">
        <v>180</v>
      </c>
      <c r="C5177" s="58">
        <v>1</v>
      </c>
      <c r="D5177" s="58">
        <v>104</v>
      </c>
      <c r="E5177" s="59">
        <v>127.9392</v>
      </c>
    </row>
    <row r="5178" spans="1:5" ht="15" x14ac:dyDescent="0.35">
      <c r="A5178" s="58" t="s">
        <v>379</v>
      </c>
      <c r="B5178" s="58" t="s">
        <v>180</v>
      </c>
      <c r="C5178" s="58">
        <v>2</v>
      </c>
      <c r="D5178" s="58">
        <v>105</v>
      </c>
      <c r="E5178" s="59">
        <v>127.9392</v>
      </c>
    </row>
    <row r="5179" spans="1:5" ht="15" x14ac:dyDescent="0.35">
      <c r="A5179" s="58" t="s">
        <v>379</v>
      </c>
      <c r="B5179" s="58" t="s">
        <v>180</v>
      </c>
      <c r="C5179" s="58">
        <v>3</v>
      </c>
      <c r="D5179" s="58">
        <v>106</v>
      </c>
      <c r="E5179" s="59">
        <v>127.9392</v>
      </c>
    </row>
    <row r="5180" spans="1:5" ht="15" x14ac:dyDescent="0.35">
      <c r="A5180" s="58" t="s">
        <v>379</v>
      </c>
      <c r="B5180" s="58" t="s">
        <v>180</v>
      </c>
      <c r="C5180" s="58">
        <v>4</v>
      </c>
      <c r="D5180" s="58">
        <v>107</v>
      </c>
      <c r="E5180" s="59">
        <v>127.9392</v>
      </c>
    </row>
    <row r="5181" spans="1:5" ht="15" x14ac:dyDescent="0.35">
      <c r="A5181" s="58" t="s">
        <v>379</v>
      </c>
      <c r="B5181" s="58" t="s">
        <v>180</v>
      </c>
      <c r="C5181" s="58">
        <v>5</v>
      </c>
      <c r="D5181" s="58">
        <v>108</v>
      </c>
      <c r="E5181" s="59">
        <v>127.9392</v>
      </c>
    </row>
    <row r="5182" spans="1:5" ht="15" x14ac:dyDescent="0.35">
      <c r="A5182" s="58" t="s">
        <v>379</v>
      </c>
      <c r="B5182" s="58" t="s">
        <v>180</v>
      </c>
      <c r="C5182" s="58">
        <v>6</v>
      </c>
      <c r="D5182" s="58">
        <v>109</v>
      </c>
      <c r="E5182" s="59">
        <v>127.9392</v>
      </c>
    </row>
    <row r="5183" spans="1:5" ht="15" x14ac:dyDescent="0.35">
      <c r="A5183" s="58" t="s">
        <v>379</v>
      </c>
      <c r="B5183" s="58" t="s">
        <v>180</v>
      </c>
      <c r="C5183" s="58">
        <v>7</v>
      </c>
      <c r="D5183" s="58">
        <v>110</v>
      </c>
      <c r="E5183" s="59">
        <v>127.9392</v>
      </c>
    </row>
    <row r="5184" spans="1:5" ht="15" x14ac:dyDescent="0.35">
      <c r="A5184" s="58" t="s">
        <v>379</v>
      </c>
      <c r="B5184" s="58" t="s">
        <v>180</v>
      </c>
      <c r="C5184" s="58">
        <v>8</v>
      </c>
      <c r="D5184" s="58">
        <v>111</v>
      </c>
      <c r="E5184" s="59">
        <v>127.9392</v>
      </c>
    </row>
    <row r="5185" spans="1:5" ht="15" x14ac:dyDescent="0.35">
      <c r="A5185" s="58" t="s">
        <v>379</v>
      </c>
      <c r="B5185" s="58" t="s">
        <v>180</v>
      </c>
      <c r="C5185" s="58">
        <v>9</v>
      </c>
      <c r="D5185" s="58">
        <v>112</v>
      </c>
      <c r="E5185" s="59">
        <v>127.9392</v>
      </c>
    </row>
    <row r="5186" spans="1:5" ht="15" x14ac:dyDescent="0.35">
      <c r="A5186" s="58" t="s">
        <v>379</v>
      </c>
      <c r="B5186" s="58" t="s">
        <v>180</v>
      </c>
      <c r="C5186" s="58">
        <v>10</v>
      </c>
      <c r="D5186" s="58">
        <v>113</v>
      </c>
      <c r="E5186" s="59">
        <v>127.9392</v>
      </c>
    </row>
    <row r="5187" spans="1:5" ht="15" x14ac:dyDescent="0.35">
      <c r="A5187" s="58" t="s">
        <v>379</v>
      </c>
      <c r="B5187" s="58" t="s">
        <v>180</v>
      </c>
      <c r="C5187" s="58">
        <v>11</v>
      </c>
      <c r="D5187" s="58">
        <v>114</v>
      </c>
      <c r="E5187" s="59">
        <v>127.9392</v>
      </c>
    </row>
    <row r="5188" spans="1:5" ht="15" x14ac:dyDescent="0.35">
      <c r="A5188" s="58" t="s">
        <v>379</v>
      </c>
      <c r="B5188" s="58" t="s">
        <v>180</v>
      </c>
      <c r="C5188" s="58">
        <v>12</v>
      </c>
      <c r="D5188" s="58">
        <v>115</v>
      </c>
      <c r="E5188" s="59">
        <v>127.9392</v>
      </c>
    </row>
    <row r="5189" spans="1:5" ht="15" x14ac:dyDescent="0.35">
      <c r="A5189" s="58" t="s">
        <v>276</v>
      </c>
      <c r="B5189" s="58" t="s">
        <v>182</v>
      </c>
      <c r="C5189" s="58">
        <v>1</v>
      </c>
      <c r="D5189" s="58">
        <v>104</v>
      </c>
      <c r="E5189" s="59">
        <v>204.5531</v>
      </c>
    </row>
    <row r="5190" spans="1:5" ht="15" x14ac:dyDescent="0.35">
      <c r="A5190" s="58" t="s">
        <v>276</v>
      </c>
      <c r="B5190" s="58" t="s">
        <v>182</v>
      </c>
      <c r="C5190" s="58">
        <v>2</v>
      </c>
      <c r="D5190" s="58">
        <v>105</v>
      </c>
      <c r="E5190" s="59">
        <v>77.108699999999999</v>
      </c>
    </row>
    <row r="5191" spans="1:5" ht="15" x14ac:dyDescent="0.35">
      <c r="A5191" s="58" t="s">
        <v>276</v>
      </c>
      <c r="B5191" s="58" t="s">
        <v>182</v>
      </c>
      <c r="C5191" s="58">
        <v>3</v>
      </c>
      <c r="D5191" s="58">
        <v>106</v>
      </c>
      <c r="E5191" s="59">
        <v>77.108699999999999</v>
      </c>
    </row>
    <row r="5192" spans="1:5" ht="15" x14ac:dyDescent="0.35">
      <c r="A5192" s="58" t="s">
        <v>276</v>
      </c>
      <c r="B5192" s="58" t="s">
        <v>182</v>
      </c>
      <c r="C5192" s="58">
        <v>4</v>
      </c>
      <c r="D5192" s="58">
        <v>107</v>
      </c>
      <c r="E5192" s="59">
        <v>77.108699999999999</v>
      </c>
    </row>
    <row r="5193" spans="1:5" ht="15" x14ac:dyDescent="0.35">
      <c r="A5193" s="58" t="s">
        <v>276</v>
      </c>
      <c r="B5193" s="58" t="s">
        <v>182</v>
      </c>
      <c r="C5193" s="58">
        <v>5</v>
      </c>
      <c r="D5193" s="58">
        <v>108</v>
      </c>
      <c r="E5193" s="59">
        <v>77.108699999999999</v>
      </c>
    </row>
    <row r="5194" spans="1:5" ht="15" x14ac:dyDescent="0.35">
      <c r="A5194" s="58" t="s">
        <v>276</v>
      </c>
      <c r="B5194" s="58" t="s">
        <v>182</v>
      </c>
      <c r="C5194" s="58">
        <v>6</v>
      </c>
      <c r="D5194" s="58">
        <v>109</v>
      </c>
      <c r="E5194" s="59">
        <v>77.108699999999999</v>
      </c>
    </row>
    <row r="5195" spans="1:5" ht="15" x14ac:dyDescent="0.35">
      <c r="A5195" s="58" t="s">
        <v>276</v>
      </c>
      <c r="B5195" s="58" t="s">
        <v>182</v>
      </c>
      <c r="C5195" s="58">
        <v>7</v>
      </c>
      <c r="D5195" s="58">
        <v>110</v>
      </c>
      <c r="E5195" s="59">
        <v>77.108699999999999</v>
      </c>
    </row>
    <row r="5196" spans="1:5" ht="15" x14ac:dyDescent="0.35">
      <c r="A5196" s="58" t="s">
        <v>276</v>
      </c>
      <c r="B5196" s="58" t="s">
        <v>182</v>
      </c>
      <c r="C5196" s="58">
        <v>8</v>
      </c>
      <c r="D5196" s="58">
        <v>111</v>
      </c>
      <c r="E5196" s="59">
        <v>77.108699999999999</v>
      </c>
    </row>
    <row r="5197" spans="1:5" ht="15" x14ac:dyDescent="0.35">
      <c r="A5197" s="58" t="s">
        <v>276</v>
      </c>
      <c r="B5197" s="58" t="s">
        <v>182</v>
      </c>
      <c r="C5197" s="58">
        <v>9</v>
      </c>
      <c r="D5197" s="58">
        <v>112</v>
      </c>
      <c r="E5197" s="59">
        <v>77.108699999999999</v>
      </c>
    </row>
    <row r="5198" spans="1:5" ht="15" x14ac:dyDescent="0.35">
      <c r="A5198" s="58" t="s">
        <v>276</v>
      </c>
      <c r="B5198" s="58" t="s">
        <v>182</v>
      </c>
      <c r="C5198" s="58">
        <v>10</v>
      </c>
      <c r="D5198" s="58">
        <v>113</v>
      </c>
      <c r="E5198" s="59">
        <v>77.108699999999999</v>
      </c>
    </row>
    <row r="5199" spans="1:5" ht="15" x14ac:dyDescent="0.35">
      <c r="A5199" s="58" t="s">
        <v>276</v>
      </c>
      <c r="B5199" s="58" t="s">
        <v>182</v>
      </c>
      <c r="C5199" s="58">
        <v>11</v>
      </c>
      <c r="D5199" s="58">
        <v>114</v>
      </c>
      <c r="E5199" s="59">
        <v>77.108699999999999</v>
      </c>
    </row>
    <row r="5200" spans="1:5" ht="15" x14ac:dyDescent="0.35">
      <c r="A5200" s="58" t="s">
        <v>276</v>
      </c>
      <c r="B5200" s="58" t="s">
        <v>182</v>
      </c>
      <c r="C5200" s="58">
        <v>12</v>
      </c>
      <c r="D5200" s="58">
        <v>115</v>
      </c>
      <c r="E5200" s="59">
        <v>77.108699999999999</v>
      </c>
    </row>
    <row r="5201" spans="1:5" ht="15" x14ac:dyDescent="0.35">
      <c r="A5201" s="58" t="s">
        <v>276</v>
      </c>
      <c r="B5201" s="58" t="s">
        <v>176</v>
      </c>
      <c r="C5201" s="58">
        <v>1</v>
      </c>
      <c r="D5201" s="58">
        <v>104</v>
      </c>
      <c r="E5201" s="59">
        <v>179</v>
      </c>
    </row>
    <row r="5202" spans="1:5" ht="15" x14ac:dyDescent="0.35">
      <c r="A5202" s="58" t="s">
        <v>276</v>
      </c>
      <c r="B5202" s="58" t="s">
        <v>176</v>
      </c>
      <c r="C5202" s="58">
        <v>2</v>
      </c>
      <c r="D5202" s="58">
        <v>105</v>
      </c>
      <c r="E5202" s="59">
        <v>179</v>
      </c>
    </row>
    <row r="5203" spans="1:5" ht="15" x14ac:dyDescent="0.35">
      <c r="A5203" s="58" t="s">
        <v>276</v>
      </c>
      <c r="B5203" s="58" t="s">
        <v>176</v>
      </c>
      <c r="C5203" s="58">
        <v>3</v>
      </c>
      <c r="D5203" s="58">
        <v>106</v>
      </c>
      <c r="E5203" s="59">
        <v>179</v>
      </c>
    </row>
    <row r="5204" spans="1:5" ht="15" x14ac:dyDescent="0.35">
      <c r="A5204" s="58" t="s">
        <v>276</v>
      </c>
      <c r="B5204" s="58" t="s">
        <v>176</v>
      </c>
      <c r="C5204" s="58">
        <v>4</v>
      </c>
      <c r="D5204" s="58">
        <v>107</v>
      </c>
      <c r="E5204" s="59">
        <v>179</v>
      </c>
    </row>
    <row r="5205" spans="1:5" ht="15" x14ac:dyDescent="0.35">
      <c r="A5205" s="58" t="s">
        <v>276</v>
      </c>
      <c r="B5205" s="58" t="s">
        <v>176</v>
      </c>
      <c r="C5205" s="58">
        <v>5</v>
      </c>
      <c r="D5205" s="58">
        <v>108</v>
      </c>
      <c r="E5205" s="59">
        <v>179</v>
      </c>
    </row>
    <row r="5206" spans="1:5" ht="15" x14ac:dyDescent="0.35">
      <c r="A5206" s="58" t="s">
        <v>276</v>
      </c>
      <c r="B5206" s="58" t="s">
        <v>176</v>
      </c>
      <c r="C5206" s="58">
        <v>6</v>
      </c>
      <c r="D5206" s="58">
        <v>109</v>
      </c>
      <c r="E5206" s="59">
        <v>179</v>
      </c>
    </row>
    <row r="5207" spans="1:5" ht="15" x14ac:dyDescent="0.35">
      <c r="A5207" s="58" t="s">
        <v>276</v>
      </c>
      <c r="B5207" s="58" t="s">
        <v>176</v>
      </c>
      <c r="C5207" s="58">
        <v>7</v>
      </c>
      <c r="D5207" s="58">
        <v>110</v>
      </c>
      <c r="E5207" s="59">
        <v>179</v>
      </c>
    </row>
    <row r="5208" spans="1:5" ht="15" x14ac:dyDescent="0.35">
      <c r="A5208" s="58" t="s">
        <v>276</v>
      </c>
      <c r="B5208" s="58" t="s">
        <v>176</v>
      </c>
      <c r="C5208" s="58">
        <v>8</v>
      </c>
      <c r="D5208" s="58">
        <v>111</v>
      </c>
      <c r="E5208" s="59">
        <v>179</v>
      </c>
    </row>
    <row r="5209" spans="1:5" ht="15" x14ac:dyDescent="0.35">
      <c r="A5209" s="58" t="s">
        <v>276</v>
      </c>
      <c r="B5209" s="58" t="s">
        <v>176</v>
      </c>
      <c r="C5209" s="58">
        <v>9</v>
      </c>
      <c r="D5209" s="58">
        <v>112</v>
      </c>
      <c r="E5209" s="59">
        <v>179</v>
      </c>
    </row>
    <row r="5210" spans="1:5" ht="15" x14ac:dyDescent="0.35">
      <c r="A5210" s="58" t="s">
        <v>276</v>
      </c>
      <c r="B5210" s="58" t="s">
        <v>176</v>
      </c>
      <c r="C5210" s="58">
        <v>10</v>
      </c>
      <c r="D5210" s="58">
        <v>113</v>
      </c>
      <c r="E5210" s="59">
        <v>179</v>
      </c>
    </row>
    <row r="5211" spans="1:5" ht="15" x14ac:dyDescent="0.35">
      <c r="A5211" s="58" t="s">
        <v>276</v>
      </c>
      <c r="B5211" s="58" t="s">
        <v>176</v>
      </c>
      <c r="C5211" s="58">
        <v>11</v>
      </c>
      <c r="D5211" s="58">
        <v>114</v>
      </c>
      <c r="E5211" s="59">
        <v>179</v>
      </c>
    </row>
    <row r="5212" spans="1:5" ht="15" x14ac:dyDescent="0.35">
      <c r="A5212" s="58" t="s">
        <v>276</v>
      </c>
      <c r="B5212" s="58" t="s">
        <v>176</v>
      </c>
      <c r="C5212" s="58">
        <v>12</v>
      </c>
      <c r="D5212" s="58">
        <v>115</v>
      </c>
      <c r="E5212" s="59">
        <v>179</v>
      </c>
    </row>
    <row r="5213" spans="1:5" ht="15" x14ac:dyDescent="0.35">
      <c r="A5213" s="58" t="s">
        <v>276</v>
      </c>
      <c r="B5213" s="58" t="s">
        <v>172</v>
      </c>
      <c r="C5213" s="58">
        <v>1</v>
      </c>
      <c r="D5213" s="58">
        <v>104</v>
      </c>
      <c r="E5213" s="59">
        <v>201</v>
      </c>
    </row>
    <row r="5214" spans="1:5" ht="15" x14ac:dyDescent="0.35">
      <c r="A5214" s="58" t="s">
        <v>276</v>
      </c>
      <c r="B5214" s="58" t="s">
        <v>172</v>
      </c>
      <c r="C5214" s="58">
        <v>2</v>
      </c>
      <c r="D5214" s="58">
        <v>105</v>
      </c>
      <c r="E5214" s="59">
        <v>201</v>
      </c>
    </row>
    <row r="5215" spans="1:5" ht="15" x14ac:dyDescent="0.35">
      <c r="A5215" s="58" t="s">
        <v>276</v>
      </c>
      <c r="B5215" s="58" t="s">
        <v>172</v>
      </c>
      <c r="C5215" s="58">
        <v>3</v>
      </c>
      <c r="D5215" s="58">
        <v>106</v>
      </c>
      <c r="E5215" s="59">
        <v>201</v>
      </c>
    </row>
    <row r="5216" spans="1:5" ht="15" x14ac:dyDescent="0.35">
      <c r="A5216" s="58" t="s">
        <v>276</v>
      </c>
      <c r="B5216" s="58" t="s">
        <v>172</v>
      </c>
      <c r="C5216" s="58">
        <v>4</v>
      </c>
      <c r="D5216" s="58">
        <v>107</v>
      </c>
      <c r="E5216" s="59">
        <v>201</v>
      </c>
    </row>
    <row r="5217" spans="1:5" ht="15" x14ac:dyDescent="0.35">
      <c r="A5217" s="58" t="s">
        <v>276</v>
      </c>
      <c r="B5217" s="58" t="s">
        <v>172</v>
      </c>
      <c r="C5217" s="58">
        <v>5</v>
      </c>
      <c r="D5217" s="58">
        <v>108</v>
      </c>
      <c r="E5217" s="59">
        <v>201</v>
      </c>
    </row>
    <row r="5218" spans="1:5" ht="15" x14ac:dyDescent="0.35">
      <c r="A5218" s="58" t="s">
        <v>276</v>
      </c>
      <c r="B5218" s="58" t="s">
        <v>172</v>
      </c>
      <c r="C5218" s="58">
        <v>6</v>
      </c>
      <c r="D5218" s="58">
        <v>109</v>
      </c>
      <c r="E5218" s="59">
        <v>201</v>
      </c>
    </row>
    <row r="5219" spans="1:5" ht="15" x14ac:dyDescent="0.35">
      <c r="A5219" s="58" t="s">
        <v>276</v>
      </c>
      <c r="B5219" s="58" t="s">
        <v>172</v>
      </c>
      <c r="C5219" s="58">
        <v>7</v>
      </c>
      <c r="D5219" s="58">
        <v>110</v>
      </c>
      <c r="E5219" s="59">
        <v>201</v>
      </c>
    </row>
    <row r="5220" spans="1:5" ht="15" x14ac:dyDescent="0.35">
      <c r="A5220" s="58" t="s">
        <v>276</v>
      </c>
      <c r="B5220" s="58" t="s">
        <v>172</v>
      </c>
      <c r="C5220" s="58">
        <v>8</v>
      </c>
      <c r="D5220" s="58">
        <v>111</v>
      </c>
      <c r="E5220" s="59">
        <v>201</v>
      </c>
    </row>
    <row r="5221" spans="1:5" ht="15" x14ac:dyDescent="0.35">
      <c r="A5221" s="58" t="s">
        <v>276</v>
      </c>
      <c r="B5221" s="58" t="s">
        <v>172</v>
      </c>
      <c r="C5221" s="58">
        <v>9</v>
      </c>
      <c r="D5221" s="58">
        <v>112</v>
      </c>
      <c r="E5221" s="59">
        <v>201</v>
      </c>
    </row>
    <row r="5222" spans="1:5" ht="15" x14ac:dyDescent="0.35">
      <c r="A5222" s="58" t="s">
        <v>276</v>
      </c>
      <c r="B5222" s="58" t="s">
        <v>172</v>
      </c>
      <c r="C5222" s="58">
        <v>10</v>
      </c>
      <c r="D5222" s="58">
        <v>113</v>
      </c>
      <c r="E5222" s="59">
        <v>201</v>
      </c>
    </row>
    <row r="5223" spans="1:5" ht="15" x14ac:dyDescent="0.35">
      <c r="A5223" s="58" t="s">
        <v>276</v>
      </c>
      <c r="B5223" s="58" t="s">
        <v>172</v>
      </c>
      <c r="C5223" s="58">
        <v>11</v>
      </c>
      <c r="D5223" s="58">
        <v>114</v>
      </c>
      <c r="E5223" s="59">
        <v>201</v>
      </c>
    </row>
    <row r="5224" spans="1:5" ht="15" x14ac:dyDescent="0.35">
      <c r="A5224" s="58" t="s">
        <v>276</v>
      </c>
      <c r="B5224" s="58" t="s">
        <v>172</v>
      </c>
      <c r="C5224" s="58">
        <v>12</v>
      </c>
      <c r="D5224" s="58">
        <v>115</v>
      </c>
      <c r="E5224" s="59">
        <v>201</v>
      </c>
    </row>
    <row r="5225" spans="1:5" ht="15" x14ac:dyDescent="0.35">
      <c r="A5225" s="58" t="s">
        <v>276</v>
      </c>
      <c r="B5225" s="58" t="s">
        <v>180</v>
      </c>
      <c r="C5225" s="58">
        <v>1</v>
      </c>
      <c r="D5225" s="58">
        <v>104</v>
      </c>
      <c r="E5225" s="59">
        <v>211.44370000000001</v>
      </c>
    </row>
    <row r="5226" spans="1:5" ht="15" x14ac:dyDescent="0.35">
      <c r="A5226" s="58" t="s">
        <v>276</v>
      </c>
      <c r="B5226" s="58" t="s">
        <v>180</v>
      </c>
      <c r="C5226" s="58">
        <v>2</v>
      </c>
      <c r="D5226" s="58">
        <v>105</v>
      </c>
      <c r="E5226" s="59">
        <v>211.44370000000001</v>
      </c>
    </row>
    <row r="5227" spans="1:5" ht="15" x14ac:dyDescent="0.35">
      <c r="A5227" s="58" t="s">
        <v>276</v>
      </c>
      <c r="B5227" s="58" t="s">
        <v>180</v>
      </c>
      <c r="C5227" s="58">
        <v>3</v>
      </c>
      <c r="D5227" s="58">
        <v>106</v>
      </c>
      <c r="E5227" s="59">
        <v>211.44370000000001</v>
      </c>
    </row>
    <row r="5228" spans="1:5" ht="15" x14ac:dyDescent="0.35">
      <c r="A5228" s="58" t="s">
        <v>276</v>
      </c>
      <c r="B5228" s="58" t="s">
        <v>180</v>
      </c>
      <c r="C5228" s="58">
        <v>4</v>
      </c>
      <c r="D5228" s="58">
        <v>107</v>
      </c>
      <c r="E5228" s="59">
        <v>211.44370000000001</v>
      </c>
    </row>
    <row r="5229" spans="1:5" ht="15" x14ac:dyDescent="0.35">
      <c r="A5229" s="58" t="s">
        <v>276</v>
      </c>
      <c r="B5229" s="58" t="s">
        <v>180</v>
      </c>
      <c r="C5229" s="58">
        <v>5</v>
      </c>
      <c r="D5229" s="58">
        <v>108</v>
      </c>
      <c r="E5229" s="59">
        <v>211.44370000000001</v>
      </c>
    </row>
    <row r="5230" spans="1:5" ht="15" x14ac:dyDescent="0.35">
      <c r="A5230" s="58" t="s">
        <v>276</v>
      </c>
      <c r="B5230" s="58" t="s">
        <v>180</v>
      </c>
      <c r="C5230" s="58">
        <v>6</v>
      </c>
      <c r="D5230" s="58">
        <v>109</v>
      </c>
      <c r="E5230" s="59">
        <v>211.44370000000001</v>
      </c>
    </row>
    <row r="5231" spans="1:5" ht="15" x14ac:dyDescent="0.35">
      <c r="A5231" s="58" t="s">
        <v>276</v>
      </c>
      <c r="B5231" s="58" t="s">
        <v>180</v>
      </c>
      <c r="C5231" s="58">
        <v>7</v>
      </c>
      <c r="D5231" s="58">
        <v>110</v>
      </c>
      <c r="E5231" s="59">
        <v>211.44370000000001</v>
      </c>
    </row>
    <row r="5232" spans="1:5" ht="15" x14ac:dyDescent="0.35">
      <c r="A5232" s="58" t="s">
        <v>276</v>
      </c>
      <c r="B5232" s="58" t="s">
        <v>180</v>
      </c>
      <c r="C5232" s="58">
        <v>8</v>
      </c>
      <c r="D5232" s="58">
        <v>111</v>
      </c>
      <c r="E5232" s="59">
        <v>211.44370000000001</v>
      </c>
    </row>
    <row r="5233" spans="1:5" ht="15" x14ac:dyDescent="0.35">
      <c r="A5233" s="58" t="s">
        <v>276</v>
      </c>
      <c r="B5233" s="58" t="s">
        <v>180</v>
      </c>
      <c r="C5233" s="58">
        <v>9</v>
      </c>
      <c r="D5233" s="58">
        <v>112</v>
      </c>
      <c r="E5233" s="59">
        <v>211.44370000000001</v>
      </c>
    </row>
    <row r="5234" spans="1:5" ht="15" x14ac:dyDescent="0.35">
      <c r="A5234" s="58" t="s">
        <v>276</v>
      </c>
      <c r="B5234" s="58" t="s">
        <v>180</v>
      </c>
      <c r="C5234" s="58">
        <v>10</v>
      </c>
      <c r="D5234" s="58">
        <v>113</v>
      </c>
      <c r="E5234" s="59">
        <v>211.44370000000001</v>
      </c>
    </row>
    <row r="5235" spans="1:5" ht="15" x14ac:dyDescent="0.35">
      <c r="A5235" s="58" t="s">
        <v>276</v>
      </c>
      <c r="B5235" s="58" t="s">
        <v>180</v>
      </c>
      <c r="C5235" s="58">
        <v>11</v>
      </c>
      <c r="D5235" s="58">
        <v>114</v>
      </c>
      <c r="E5235" s="59">
        <v>211.44370000000001</v>
      </c>
    </row>
    <row r="5236" spans="1:5" ht="15" x14ac:dyDescent="0.35">
      <c r="A5236" s="58" t="s">
        <v>276</v>
      </c>
      <c r="B5236" s="58" t="s">
        <v>180</v>
      </c>
      <c r="C5236" s="58">
        <v>12</v>
      </c>
      <c r="D5236" s="58">
        <v>115</v>
      </c>
      <c r="E5236" s="59">
        <v>211.44370000000001</v>
      </c>
    </row>
    <row r="5237" spans="1:5" ht="15" x14ac:dyDescent="0.35">
      <c r="A5237" s="58" t="s">
        <v>375</v>
      </c>
      <c r="B5237" s="58" t="s">
        <v>182</v>
      </c>
      <c r="C5237" s="58">
        <v>1</v>
      </c>
      <c r="D5237" s="58">
        <v>104</v>
      </c>
      <c r="E5237" s="59">
        <v>15.5604</v>
      </c>
    </row>
    <row r="5238" spans="1:5" ht="15" x14ac:dyDescent="0.35">
      <c r="A5238" s="58" t="s">
        <v>375</v>
      </c>
      <c r="B5238" s="58" t="s">
        <v>182</v>
      </c>
      <c r="C5238" s="58">
        <v>2</v>
      </c>
      <c r="D5238" s="58">
        <v>105</v>
      </c>
      <c r="E5238" s="59">
        <v>0</v>
      </c>
    </row>
    <row r="5239" spans="1:5" ht="15" x14ac:dyDescent="0.35">
      <c r="A5239" s="58" t="s">
        <v>375</v>
      </c>
      <c r="B5239" s="58" t="s">
        <v>182</v>
      </c>
      <c r="C5239" s="58">
        <v>3</v>
      </c>
      <c r="D5239" s="58">
        <v>106</v>
      </c>
      <c r="E5239" s="59">
        <v>0</v>
      </c>
    </row>
    <row r="5240" spans="1:5" ht="15" x14ac:dyDescent="0.35">
      <c r="A5240" s="58" t="s">
        <v>375</v>
      </c>
      <c r="B5240" s="58" t="s">
        <v>182</v>
      </c>
      <c r="C5240" s="58">
        <v>4</v>
      </c>
      <c r="D5240" s="58">
        <v>107</v>
      </c>
      <c r="E5240" s="59">
        <v>0</v>
      </c>
    </row>
    <row r="5241" spans="1:5" ht="15" x14ac:dyDescent="0.35">
      <c r="A5241" s="58" t="s">
        <v>375</v>
      </c>
      <c r="B5241" s="58" t="s">
        <v>182</v>
      </c>
      <c r="C5241" s="58">
        <v>5</v>
      </c>
      <c r="D5241" s="58">
        <v>108</v>
      </c>
      <c r="E5241" s="59">
        <v>0</v>
      </c>
    </row>
    <row r="5242" spans="1:5" ht="15" x14ac:dyDescent="0.35">
      <c r="A5242" s="58" t="s">
        <v>375</v>
      </c>
      <c r="B5242" s="58" t="s">
        <v>182</v>
      </c>
      <c r="C5242" s="58">
        <v>6</v>
      </c>
      <c r="D5242" s="58">
        <v>109</v>
      </c>
      <c r="E5242" s="59">
        <v>0</v>
      </c>
    </row>
    <row r="5243" spans="1:5" ht="15" x14ac:dyDescent="0.35">
      <c r="A5243" s="58" t="s">
        <v>375</v>
      </c>
      <c r="B5243" s="58" t="s">
        <v>182</v>
      </c>
      <c r="C5243" s="58">
        <v>7</v>
      </c>
      <c r="D5243" s="58">
        <v>110</v>
      </c>
      <c r="E5243" s="59">
        <v>0</v>
      </c>
    </row>
    <row r="5244" spans="1:5" ht="15" x14ac:dyDescent="0.35">
      <c r="A5244" s="58" t="s">
        <v>375</v>
      </c>
      <c r="B5244" s="58" t="s">
        <v>182</v>
      </c>
      <c r="C5244" s="58">
        <v>8</v>
      </c>
      <c r="D5244" s="58">
        <v>111</v>
      </c>
      <c r="E5244" s="59">
        <v>0</v>
      </c>
    </row>
    <row r="5245" spans="1:5" ht="15" x14ac:dyDescent="0.35">
      <c r="A5245" s="58" t="s">
        <v>375</v>
      </c>
      <c r="B5245" s="58" t="s">
        <v>182</v>
      </c>
      <c r="C5245" s="58">
        <v>9</v>
      </c>
      <c r="D5245" s="58">
        <v>112</v>
      </c>
      <c r="E5245" s="59">
        <v>0</v>
      </c>
    </row>
    <row r="5246" spans="1:5" ht="15" x14ac:dyDescent="0.35">
      <c r="A5246" s="58" t="s">
        <v>375</v>
      </c>
      <c r="B5246" s="58" t="s">
        <v>182</v>
      </c>
      <c r="C5246" s="58">
        <v>10</v>
      </c>
      <c r="D5246" s="58">
        <v>113</v>
      </c>
      <c r="E5246" s="59">
        <v>0</v>
      </c>
    </row>
    <row r="5247" spans="1:5" ht="15" x14ac:dyDescent="0.35">
      <c r="A5247" s="58" t="s">
        <v>375</v>
      </c>
      <c r="B5247" s="58" t="s">
        <v>182</v>
      </c>
      <c r="C5247" s="58">
        <v>11</v>
      </c>
      <c r="D5247" s="58">
        <v>114</v>
      </c>
      <c r="E5247" s="59">
        <v>0</v>
      </c>
    </row>
    <row r="5248" spans="1:5" ht="15" x14ac:dyDescent="0.35">
      <c r="A5248" s="58" t="s">
        <v>375</v>
      </c>
      <c r="B5248" s="58" t="s">
        <v>182</v>
      </c>
      <c r="C5248" s="58">
        <v>12</v>
      </c>
      <c r="D5248" s="58">
        <v>115</v>
      </c>
      <c r="E5248" s="59">
        <v>0</v>
      </c>
    </row>
    <row r="5249" spans="1:5" ht="15" x14ac:dyDescent="0.35">
      <c r="A5249" s="58" t="s">
        <v>375</v>
      </c>
      <c r="B5249" s="58" t="s">
        <v>176</v>
      </c>
      <c r="C5249" s="58">
        <v>1</v>
      </c>
      <c r="D5249" s="58">
        <v>104</v>
      </c>
      <c r="E5249" s="59">
        <v>18</v>
      </c>
    </row>
    <row r="5250" spans="1:5" ht="15" x14ac:dyDescent="0.35">
      <c r="A5250" s="58" t="s">
        <v>375</v>
      </c>
      <c r="B5250" s="58" t="s">
        <v>176</v>
      </c>
      <c r="C5250" s="58">
        <v>2</v>
      </c>
      <c r="D5250" s="58">
        <v>105</v>
      </c>
      <c r="E5250" s="59">
        <v>18</v>
      </c>
    </row>
    <row r="5251" spans="1:5" ht="15" x14ac:dyDescent="0.35">
      <c r="A5251" s="58" t="s">
        <v>375</v>
      </c>
      <c r="B5251" s="58" t="s">
        <v>176</v>
      </c>
      <c r="C5251" s="58">
        <v>3</v>
      </c>
      <c r="D5251" s="58">
        <v>106</v>
      </c>
      <c r="E5251" s="59">
        <v>18</v>
      </c>
    </row>
    <row r="5252" spans="1:5" ht="15" x14ac:dyDescent="0.35">
      <c r="A5252" s="58" t="s">
        <v>375</v>
      </c>
      <c r="B5252" s="58" t="s">
        <v>176</v>
      </c>
      <c r="C5252" s="58">
        <v>4</v>
      </c>
      <c r="D5252" s="58">
        <v>107</v>
      </c>
      <c r="E5252" s="59">
        <v>18</v>
      </c>
    </row>
    <row r="5253" spans="1:5" ht="15" x14ac:dyDescent="0.35">
      <c r="A5253" s="58" t="s">
        <v>375</v>
      </c>
      <c r="B5253" s="58" t="s">
        <v>176</v>
      </c>
      <c r="C5253" s="58">
        <v>5</v>
      </c>
      <c r="D5253" s="58">
        <v>108</v>
      </c>
      <c r="E5253" s="59">
        <v>18</v>
      </c>
    </row>
    <row r="5254" spans="1:5" ht="15" x14ac:dyDescent="0.35">
      <c r="A5254" s="58" t="s">
        <v>375</v>
      </c>
      <c r="B5254" s="58" t="s">
        <v>176</v>
      </c>
      <c r="C5254" s="58">
        <v>6</v>
      </c>
      <c r="D5254" s="58">
        <v>109</v>
      </c>
      <c r="E5254" s="59">
        <v>18</v>
      </c>
    </row>
    <row r="5255" spans="1:5" ht="15" x14ac:dyDescent="0.35">
      <c r="A5255" s="58" t="s">
        <v>375</v>
      </c>
      <c r="B5255" s="58" t="s">
        <v>176</v>
      </c>
      <c r="C5255" s="58">
        <v>7</v>
      </c>
      <c r="D5255" s="58">
        <v>110</v>
      </c>
      <c r="E5255" s="59">
        <v>18</v>
      </c>
    </row>
    <row r="5256" spans="1:5" ht="15" x14ac:dyDescent="0.35">
      <c r="A5256" s="58" t="s">
        <v>375</v>
      </c>
      <c r="B5256" s="58" t="s">
        <v>176</v>
      </c>
      <c r="C5256" s="58">
        <v>8</v>
      </c>
      <c r="D5256" s="58">
        <v>111</v>
      </c>
      <c r="E5256" s="59">
        <v>18</v>
      </c>
    </row>
    <row r="5257" spans="1:5" ht="15" x14ac:dyDescent="0.35">
      <c r="A5257" s="58" t="s">
        <v>375</v>
      </c>
      <c r="B5257" s="58" t="s">
        <v>176</v>
      </c>
      <c r="C5257" s="58">
        <v>9</v>
      </c>
      <c r="D5257" s="58">
        <v>112</v>
      </c>
      <c r="E5257" s="59">
        <v>18</v>
      </c>
    </row>
    <row r="5258" spans="1:5" ht="15" x14ac:dyDescent="0.35">
      <c r="A5258" s="58" t="s">
        <v>375</v>
      </c>
      <c r="B5258" s="58" t="s">
        <v>176</v>
      </c>
      <c r="C5258" s="58">
        <v>10</v>
      </c>
      <c r="D5258" s="58">
        <v>113</v>
      </c>
      <c r="E5258" s="59">
        <v>18</v>
      </c>
    </row>
    <row r="5259" spans="1:5" ht="15" x14ac:dyDescent="0.35">
      <c r="A5259" s="58" t="s">
        <v>375</v>
      </c>
      <c r="B5259" s="58" t="s">
        <v>176</v>
      </c>
      <c r="C5259" s="58">
        <v>11</v>
      </c>
      <c r="D5259" s="58">
        <v>114</v>
      </c>
      <c r="E5259" s="59">
        <v>18</v>
      </c>
    </row>
    <row r="5260" spans="1:5" ht="15" x14ac:dyDescent="0.35">
      <c r="A5260" s="58" t="s">
        <v>375</v>
      </c>
      <c r="B5260" s="58" t="s">
        <v>176</v>
      </c>
      <c r="C5260" s="58">
        <v>12</v>
      </c>
      <c r="D5260" s="58">
        <v>115</v>
      </c>
      <c r="E5260" s="59">
        <v>18</v>
      </c>
    </row>
    <row r="5261" spans="1:5" ht="15" x14ac:dyDescent="0.35">
      <c r="A5261" s="58" t="s">
        <v>375</v>
      </c>
      <c r="B5261" s="58" t="s">
        <v>172</v>
      </c>
      <c r="C5261" s="58">
        <v>1</v>
      </c>
      <c r="D5261" s="58">
        <v>104</v>
      </c>
      <c r="E5261" s="59">
        <v>12</v>
      </c>
    </row>
    <row r="5262" spans="1:5" ht="15" x14ac:dyDescent="0.35">
      <c r="A5262" s="58" t="s">
        <v>375</v>
      </c>
      <c r="B5262" s="58" t="s">
        <v>172</v>
      </c>
      <c r="C5262" s="58">
        <v>2</v>
      </c>
      <c r="D5262" s="58">
        <v>105</v>
      </c>
      <c r="E5262" s="59">
        <v>12</v>
      </c>
    </row>
    <row r="5263" spans="1:5" ht="15" x14ac:dyDescent="0.35">
      <c r="A5263" s="58" t="s">
        <v>375</v>
      </c>
      <c r="B5263" s="58" t="s">
        <v>172</v>
      </c>
      <c r="C5263" s="58">
        <v>3</v>
      </c>
      <c r="D5263" s="58">
        <v>106</v>
      </c>
      <c r="E5263" s="59">
        <v>12</v>
      </c>
    </row>
    <row r="5264" spans="1:5" ht="15" x14ac:dyDescent="0.35">
      <c r="A5264" s="58" t="s">
        <v>375</v>
      </c>
      <c r="B5264" s="58" t="s">
        <v>172</v>
      </c>
      <c r="C5264" s="58">
        <v>4</v>
      </c>
      <c r="D5264" s="58">
        <v>107</v>
      </c>
      <c r="E5264" s="59">
        <v>12</v>
      </c>
    </row>
    <row r="5265" spans="1:5" ht="15" x14ac:dyDescent="0.35">
      <c r="A5265" s="58" t="s">
        <v>375</v>
      </c>
      <c r="B5265" s="58" t="s">
        <v>172</v>
      </c>
      <c r="C5265" s="58">
        <v>5</v>
      </c>
      <c r="D5265" s="58">
        <v>108</v>
      </c>
      <c r="E5265" s="59">
        <v>12</v>
      </c>
    </row>
    <row r="5266" spans="1:5" ht="15" x14ac:dyDescent="0.35">
      <c r="A5266" s="58" t="s">
        <v>375</v>
      </c>
      <c r="B5266" s="58" t="s">
        <v>172</v>
      </c>
      <c r="C5266" s="58">
        <v>6</v>
      </c>
      <c r="D5266" s="58">
        <v>109</v>
      </c>
      <c r="E5266" s="59">
        <v>12</v>
      </c>
    </row>
    <row r="5267" spans="1:5" ht="15" x14ac:dyDescent="0.35">
      <c r="A5267" s="58" t="s">
        <v>375</v>
      </c>
      <c r="B5267" s="58" t="s">
        <v>172</v>
      </c>
      <c r="C5267" s="58">
        <v>7</v>
      </c>
      <c r="D5267" s="58">
        <v>110</v>
      </c>
      <c r="E5267" s="59">
        <v>12</v>
      </c>
    </row>
    <row r="5268" spans="1:5" ht="15" x14ac:dyDescent="0.35">
      <c r="A5268" s="58" t="s">
        <v>375</v>
      </c>
      <c r="B5268" s="58" t="s">
        <v>172</v>
      </c>
      <c r="C5268" s="58">
        <v>8</v>
      </c>
      <c r="D5268" s="58">
        <v>111</v>
      </c>
      <c r="E5268" s="59">
        <v>12</v>
      </c>
    </row>
    <row r="5269" spans="1:5" ht="15" x14ac:dyDescent="0.35">
      <c r="A5269" s="58" t="s">
        <v>375</v>
      </c>
      <c r="B5269" s="58" t="s">
        <v>172</v>
      </c>
      <c r="C5269" s="58">
        <v>9</v>
      </c>
      <c r="D5269" s="58">
        <v>112</v>
      </c>
      <c r="E5269" s="59">
        <v>12</v>
      </c>
    </row>
    <row r="5270" spans="1:5" ht="15" x14ac:dyDescent="0.35">
      <c r="A5270" s="58" t="s">
        <v>375</v>
      </c>
      <c r="B5270" s="58" t="s">
        <v>172</v>
      </c>
      <c r="C5270" s="58">
        <v>10</v>
      </c>
      <c r="D5270" s="58">
        <v>113</v>
      </c>
      <c r="E5270" s="59">
        <v>12</v>
      </c>
    </row>
    <row r="5271" spans="1:5" ht="15" x14ac:dyDescent="0.35">
      <c r="A5271" s="58" t="s">
        <v>375</v>
      </c>
      <c r="B5271" s="58" t="s">
        <v>172</v>
      </c>
      <c r="C5271" s="58">
        <v>11</v>
      </c>
      <c r="D5271" s="58">
        <v>114</v>
      </c>
      <c r="E5271" s="59">
        <v>12</v>
      </c>
    </row>
    <row r="5272" spans="1:5" ht="15" x14ac:dyDescent="0.35">
      <c r="A5272" s="58" t="s">
        <v>375</v>
      </c>
      <c r="B5272" s="58" t="s">
        <v>172</v>
      </c>
      <c r="C5272" s="58">
        <v>12</v>
      </c>
      <c r="D5272" s="58">
        <v>115</v>
      </c>
      <c r="E5272" s="59">
        <v>12</v>
      </c>
    </row>
    <row r="5273" spans="1:5" ht="15" x14ac:dyDescent="0.35">
      <c r="A5273" s="58" t="s">
        <v>375</v>
      </c>
      <c r="B5273" s="58" t="s">
        <v>180</v>
      </c>
      <c r="C5273" s="58">
        <v>1</v>
      </c>
      <c r="D5273" s="58">
        <v>104</v>
      </c>
      <c r="E5273" s="59">
        <v>22.8872</v>
      </c>
    </row>
    <row r="5274" spans="1:5" ht="15" x14ac:dyDescent="0.35">
      <c r="A5274" s="58" t="s">
        <v>375</v>
      </c>
      <c r="B5274" s="58" t="s">
        <v>180</v>
      </c>
      <c r="C5274" s="58">
        <v>2</v>
      </c>
      <c r="D5274" s="58">
        <v>105</v>
      </c>
      <c r="E5274" s="59">
        <v>22.8872</v>
      </c>
    </row>
    <row r="5275" spans="1:5" ht="15" x14ac:dyDescent="0.35">
      <c r="A5275" s="58" t="s">
        <v>375</v>
      </c>
      <c r="B5275" s="58" t="s">
        <v>180</v>
      </c>
      <c r="C5275" s="58">
        <v>3</v>
      </c>
      <c r="D5275" s="58">
        <v>106</v>
      </c>
      <c r="E5275" s="59">
        <v>22.8872</v>
      </c>
    </row>
    <row r="5276" spans="1:5" ht="15" x14ac:dyDescent="0.35">
      <c r="A5276" s="58" t="s">
        <v>375</v>
      </c>
      <c r="B5276" s="58" t="s">
        <v>180</v>
      </c>
      <c r="C5276" s="58">
        <v>4</v>
      </c>
      <c r="D5276" s="58">
        <v>107</v>
      </c>
      <c r="E5276" s="59">
        <v>22.8872</v>
      </c>
    </row>
    <row r="5277" spans="1:5" ht="15" x14ac:dyDescent="0.35">
      <c r="A5277" s="58" t="s">
        <v>375</v>
      </c>
      <c r="B5277" s="58" t="s">
        <v>180</v>
      </c>
      <c r="C5277" s="58">
        <v>5</v>
      </c>
      <c r="D5277" s="58">
        <v>108</v>
      </c>
      <c r="E5277" s="59">
        <v>22.8872</v>
      </c>
    </row>
    <row r="5278" spans="1:5" ht="15" x14ac:dyDescent="0.35">
      <c r="A5278" s="58" t="s">
        <v>375</v>
      </c>
      <c r="B5278" s="58" t="s">
        <v>180</v>
      </c>
      <c r="C5278" s="58">
        <v>6</v>
      </c>
      <c r="D5278" s="58">
        <v>109</v>
      </c>
      <c r="E5278" s="59">
        <v>22.8872</v>
      </c>
    </row>
    <row r="5279" spans="1:5" ht="15" x14ac:dyDescent="0.35">
      <c r="A5279" s="58" t="s">
        <v>375</v>
      </c>
      <c r="B5279" s="58" t="s">
        <v>180</v>
      </c>
      <c r="C5279" s="58">
        <v>7</v>
      </c>
      <c r="D5279" s="58">
        <v>110</v>
      </c>
      <c r="E5279" s="59">
        <v>22.8872</v>
      </c>
    </row>
    <row r="5280" spans="1:5" ht="15" x14ac:dyDescent="0.35">
      <c r="A5280" s="58" t="s">
        <v>375</v>
      </c>
      <c r="B5280" s="58" t="s">
        <v>180</v>
      </c>
      <c r="C5280" s="58">
        <v>8</v>
      </c>
      <c r="D5280" s="58">
        <v>111</v>
      </c>
      <c r="E5280" s="59">
        <v>22.8872</v>
      </c>
    </row>
    <row r="5281" spans="1:5" ht="15" x14ac:dyDescent="0.35">
      <c r="A5281" s="58" t="s">
        <v>375</v>
      </c>
      <c r="B5281" s="58" t="s">
        <v>180</v>
      </c>
      <c r="C5281" s="58">
        <v>9</v>
      </c>
      <c r="D5281" s="58">
        <v>112</v>
      </c>
      <c r="E5281" s="59">
        <v>22.8872</v>
      </c>
    </row>
    <row r="5282" spans="1:5" ht="15" x14ac:dyDescent="0.35">
      <c r="A5282" s="58" t="s">
        <v>375</v>
      </c>
      <c r="B5282" s="58" t="s">
        <v>180</v>
      </c>
      <c r="C5282" s="58">
        <v>10</v>
      </c>
      <c r="D5282" s="58">
        <v>113</v>
      </c>
      <c r="E5282" s="59">
        <v>22.8872</v>
      </c>
    </row>
    <row r="5283" spans="1:5" ht="15" x14ac:dyDescent="0.35">
      <c r="A5283" s="58" t="s">
        <v>375</v>
      </c>
      <c r="B5283" s="58" t="s">
        <v>180</v>
      </c>
      <c r="C5283" s="58">
        <v>11</v>
      </c>
      <c r="D5283" s="58">
        <v>114</v>
      </c>
      <c r="E5283" s="59">
        <v>22.8872</v>
      </c>
    </row>
    <row r="5284" spans="1:5" ht="15" x14ac:dyDescent="0.35">
      <c r="A5284" s="58" t="s">
        <v>375</v>
      </c>
      <c r="B5284" s="58" t="s">
        <v>180</v>
      </c>
      <c r="C5284" s="58">
        <v>12</v>
      </c>
      <c r="D5284" s="58">
        <v>115</v>
      </c>
      <c r="E5284" s="59">
        <v>22.8872</v>
      </c>
    </row>
    <row r="5285" spans="1:5" ht="15" x14ac:dyDescent="0.35">
      <c r="A5285" s="58" t="s">
        <v>245</v>
      </c>
      <c r="B5285" s="58" t="s">
        <v>182</v>
      </c>
      <c r="C5285" s="58">
        <v>1</v>
      </c>
      <c r="D5285" s="58">
        <v>104</v>
      </c>
      <c r="E5285" s="59">
        <v>192.61349999999999</v>
      </c>
    </row>
    <row r="5286" spans="1:5" ht="15" x14ac:dyDescent="0.35">
      <c r="A5286" s="58" t="s">
        <v>245</v>
      </c>
      <c r="B5286" s="58" t="s">
        <v>182</v>
      </c>
      <c r="C5286" s="58">
        <v>2</v>
      </c>
      <c r="D5286" s="58">
        <v>105</v>
      </c>
      <c r="E5286" s="59">
        <v>123.12130000000001</v>
      </c>
    </row>
    <row r="5287" spans="1:5" ht="15" x14ac:dyDescent="0.35">
      <c r="A5287" s="58" t="s">
        <v>245</v>
      </c>
      <c r="B5287" s="58" t="s">
        <v>182</v>
      </c>
      <c r="C5287" s="58">
        <v>3</v>
      </c>
      <c r="D5287" s="58">
        <v>106</v>
      </c>
      <c r="E5287" s="59">
        <v>125.2068</v>
      </c>
    </row>
    <row r="5288" spans="1:5" ht="15" x14ac:dyDescent="0.35">
      <c r="A5288" s="58" t="s">
        <v>245</v>
      </c>
      <c r="B5288" s="58" t="s">
        <v>182</v>
      </c>
      <c r="C5288" s="58">
        <v>4</v>
      </c>
      <c r="D5288" s="58">
        <v>107</v>
      </c>
      <c r="E5288" s="59">
        <v>123.22580000000001</v>
      </c>
    </row>
    <row r="5289" spans="1:5" ht="15" x14ac:dyDescent="0.35">
      <c r="A5289" s="58" t="s">
        <v>245</v>
      </c>
      <c r="B5289" s="58" t="s">
        <v>182</v>
      </c>
      <c r="C5289" s="58">
        <v>5</v>
      </c>
      <c r="D5289" s="58">
        <v>108</v>
      </c>
      <c r="E5289" s="59">
        <v>137.703</v>
      </c>
    </row>
    <row r="5290" spans="1:5" ht="15" x14ac:dyDescent="0.35">
      <c r="A5290" s="58" t="s">
        <v>245</v>
      </c>
      <c r="B5290" s="58" t="s">
        <v>182</v>
      </c>
      <c r="C5290" s="58">
        <v>6</v>
      </c>
      <c r="D5290" s="58">
        <v>109</v>
      </c>
      <c r="E5290" s="59">
        <v>133.04140000000001</v>
      </c>
    </row>
    <row r="5291" spans="1:5" ht="15" x14ac:dyDescent="0.35">
      <c r="A5291" s="58" t="s">
        <v>245</v>
      </c>
      <c r="B5291" s="58" t="s">
        <v>182</v>
      </c>
      <c r="C5291" s="58">
        <v>7</v>
      </c>
      <c r="D5291" s="58">
        <v>110</v>
      </c>
      <c r="E5291" s="59">
        <v>132.06030000000001</v>
      </c>
    </row>
    <row r="5292" spans="1:5" ht="15" x14ac:dyDescent="0.35">
      <c r="A5292" s="58" t="s">
        <v>245</v>
      </c>
      <c r="B5292" s="58" t="s">
        <v>182</v>
      </c>
      <c r="C5292" s="58">
        <v>8</v>
      </c>
      <c r="D5292" s="58">
        <v>111</v>
      </c>
      <c r="E5292" s="59">
        <v>139.3014</v>
      </c>
    </row>
    <row r="5293" spans="1:5" ht="15" x14ac:dyDescent="0.35">
      <c r="A5293" s="58" t="s">
        <v>245</v>
      </c>
      <c r="B5293" s="58" t="s">
        <v>182</v>
      </c>
      <c r="C5293" s="58">
        <v>9</v>
      </c>
      <c r="D5293" s="58">
        <v>112</v>
      </c>
      <c r="E5293" s="59">
        <v>143.3203</v>
      </c>
    </row>
    <row r="5294" spans="1:5" ht="15" x14ac:dyDescent="0.35">
      <c r="A5294" s="58" t="s">
        <v>245</v>
      </c>
      <c r="B5294" s="58" t="s">
        <v>182</v>
      </c>
      <c r="C5294" s="58">
        <v>10</v>
      </c>
      <c r="D5294" s="58">
        <v>113</v>
      </c>
      <c r="E5294" s="59">
        <v>147.33930000000001</v>
      </c>
    </row>
    <row r="5295" spans="1:5" ht="15" x14ac:dyDescent="0.35">
      <c r="A5295" s="58" t="s">
        <v>245</v>
      </c>
      <c r="B5295" s="58" t="s">
        <v>182</v>
      </c>
      <c r="C5295" s="58">
        <v>11</v>
      </c>
      <c r="D5295" s="58">
        <v>114</v>
      </c>
      <c r="E5295" s="59">
        <v>166.5804</v>
      </c>
    </row>
    <row r="5296" spans="1:5" ht="15" x14ac:dyDescent="0.35">
      <c r="A5296" s="58" t="s">
        <v>245</v>
      </c>
      <c r="B5296" s="58" t="s">
        <v>182</v>
      </c>
      <c r="C5296" s="58">
        <v>12</v>
      </c>
      <c r="D5296" s="58">
        <v>115</v>
      </c>
      <c r="E5296" s="59">
        <v>179.5993</v>
      </c>
    </row>
    <row r="5297" spans="1:5" ht="15" x14ac:dyDescent="0.35">
      <c r="A5297" s="58" t="s">
        <v>245</v>
      </c>
      <c r="B5297" s="58" t="s">
        <v>176</v>
      </c>
      <c r="C5297" s="58">
        <v>1</v>
      </c>
      <c r="D5297" s="58">
        <v>104</v>
      </c>
      <c r="E5297" s="59">
        <v>177.625</v>
      </c>
    </row>
    <row r="5298" spans="1:5" ht="15" x14ac:dyDescent="0.35">
      <c r="A5298" s="58" t="s">
        <v>245</v>
      </c>
      <c r="B5298" s="58" t="s">
        <v>176</v>
      </c>
      <c r="C5298" s="58">
        <v>2</v>
      </c>
      <c r="D5298" s="58">
        <v>105</v>
      </c>
      <c r="E5298" s="59">
        <v>177.625</v>
      </c>
    </row>
    <row r="5299" spans="1:5" ht="15" x14ac:dyDescent="0.35">
      <c r="A5299" s="58" t="s">
        <v>245</v>
      </c>
      <c r="B5299" s="58" t="s">
        <v>176</v>
      </c>
      <c r="C5299" s="58">
        <v>3</v>
      </c>
      <c r="D5299" s="58">
        <v>106</v>
      </c>
      <c r="E5299" s="59">
        <v>177.625</v>
      </c>
    </row>
    <row r="5300" spans="1:5" ht="15" x14ac:dyDescent="0.35">
      <c r="A5300" s="58" t="s">
        <v>245</v>
      </c>
      <c r="B5300" s="58" t="s">
        <v>176</v>
      </c>
      <c r="C5300" s="58">
        <v>4</v>
      </c>
      <c r="D5300" s="58">
        <v>107</v>
      </c>
      <c r="E5300" s="59">
        <v>177.625</v>
      </c>
    </row>
    <row r="5301" spans="1:5" ht="15" x14ac:dyDescent="0.35">
      <c r="A5301" s="58" t="s">
        <v>245</v>
      </c>
      <c r="B5301" s="58" t="s">
        <v>176</v>
      </c>
      <c r="C5301" s="58">
        <v>5</v>
      </c>
      <c r="D5301" s="58">
        <v>108</v>
      </c>
      <c r="E5301" s="59">
        <v>177.625</v>
      </c>
    </row>
    <row r="5302" spans="1:5" ht="15" x14ac:dyDescent="0.35">
      <c r="A5302" s="58" t="s">
        <v>245</v>
      </c>
      <c r="B5302" s="58" t="s">
        <v>176</v>
      </c>
      <c r="C5302" s="58">
        <v>6</v>
      </c>
      <c r="D5302" s="58">
        <v>109</v>
      </c>
      <c r="E5302" s="59">
        <v>177.625</v>
      </c>
    </row>
    <row r="5303" spans="1:5" ht="15" x14ac:dyDescent="0.35">
      <c r="A5303" s="58" t="s">
        <v>245</v>
      </c>
      <c r="B5303" s="58" t="s">
        <v>176</v>
      </c>
      <c r="C5303" s="58">
        <v>7</v>
      </c>
      <c r="D5303" s="58">
        <v>110</v>
      </c>
      <c r="E5303" s="59">
        <v>177.625</v>
      </c>
    </row>
    <row r="5304" spans="1:5" ht="15" x14ac:dyDescent="0.35">
      <c r="A5304" s="58" t="s">
        <v>245</v>
      </c>
      <c r="B5304" s="58" t="s">
        <v>176</v>
      </c>
      <c r="C5304" s="58">
        <v>8</v>
      </c>
      <c r="D5304" s="58">
        <v>111</v>
      </c>
      <c r="E5304" s="59">
        <v>177.625</v>
      </c>
    </row>
    <row r="5305" spans="1:5" ht="15" x14ac:dyDescent="0.35">
      <c r="A5305" s="58" t="s">
        <v>245</v>
      </c>
      <c r="B5305" s="58" t="s">
        <v>176</v>
      </c>
      <c r="C5305" s="58">
        <v>9</v>
      </c>
      <c r="D5305" s="58">
        <v>112</v>
      </c>
      <c r="E5305" s="59">
        <v>177.625</v>
      </c>
    </row>
    <row r="5306" spans="1:5" ht="15" x14ac:dyDescent="0.35">
      <c r="A5306" s="58" t="s">
        <v>245</v>
      </c>
      <c r="B5306" s="58" t="s">
        <v>176</v>
      </c>
      <c r="C5306" s="58">
        <v>10</v>
      </c>
      <c r="D5306" s="58">
        <v>113</v>
      </c>
      <c r="E5306" s="59">
        <v>177.625</v>
      </c>
    </row>
    <row r="5307" spans="1:5" ht="15" x14ac:dyDescent="0.35">
      <c r="A5307" s="58" t="s">
        <v>245</v>
      </c>
      <c r="B5307" s="58" t="s">
        <v>176</v>
      </c>
      <c r="C5307" s="58">
        <v>11</v>
      </c>
      <c r="D5307" s="58">
        <v>114</v>
      </c>
      <c r="E5307" s="59">
        <v>177.625</v>
      </c>
    </row>
    <row r="5308" spans="1:5" ht="15" x14ac:dyDescent="0.35">
      <c r="A5308" s="58" t="s">
        <v>245</v>
      </c>
      <c r="B5308" s="58" t="s">
        <v>176</v>
      </c>
      <c r="C5308" s="58">
        <v>12</v>
      </c>
      <c r="D5308" s="58">
        <v>115</v>
      </c>
      <c r="E5308" s="59">
        <v>177.625</v>
      </c>
    </row>
    <row r="5309" spans="1:5" ht="15" x14ac:dyDescent="0.35">
      <c r="A5309" s="58" t="s">
        <v>245</v>
      </c>
      <c r="B5309" s="58" t="s">
        <v>172</v>
      </c>
      <c r="C5309" s="58">
        <v>1</v>
      </c>
      <c r="D5309" s="58">
        <v>104</v>
      </c>
      <c r="E5309" s="59">
        <v>449</v>
      </c>
    </row>
    <row r="5310" spans="1:5" ht="15" x14ac:dyDescent="0.35">
      <c r="A5310" s="58" t="s">
        <v>245</v>
      </c>
      <c r="B5310" s="58" t="s">
        <v>172</v>
      </c>
      <c r="C5310" s="58">
        <v>2</v>
      </c>
      <c r="D5310" s="58">
        <v>105</v>
      </c>
      <c r="E5310" s="59">
        <v>449</v>
      </c>
    </row>
    <row r="5311" spans="1:5" ht="15" x14ac:dyDescent="0.35">
      <c r="A5311" s="58" t="s">
        <v>245</v>
      </c>
      <c r="B5311" s="58" t="s">
        <v>172</v>
      </c>
      <c r="C5311" s="58">
        <v>3</v>
      </c>
      <c r="D5311" s="58">
        <v>106</v>
      </c>
      <c r="E5311" s="59">
        <v>449</v>
      </c>
    </row>
    <row r="5312" spans="1:5" ht="15" x14ac:dyDescent="0.35">
      <c r="A5312" s="58" t="s">
        <v>245</v>
      </c>
      <c r="B5312" s="58" t="s">
        <v>172</v>
      </c>
      <c r="C5312" s="58">
        <v>4</v>
      </c>
      <c r="D5312" s="58">
        <v>107</v>
      </c>
      <c r="E5312" s="59">
        <v>449</v>
      </c>
    </row>
    <row r="5313" spans="1:5" ht="15" x14ac:dyDescent="0.35">
      <c r="A5313" s="58" t="s">
        <v>245</v>
      </c>
      <c r="B5313" s="58" t="s">
        <v>172</v>
      </c>
      <c r="C5313" s="58">
        <v>5</v>
      </c>
      <c r="D5313" s="58">
        <v>108</v>
      </c>
      <c r="E5313" s="59">
        <v>449</v>
      </c>
    </row>
    <row r="5314" spans="1:5" ht="15" x14ac:dyDescent="0.35">
      <c r="A5314" s="58" t="s">
        <v>245</v>
      </c>
      <c r="B5314" s="58" t="s">
        <v>172</v>
      </c>
      <c r="C5314" s="58">
        <v>6</v>
      </c>
      <c r="D5314" s="58">
        <v>109</v>
      </c>
      <c r="E5314" s="59">
        <v>449</v>
      </c>
    </row>
    <row r="5315" spans="1:5" ht="15" x14ac:dyDescent="0.35">
      <c r="A5315" s="58" t="s">
        <v>245</v>
      </c>
      <c r="B5315" s="58" t="s">
        <v>172</v>
      </c>
      <c r="C5315" s="58">
        <v>7</v>
      </c>
      <c r="D5315" s="58">
        <v>110</v>
      </c>
      <c r="E5315" s="59">
        <v>449</v>
      </c>
    </row>
    <row r="5316" spans="1:5" ht="15" x14ac:dyDescent="0.35">
      <c r="A5316" s="58" t="s">
        <v>245</v>
      </c>
      <c r="B5316" s="58" t="s">
        <v>172</v>
      </c>
      <c r="C5316" s="58">
        <v>8</v>
      </c>
      <c r="D5316" s="58">
        <v>111</v>
      </c>
      <c r="E5316" s="59">
        <v>449</v>
      </c>
    </row>
    <row r="5317" spans="1:5" ht="15" x14ac:dyDescent="0.35">
      <c r="A5317" s="58" t="s">
        <v>245</v>
      </c>
      <c r="B5317" s="58" t="s">
        <v>172</v>
      </c>
      <c r="C5317" s="58">
        <v>9</v>
      </c>
      <c r="D5317" s="58">
        <v>112</v>
      </c>
      <c r="E5317" s="59">
        <v>449</v>
      </c>
    </row>
    <row r="5318" spans="1:5" ht="15" x14ac:dyDescent="0.35">
      <c r="A5318" s="58" t="s">
        <v>245</v>
      </c>
      <c r="B5318" s="58" t="s">
        <v>172</v>
      </c>
      <c r="C5318" s="58">
        <v>10</v>
      </c>
      <c r="D5318" s="58">
        <v>113</v>
      </c>
      <c r="E5318" s="59">
        <v>449</v>
      </c>
    </row>
    <row r="5319" spans="1:5" ht="15" x14ac:dyDescent="0.35">
      <c r="A5319" s="58" t="s">
        <v>245</v>
      </c>
      <c r="B5319" s="58" t="s">
        <v>172</v>
      </c>
      <c r="C5319" s="58">
        <v>11</v>
      </c>
      <c r="D5319" s="58">
        <v>114</v>
      </c>
      <c r="E5319" s="59">
        <v>449</v>
      </c>
    </row>
    <row r="5320" spans="1:5" ht="15" x14ac:dyDescent="0.35">
      <c r="A5320" s="58" t="s">
        <v>245</v>
      </c>
      <c r="B5320" s="58" t="s">
        <v>172</v>
      </c>
      <c r="C5320" s="58">
        <v>12</v>
      </c>
      <c r="D5320" s="58">
        <v>115</v>
      </c>
      <c r="E5320" s="59">
        <v>449</v>
      </c>
    </row>
    <row r="5321" spans="1:5" ht="15" x14ac:dyDescent="0.35">
      <c r="A5321" s="58" t="s">
        <v>245</v>
      </c>
      <c r="B5321" s="58" t="s">
        <v>180</v>
      </c>
      <c r="C5321" s="58">
        <v>1</v>
      </c>
      <c r="D5321" s="58">
        <v>104</v>
      </c>
      <c r="E5321" s="59">
        <v>262.26089999999999</v>
      </c>
    </row>
    <row r="5322" spans="1:5" ht="15" x14ac:dyDescent="0.35">
      <c r="A5322" s="58" t="s">
        <v>245</v>
      </c>
      <c r="B5322" s="58" t="s">
        <v>180</v>
      </c>
      <c r="C5322" s="58">
        <v>2</v>
      </c>
      <c r="D5322" s="58">
        <v>105</v>
      </c>
      <c r="E5322" s="59">
        <v>262.26089999999999</v>
      </c>
    </row>
    <row r="5323" spans="1:5" ht="15" x14ac:dyDescent="0.35">
      <c r="A5323" s="58" t="s">
        <v>245</v>
      </c>
      <c r="B5323" s="58" t="s">
        <v>180</v>
      </c>
      <c r="C5323" s="58">
        <v>3</v>
      </c>
      <c r="D5323" s="58">
        <v>106</v>
      </c>
      <c r="E5323" s="59">
        <v>262.26089999999999</v>
      </c>
    </row>
    <row r="5324" spans="1:5" ht="15" x14ac:dyDescent="0.35">
      <c r="A5324" s="58" t="s">
        <v>245</v>
      </c>
      <c r="B5324" s="58" t="s">
        <v>180</v>
      </c>
      <c r="C5324" s="58">
        <v>4</v>
      </c>
      <c r="D5324" s="58">
        <v>107</v>
      </c>
      <c r="E5324" s="59">
        <v>262.26089999999999</v>
      </c>
    </row>
    <row r="5325" spans="1:5" ht="15" x14ac:dyDescent="0.35">
      <c r="A5325" s="58" t="s">
        <v>245</v>
      </c>
      <c r="B5325" s="58" t="s">
        <v>180</v>
      </c>
      <c r="C5325" s="58">
        <v>5</v>
      </c>
      <c r="D5325" s="58">
        <v>108</v>
      </c>
      <c r="E5325" s="59">
        <v>262.26089999999999</v>
      </c>
    </row>
    <row r="5326" spans="1:5" ht="15" x14ac:dyDescent="0.35">
      <c r="A5326" s="58" t="s">
        <v>245</v>
      </c>
      <c r="B5326" s="58" t="s">
        <v>180</v>
      </c>
      <c r="C5326" s="58">
        <v>6</v>
      </c>
      <c r="D5326" s="58">
        <v>109</v>
      </c>
      <c r="E5326" s="59">
        <v>262.26089999999999</v>
      </c>
    </row>
    <row r="5327" spans="1:5" ht="15" x14ac:dyDescent="0.35">
      <c r="A5327" s="58" t="s">
        <v>245</v>
      </c>
      <c r="B5327" s="58" t="s">
        <v>180</v>
      </c>
      <c r="C5327" s="58">
        <v>7</v>
      </c>
      <c r="D5327" s="58">
        <v>110</v>
      </c>
      <c r="E5327" s="59">
        <v>262.26089999999999</v>
      </c>
    </row>
    <row r="5328" spans="1:5" ht="15" x14ac:dyDescent="0.35">
      <c r="A5328" s="58" t="s">
        <v>245</v>
      </c>
      <c r="B5328" s="58" t="s">
        <v>180</v>
      </c>
      <c r="C5328" s="58">
        <v>8</v>
      </c>
      <c r="D5328" s="58">
        <v>111</v>
      </c>
      <c r="E5328" s="59">
        <v>262.26089999999999</v>
      </c>
    </row>
    <row r="5329" spans="1:5" ht="15" x14ac:dyDescent="0.35">
      <c r="A5329" s="58" t="s">
        <v>245</v>
      </c>
      <c r="B5329" s="58" t="s">
        <v>180</v>
      </c>
      <c r="C5329" s="58">
        <v>9</v>
      </c>
      <c r="D5329" s="58">
        <v>112</v>
      </c>
      <c r="E5329" s="59">
        <v>262.26089999999999</v>
      </c>
    </row>
    <row r="5330" spans="1:5" ht="15" x14ac:dyDescent="0.35">
      <c r="A5330" s="58" t="s">
        <v>245</v>
      </c>
      <c r="B5330" s="58" t="s">
        <v>180</v>
      </c>
      <c r="C5330" s="58">
        <v>10</v>
      </c>
      <c r="D5330" s="58">
        <v>113</v>
      </c>
      <c r="E5330" s="59">
        <v>262.26089999999999</v>
      </c>
    </row>
    <row r="5331" spans="1:5" ht="15" x14ac:dyDescent="0.35">
      <c r="A5331" s="58" t="s">
        <v>245</v>
      </c>
      <c r="B5331" s="58" t="s">
        <v>180</v>
      </c>
      <c r="C5331" s="58">
        <v>11</v>
      </c>
      <c r="D5331" s="58">
        <v>114</v>
      </c>
      <c r="E5331" s="59">
        <v>262.26089999999999</v>
      </c>
    </row>
    <row r="5332" spans="1:5" ht="15" x14ac:dyDescent="0.35">
      <c r="A5332" s="58" t="s">
        <v>245</v>
      </c>
      <c r="B5332" s="58" t="s">
        <v>180</v>
      </c>
      <c r="C5332" s="58">
        <v>12</v>
      </c>
      <c r="D5332" s="58">
        <v>115</v>
      </c>
      <c r="E5332" s="59">
        <v>262.26089999999999</v>
      </c>
    </row>
    <row r="5333" spans="1:5" ht="15" x14ac:dyDescent="0.35">
      <c r="A5333" s="58" t="s">
        <v>390</v>
      </c>
      <c r="B5333" s="58" t="s">
        <v>182</v>
      </c>
      <c r="C5333" s="58">
        <v>1</v>
      </c>
      <c r="D5333" s="58">
        <v>104</v>
      </c>
      <c r="E5333" s="59">
        <v>11.792199999999999</v>
      </c>
    </row>
    <row r="5334" spans="1:5" ht="15" x14ac:dyDescent="0.35">
      <c r="A5334" s="58" t="s">
        <v>390</v>
      </c>
      <c r="B5334" s="58" t="s">
        <v>182</v>
      </c>
      <c r="C5334" s="58">
        <v>2</v>
      </c>
      <c r="D5334" s="58">
        <v>105</v>
      </c>
      <c r="E5334" s="59">
        <v>0</v>
      </c>
    </row>
    <row r="5335" spans="1:5" ht="15" x14ac:dyDescent="0.35">
      <c r="A5335" s="58" t="s">
        <v>390</v>
      </c>
      <c r="B5335" s="58" t="s">
        <v>182</v>
      </c>
      <c r="C5335" s="58">
        <v>3</v>
      </c>
      <c r="D5335" s="58">
        <v>106</v>
      </c>
      <c r="E5335" s="59">
        <v>0.29220000000000002</v>
      </c>
    </row>
    <row r="5336" spans="1:5" ht="15" x14ac:dyDescent="0.35">
      <c r="A5336" s="58" t="s">
        <v>390</v>
      </c>
      <c r="B5336" s="58" t="s">
        <v>182</v>
      </c>
      <c r="C5336" s="58">
        <v>4</v>
      </c>
      <c r="D5336" s="58">
        <v>107</v>
      </c>
      <c r="E5336" s="59">
        <v>9.8398000000000003</v>
      </c>
    </row>
    <row r="5337" spans="1:5" ht="15" x14ac:dyDescent="0.35">
      <c r="A5337" s="58" t="s">
        <v>390</v>
      </c>
      <c r="B5337" s="58" t="s">
        <v>182</v>
      </c>
      <c r="C5337" s="58">
        <v>5</v>
      </c>
      <c r="D5337" s="58">
        <v>108</v>
      </c>
      <c r="E5337" s="59">
        <v>14.2506</v>
      </c>
    </row>
    <row r="5338" spans="1:5" ht="15" x14ac:dyDescent="0.35">
      <c r="A5338" s="58" t="s">
        <v>390</v>
      </c>
      <c r="B5338" s="58" t="s">
        <v>182</v>
      </c>
      <c r="C5338" s="58">
        <v>6</v>
      </c>
      <c r="D5338" s="58">
        <v>109</v>
      </c>
      <c r="E5338" s="59">
        <v>14.0144</v>
      </c>
    </row>
    <row r="5339" spans="1:5" ht="15" x14ac:dyDescent="0.35">
      <c r="A5339" s="58" t="s">
        <v>390</v>
      </c>
      <c r="B5339" s="58" t="s">
        <v>182</v>
      </c>
      <c r="C5339" s="58">
        <v>7</v>
      </c>
      <c r="D5339" s="58">
        <v>110</v>
      </c>
      <c r="E5339" s="59">
        <v>14.792199999999999</v>
      </c>
    </row>
    <row r="5340" spans="1:5" ht="15" x14ac:dyDescent="0.35">
      <c r="A5340" s="58" t="s">
        <v>390</v>
      </c>
      <c r="B5340" s="58" t="s">
        <v>182</v>
      </c>
      <c r="C5340" s="58">
        <v>8</v>
      </c>
      <c r="D5340" s="58">
        <v>111</v>
      </c>
      <c r="E5340" s="59">
        <v>12.792199999999999</v>
      </c>
    </row>
    <row r="5341" spans="1:5" ht="15" x14ac:dyDescent="0.35">
      <c r="A5341" s="58" t="s">
        <v>390</v>
      </c>
      <c r="B5341" s="58" t="s">
        <v>182</v>
      </c>
      <c r="C5341" s="58">
        <v>9</v>
      </c>
      <c r="D5341" s="58">
        <v>112</v>
      </c>
      <c r="E5341" s="59">
        <v>14.1256</v>
      </c>
    </row>
    <row r="5342" spans="1:5" ht="15" x14ac:dyDescent="0.35">
      <c r="A5342" s="58" t="s">
        <v>390</v>
      </c>
      <c r="B5342" s="58" t="s">
        <v>182</v>
      </c>
      <c r="C5342" s="58">
        <v>10</v>
      </c>
      <c r="D5342" s="58">
        <v>113</v>
      </c>
      <c r="E5342" s="59">
        <v>16.125599999999999</v>
      </c>
    </row>
    <row r="5343" spans="1:5" ht="15" x14ac:dyDescent="0.35">
      <c r="A5343" s="58" t="s">
        <v>390</v>
      </c>
      <c r="B5343" s="58" t="s">
        <v>182</v>
      </c>
      <c r="C5343" s="58">
        <v>11</v>
      </c>
      <c r="D5343" s="58">
        <v>114</v>
      </c>
      <c r="E5343" s="59">
        <v>20.014399999999998</v>
      </c>
    </row>
    <row r="5344" spans="1:5" ht="15" x14ac:dyDescent="0.35">
      <c r="A5344" s="58" t="s">
        <v>390</v>
      </c>
      <c r="B5344" s="58" t="s">
        <v>182</v>
      </c>
      <c r="C5344" s="58">
        <v>12</v>
      </c>
      <c r="D5344" s="58">
        <v>115</v>
      </c>
      <c r="E5344" s="59">
        <v>24.236699999999999</v>
      </c>
    </row>
    <row r="5345" spans="1:5" ht="15" x14ac:dyDescent="0.35">
      <c r="A5345" s="58" t="s">
        <v>390</v>
      </c>
      <c r="B5345" s="58" t="s">
        <v>176</v>
      </c>
      <c r="C5345" s="58">
        <v>1</v>
      </c>
      <c r="D5345" s="58">
        <v>104</v>
      </c>
      <c r="E5345" s="59">
        <v>33.125</v>
      </c>
    </row>
    <row r="5346" spans="1:5" ht="15" x14ac:dyDescent="0.35">
      <c r="A5346" s="58" t="s">
        <v>390</v>
      </c>
      <c r="B5346" s="58" t="s">
        <v>176</v>
      </c>
      <c r="C5346" s="58">
        <v>2</v>
      </c>
      <c r="D5346" s="58">
        <v>105</v>
      </c>
      <c r="E5346" s="59">
        <v>33.125</v>
      </c>
    </row>
    <row r="5347" spans="1:5" ht="15" x14ac:dyDescent="0.35">
      <c r="A5347" s="58" t="s">
        <v>390</v>
      </c>
      <c r="B5347" s="58" t="s">
        <v>176</v>
      </c>
      <c r="C5347" s="58">
        <v>3</v>
      </c>
      <c r="D5347" s="58">
        <v>106</v>
      </c>
      <c r="E5347" s="59">
        <v>33.125</v>
      </c>
    </row>
    <row r="5348" spans="1:5" ht="15" x14ac:dyDescent="0.35">
      <c r="A5348" s="58" t="s">
        <v>390</v>
      </c>
      <c r="B5348" s="58" t="s">
        <v>176</v>
      </c>
      <c r="C5348" s="58">
        <v>4</v>
      </c>
      <c r="D5348" s="58">
        <v>107</v>
      </c>
      <c r="E5348" s="59">
        <v>33.125</v>
      </c>
    </row>
    <row r="5349" spans="1:5" ht="15" x14ac:dyDescent="0.35">
      <c r="A5349" s="58" t="s">
        <v>390</v>
      </c>
      <c r="B5349" s="58" t="s">
        <v>176</v>
      </c>
      <c r="C5349" s="58">
        <v>5</v>
      </c>
      <c r="D5349" s="58">
        <v>108</v>
      </c>
      <c r="E5349" s="59">
        <v>33.125</v>
      </c>
    </row>
    <row r="5350" spans="1:5" ht="15" x14ac:dyDescent="0.35">
      <c r="A5350" s="58" t="s">
        <v>390</v>
      </c>
      <c r="B5350" s="58" t="s">
        <v>176</v>
      </c>
      <c r="C5350" s="58">
        <v>6</v>
      </c>
      <c r="D5350" s="58">
        <v>109</v>
      </c>
      <c r="E5350" s="59">
        <v>33.125</v>
      </c>
    </row>
    <row r="5351" spans="1:5" ht="15" x14ac:dyDescent="0.35">
      <c r="A5351" s="58" t="s">
        <v>390</v>
      </c>
      <c r="B5351" s="58" t="s">
        <v>176</v>
      </c>
      <c r="C5351" s="58">
        <v>7</v>
      </c>
      <c r="D5351" s="58">
        <v>110</v>
      </c>
      <c r="E5351" s="59">
        <v>33.125</v>
      </c>
    </row>
    <row r="5352" spans="1:5" ht="15" x14ac:dyDescent="0.35">
      <c r="A5352" s="58" t="s">
        <v>390</v>
      </c>
      <c r="B5352" s="58" t="s">
        <v>176</v>
      </c>
      <c r="C5352" s="58">
        <v>8</v>
      </c>
      <c r="D5352" s="58">
        <v>111</v>
      </c>
      <c r="E5352" s="59">
        <v>33.125</v>
      </c>
    </row>
    <row r="5353" spans="1:5" ht="15" x14ac:dyDescent="0.35">
      <c r="A5353" s="58" t="s">
        <v>390</v>
      </c>
      <c r="B5353" s="58" t="s">
        <v>176</v>
      </c>
      <c r="C5353" s="58">
        <v>9</v>
      </c>
      <c r="D5353" s="58">
        <v>112</v>
      </c>
      <c r="E5353" s="59">
        <v>33.125</v>
      </c>
    </row>
    <row r="5354" spans="1:5" ht="15" x14ac:dyDescent="0.35">
      <c r="A5354" s="58" t="s">
        <v>390</v>
      </c>
      <c r="B5354" s="58" t="s">
        <v>176</v>
      </c>
      <c r="C5354" s="58">
        <v>10</v>
      </c>
      <c r="D5354" s="58">
        <v>113</v>
      </c>
      <c r="E5354" s="59">
        <v>33.125</v>
      </c>
    </row>
    <row r="5355" spans="1:5" ht="15" x14ac:dyDescent="0.35">
      <c r="A5355" s="58" t="s">
        <v>390</v>
      </c>
      <c r="B5355" s="58" t="s">
        <v>176</v>
      </c>
      <c r="C5355" s="58">
        <v>11</v>
      </c>
      <c r="D5355" s="58">
        <v>114</v>
      </c>
      <c r="E5355" s="59">
        <v>33.125</v>
      </c>
    </row>
    <row r="5356" spans="1:5" ht="15" x14ac:dyDescent="0.35">
      <c r="A5356" s="58" t="s">
        <v>390</v>
      </c>
      <c r="B5356" s="58" t="s">
        <v>176</v>
      </c>
      <c r="C5356" s="58">
        <v>12</v>
      </c>
      <c r="D5356" s="58">
        <v>115</v>
      </c>
      <c r="E5356" s="59">
        <v>33.125</v>
      </c>
    </row>
    <row r="5357" spans="1:5" ht="15" x14ac:dyDescent="0.35">
      <c r="A5357" s="58" t="s">
        <v>390</v>
      </c>
      <c r="B5357" s="58" t="s">
        <v>172</v>
      </c>
      <c r="C5357" s="58">
        <v>1</v>
      </c>
      <c r="D5357" s="58">
        <v>104</v>
      </c>
      <c r="E5357" s="59">
        <v>9</v>
      </c>
    </row>
    <row r="5358" spans="1:5" ht="15" x14ac:dyDescent="0.35">
      <c r="A5358" s="58" t="s">
        <v>390</v>
      </c>
      <c r="B5358" s="58" t="s">
        <v>172</v>
      </c>
      <c r="C5358" s="58">
        <v>2</v>
      </c>
      <c r="D5358" s="58">
        <v>105</v>
      </c>
      <c r="E5358" s="59">
        <v>9</v>
      </c>
    </row>
    <row r="5359" spans="1:5" ht="15" x14ac:dyDescent="0.35">
      <c r="A5359" s="58" t="s">
        <v>390</v>
      </c>
      <c r="B5359" s="58" t="s">
        <v>172</v>
      </c>
      <c r="C5359" s="58">
        <v>3</v>
      </c>
      <c r="D5359" s="58">
        <v>106</v>
      </c>
      <c r="E5359" s="59">
        <v>9</v>
      </c>
    </row>
    <row r="5360" spans="1:5" ht="15" x14ac:dyDescent="0.35">
      <c r="A5360" s="58" t="s">
        <v>390</v>
      </c>
      <c r="B5360" s="58" t="s">
        <v>172</v>
      </c>
      <c r="C5360" s="58">
        <v>4</v>
      </c>
      <c r="D5360" s="58">
        <v>107</v>
      </c>
      <c r="E5360" s="59">
        <v>9</v>
      </c>
    </row>
    <row r="5361" spans="1:5" ht="15" x14ac:dyDescent="0.35">
      <c r="A5361" s="58" t="s">
        <v>390</v>
      </c>
      <c r="B5361" s="58" t="s">
        <v>172</v>
      </c>
      <c r="C5361" s="58">
        <v>5</v>
      </c>
      <c r="D5361" s="58">
        <v>108</v>
      </c>
      <c r="E5361" s="59">
        <v>9</v>
      </c>
    </row>
    <row r="5362" spans="1:5" ht="15" x14ac:dyDescent="0.35">
      <c r="A5362" s="58" t="s">
        <v>390</v>
      </c>
      <c r="B5362" s="58" t="s">
        <v>172</v>
      </c>
      <c r="C5362" s="58">
        <v>6</v>
      </c>
      <c r="D5362" s="58">
        <v>109</v>
      </c>
      <c r="E5362" s="59">
        <v>9</v>
      </c>
    </row>
    <row r="5363" spans="1:5" ht="15" x14ac:dyDescent="0.35">
      <c r="A5363" s="58" t="s">
        <v>390</v>
      </c>
      <c r="B5363" s="58" t="s">
        <v>172</v>
      </c>
      <c r="C5363" s="58">
        <v>7</v>
      </c>
      <c r="D5363" s="58">
        <v>110</v>
      </c>
      <c r="E5363" s="59">
        <v>9</v>
      </c>
    </row>
    <row r="5364" spans="1:5" ht="15" x14ac:dyDescent="0.35">
      <c r="A5364" s="58" t="s">
        <v>390</v>
      </c>
      <c r="B5364" s="58" t="s">
        <v>172</v>
      </c>
      <c r="C5364" s="58">
        <v>8</v>
      </c>
      <c r="D5364" s="58">
        <v>111</v>
      </c>
      <c r="E5364" s="59">
        <v>9</v>
      </c>
    </row>
    <row r="5365" spans="1:5" ht="15" x14ac:dyDescent="0.35">
      <c r="A5365" s="58" t="s">
        <v>390</v>
      </c>
      <c r="B5365" s="58" t="s">
        <v>172</v>
      </c>
      <c r="C5365" s="58">
        <v>9</v>
      </c>
      <c r="D5365" s="58">
        <v>112</v>
      </c>
      <c r="E5365" s="59">
        <v>9</v>
      </c>
    </row>
    <row r="5366" spans="1:5" ht="15" x14ac:dyDescent="0.35">
      <c r="A5366" s="58" t="s">
        <v>390</v>
      </c>
      <c r="B5366" s="58" t="s">
        <v>172</v>
      </c>
      <c r="C5366" s="58">
        <v>10</v>
      </c>
      <c r="D5366" s="58">
        <v>113</v>
      </c>
      <c r="E5366" s="59">
        <v>9</v>
      </c>
    </row>
    <row r="5367" spans="1:5" ht="15" x14ac:dyDescent="0.35">
      <c r="A5367" s="58" t="s">
        <v>390</v>
      </c>
      <c r="B5367" s="58" t="s">
        <v>172</v>
      </c>
      <c r="C5367" s="58">
        <v>11</v>
      </c>
      <c r="D5367" s="58">
        <v>114</v>
      </c>
      <c r="E5367" s="59">
        <v>9</v>
      </c>
    </row>
    <row r="5368" spans="1:5" ht="15" x14ac:dyDescent="0.35">
      <c r="A5368" s="58" t="s">
        <v>390</v>
      </c>
      <c r="B5368" s="58" t="s">
        <v>172</v>
      </c>
      <c r="C5368" s="58">
        <v>12</v>
      </c>
      <c r="D5368" s="58">
        <v>115</v>
      </c>
      <c r="E5368" s="59">
        <v>9</v>
      </c>
    </row>
    <row r="5369" spans="1:5" ht="15" x14ac:dyDescent="0.35">
      <c r="A5369" s="58" t="s">
        <v>390</v>
      </c>
      <c r="B5369" s="58" t="s">
        <v>180</v>
      </c>
      <c r="C5369" s="58">
        <v>1</v>
      </c>
      <c r="D5369" s="58">
        <v>104</v>
      </c>
      <c r="E5369" s="59">
        <v>28.410399999999999</v>
      </c>
    </row>
    <row r="5370" spans="1:5" ht="15" x14ac:dyDescent="0.35">
      <c r="A5370" s="58" t="s">
        <v>390</v>
      </c>
      <c r="B5370" s="58" t="s">
        <v>180</v>
      </c>
      <c r="C5370" s="58">
        <v>2</v>
      </c>
      <c r="D5370" s="58">
        <v>105</v>
      </c>
      <c r="E5370" s="59">
        <v>28.410399999999999</v>
      </c>
    </row>
    <row r="5371" spans="1:5" ht="15" x14ac:dyDescent="0.35">
      <c r="A5371" s="58" t="s">
        <v>390</v>
      </c>
      <c r="B5371" s="58" t="s">
        <v>180</v>
      </c>
      <c r="C5371" s="58">
        <v>3</v>
      </c>
      <c r="D5371" s="58">
        <v>106</v>
      </c>
      <c r="E5371" s="59">
        <v>28.410399999999999</v>
      </c>
    </row>
    <row r="5372" spans="1:5" ht="15" x14ac:dyDescent="0.35">
      <c r="A5372" s="58" t="s">
        <v>390</v>
      </c>
      <c r="B5372" s="58" t="s">
        <v>180</v>
      </c>
      <c r="C5372" s="58">
        <v>4</v>
      </c>
      <c r="D5372" s="58">
        <v>107</v>
      </c>
      <c r="E5372" s="59">
        <v>28.410399999999999</v>
      </c>
    </row>
    <row r="5373" spans="1:5" ht="15" x14ac:dyDescent="0.35">
      <c r="A5373" s="58" t="s">
        <v>390</v>
      </c>
      <c r="B5373" s="58" t="s">
        <v>180</v>
      </c>
      <c r="C5373" s="58">
        <v>5</v>
      </c>
      <c r="D5373" s="58">
        <v>108</v>
      </c>
      <c r="E5373" s="59">
        <v>28.410399999999999</v>
      </c>
    </row>
    <row r="5374" spans="1:5" ht="15" x14ac:dyDescent="0.35">
      <c r="A5374" s="58" t="s">
        <v>390</v>
      </c>
      <c r="B5374" s="58" t="s">
        <v>180</v>
      </c>
      <c r="C5374" s="58">
        <v>6</v>
      </c>
      <c r="D5374" s="58">
        <v>109</v>
      </c>
      <c r="E5374" s="59">
        <v>28.410399999999999</v>
      </c>
    </row>
    <row r="5375" spans="1:5" ht="15" x14ac:dyDescent="0.35">
      <c r="A5375" s="58" t="s">
        <v>390</v>
      </c>
      <c r="B5375" s="58" t="s">
        <v>180</v>
      </c>
      <c r="C5375" s="58">
        <v>7</v>
      </c>
      <c r="D5375" s="58">
        <v>110</v>
      </c>
      <c r="E5375" s="59">
        <v>28.410399999999999</v>
      </c>
    </row>
    <row r="5376" spans="1:5" ht="15" x14ac:dyDescent="0.35">
      <c r="A5376" s="58" t="s">
        <v>390</v>
      </c>
      <c r="B5376" s="58" t="s">
        <v>180</v>
      </c>
      <c r="C5376" s="58">
        <v>8</v>
      </c>
      <c r="D5376" s="58">
        <v>111</v>
      </c>
      <c r="E5376" s="59">
        <v>28.410399999999999</v>
      </c>
    </row>
    <row r="5377" spans="1:5" ht="15" x14ac:dyDescent="0.35">
      <c r="A5377" s="58" t="s">
        <v>390</v>
      </c>
      <c r="B5377" s="58" t="s">
        <v>180</v>
      </c>
      <c r="C5377" s="58">
        <v>9</v>
      </c>
      <c r="D5377" s="58">
        <v>112</v>
      </c>
      <c r="E5377" s="59">
        <v>28.410399999999999</v>
      </c>
    </row>
    <row r="5378" spans="1:5" ht="15" x14ac:dyDescent="0.35">
      <c r="A5378" s="58" t="s">
        <v>390</v>
      </c>
      <c r="B5378" s="58" t="s">
        <v>180</v>
      </c>
      <c r="C5378" s="58">
        <v>10</v>
      </c>
      <c r="D5378" s="58">
        <v>113</v>
      </c>
      <c r="E5378" s="59">
        <v>28.410399999999999</v>
      </c>
    </row>
    <row r="5379" spans="1:5" ht="15" x14ac:dyDescent="0.35">
      <c r="A5379" s="58" t="s">
        <v>390</v>
      </c>
      <c r="B5379" s="58" t="s">
        <v>180</v>
      </c>
      <c r="C5379" s="58">
        <v>11</v>
      </c>
      <c r="D5379" s="58">
        <v>114</v>
      </c>
      <c r="E5379" s="59">
        <v>28.410399999999999</v>
      </c>
    </row>
    <row r="5380" spans="1:5" ht="15" x14ac:dyDescent="0.35">
      <c r="A5380" s="58" t="s">
        <v>390</v>
      </c>
      <c r="B5380" s="58" t="s">
        <v>180</v>
      </c>
      <c r="C5380" s="58">
        <v>12</v>
      </c>
      <c r="D5380" s="58">
        <v>115</v>
      </c>
      <c r="E5380" s="59">
        <v>28.410399999999999</v>
      </c>
    </row>
    <row r="5381" spans="1:5" ht="15" x14ac:dyDescent="0.35">
      <c r="A5381" s="58" t="s">
        <v>361</v>
      </c>
      <c r="B5381" s="58" t="s">
        <v>182</v>
      </c>
      <c r="C5381" s="58">
        <v>1</v>
      </c>
      <c r="D5381" s="58">
        <v>104</v>
      </c>
      <c r="E5381" s="59">
        <v>16.7758</v>
      </c>
    </row>
    <row r="5382" spans="1:5" ht="15" x14ac:dyDescent="0.35">
      <c r="A5382" s="58" t="s">
        <v>361</v>
      </c>
      <c r="B5382" s="58" t="s">
        <v>182</v>
      </c>
      <c r="C5382" s="58">
        <v>2</v>
      </c>
      <c r="D5382" s="58">
        <v>105</v>
      </c>
      <c r="E5382" s="59">
        <v>2.3313999999999999</v>
      </c>
    </row>
    <row r="5383" spans="1:5" ht="15" x14ac:dyDescent="0.35">
      <c r="A5383" s="58" t="s">
        <v>361</v>
      </c>
      <c r="B5383" s="58" t="s">
        <v>182</v>
      </c>
      <c r="C5383" s="58">
        <v>3</v>
      </c>
      <c r="D5383" s="58">
        <v>106</v>
      </c>
      <c r="E5383" s="59">
        <v>15.997999999999999</v>
      </c>
    </row>
    <row r="5384" spans="1:5" ht="15" x14ac:dyDescent="0.35">
      <c r="A5384" s="58" t="s">
        <v>361</v>
      </c>
      <c r="B5384" s="58" t="s">
        <v>182</v>
      </c>
      <c r="C5384" s="58">
        <v>4</v>
      </c>
      <c r="D5384" s="58">
        <v>107</v>
      </c>
      <c r="E5384" s="59">
        <v>21.902799999999999</v>
      </c>
    </row>
    <row r="5385" spans="1:5" ht="15" x14ac:dyDescent="0.35">
      <c r="A5385" s="58" t="s">
        <v>361</v>
      </c>
      <c r="B5385" s="58" t="s">
        <v>182</v>
      </c>
      <c r="C5385" s="58">
        <v>5</v>
      </c>
      <c r="D5385" s="58">
        <v>108</v>
      </c>
      <c r="E5385" s="59">
        <v>26.206399999999999</v>
      </c>
    </row>
    <row r="5386" spans="1:5" ht="15" x14ac:dyDescent="0.35">
      <c r="A5386" s="58" t="s">
        <v>361</v>
      </c>
      <c r="B5386" s="58" t="s">
        <v>182</v>
      </c>
      <c r="C5386" s="58">
        <v>6</v>
      </c>
      <c r="D5386" s="58">
        <v>109</v>
      </c>
      <c r="E5386" s="59">
        <v>30.886900000000001</v>
      </c>
    </row>
    <row r="5387" spans="1:5" ht="15" x14ac:dyDescent="0.35">
      <c r="A5387" s="58" t="s">
        <v>361</v>
      </c>
      <c r="B5387" s="58" t="s">
        <v>182</v>
      </c>
      <c r="C5387" s="58">
        <v>7</v>
      </c>
      <c r="D5387" s="58">
        <v>110</v>
      </c>
      <c r="E5387" s="59">
        <v>33.109200000000001</v>
      </c>
    </row>
    <row r="5388" spans="1:5" ht="15" x14ac:dyDescent="0.35">
      <c r="A5388" s="58" t="s">
        <v>361</v>
      </c>
      <c r="B5388" s="58" t="s">
        <v>182</v>
      </c>
      <c r="C5388" s="58">
        <v>8</v>
      </c>
      <c r="D5388" s="58">
        <v>111</v>
      </c>
      <c r="E5388" s="59">
        <v>40.997999999999998</v>
      </c>
    </row>
    <row r="5389" spans="1:5" ht="15" x14ac:dyDescent="0.35">
      <c r="A5389" s="58" t="s">
        <v>361</v>
      </c>
      <c r="B5389" s="58" t="s">
        <v>182</v>
      </c>
      <c r="C5389" s="58">
        <v>9</v>
      </c>
      <c r="D5389" s="58">
        <v>112</v>
      </c>
      <c r="E5389" s="59">
        <v>41.775799999999997</v>
      </c>
    </row>
    <row r="5390" spans="1:5" ht="15" x14ac:dyDescent="0.35">
      <c r="A5390" s="58" t="s">
        <v>361</v>
      </c>
      <c r="B5390" s="58" t="s">
        <v>182</v>
      </c>
      <c r="C5390" s="58">
        <v>10</v>
      </c>
      <c r="D5390" s="58">
        <v>113</v>
      </c>
      <c r="E5390" s="59">
        <v>44.442500000000003</v>
      </c>
    </row>
    <row r="5391" spans="1:5" ht="15" x14ac:dyDescent="0.35">
      <c r="A5391" s="58" t="s">
        <v>361</v>
      </c>
      <c r="B5391" s="58" t="s">
        <v>182</v>
      </c>
      <c r="C5391" s="58">
        <v>11</v>
      </c>
      <c r="D5391" s="58">
        <v>114</v>
      </c>
      <c r="E5391" s="59">
        <v>53.109200000000001</v>
      </c>
    </row>
    <row r="5392" spans="1:5" ht="15" x14ac:dyDescent="0.35">
      <c r="A5392" s="58" t="s">
        <v>361</v>
      </c>
      <c r="B5392" s="58" t="s">
        <v>182</v>
      </c>
      <c r="C5392" s="58">
        <v>12</v>
      </c>
      <c r="D5392" s="58">
        <v>115</v>
      </c>
      <c r="E5392" s="59">
        <v>53.442500000000003</v>
      </c>
    </row>
    <row r="5393" spans="1:5" ht="15" x14ac:dyDescent="0.35">
      <c r="A5393" s="58" t="s">
        <v>361</v>
      </c>
      <c r="B5393" s="58" t="s">
        <v>176</v>
      </c>
      <c r="C5393" s="58">
        <v>1</v>
      </c>
      <c r="D5393" s="58">
        <v>104</v>
      </c>
      <c r="E5393" s="59">
        <v>33.125</v>
      </c>
    </row>
    <row r="5394" spans="1:5" ht="15" x14ac:dyDescent="0.35">
      <c r="A5394" s="58" t="s">
        <v>361</v>
      </c>
      <c r="B5394" s="58" t="s">
        <v>176</v>
      </c>
      <c r="C5394" s="58">
        <v>2</v>
      </c>
      <c r="D5394" s="58">
        <v>105</v>
      </c>
      <c r="E5394" s="59">
        <v>33.125</v>
      </c>
    </row>
    <row r="5395" spans="1:5" ht="15" x14ac:dyDescent="0.35">
      <c r="A5395" s="58" t="s">
        <v>361</v>
      </c>
      <c r="B5395" s="58" t="s">
        <v>176</v>
      </c>
      <c r="C5395" s="58">
        <v>3</v>
      </c>
      <c r="D5395" s="58">
        <v>106</v>
      </c>
      <c r="E5395" s="59">
        <v>33.125</v>
      </c>
    </row>
    <row r="5396" spans="1:5" ht="15" x14ac:dyDescent="0.35">
      <c r="A5396" s="58" t="s">
        <v>361</v>
      </c>
      <c r="B5396" s="58" t="s">
        <v>176</v>
      </c>
      <c r="C5396" s="58">
        <v>4</v>
      </c>
      <c r="D5396" s="58">
        <v>107</v>
      </c>
      <c r="E5396" s="59">
        <v>33.125</v>
      </c>
    </row>
    <row r="5397" spans="1:5" ht="15" x14ac:dyDescent="0.35">
      <c r="A5397" s="58" t="s">
        <v>361</v>
      </c>
      <c r="B5397" s="58" t="s">
        <v>176</v>
      </c>
      <c r="C5397" s="58">
        <v>5</v>
      </c>
      <c r="D5397" s="58">
        <v>108</v>
      </c>
      <c r="E5397" s="59">
        <v>33.125</v>
      </c>
    </row>
    <row r="5398" spans="1:5" ht="15" x14ac:dyDescent="0.35">
      <c r="A5398" s="58" t="s">
        <v>361</v>
      </c>
      <c r="B5398" s="58" t="s">
        <v>176</v>
      </c>
      <c r="C5398" s="58">
        <v>6</v>
      </c>
      <c r="D5398" s="58">
        <v>109</v>
      </c>
      <c r="E5398" s="59">
        <v>33.125</v>
      </c>
    </row>
    <row r="5399" spans="1:5" ht="15" x14ac:dyDescent="0.35">
      <c r="A5399" s="58" t="s">
        <v>361</v>
      </c>
      <c r="B5399" s="58" t="s">
        <v>176</v>
      </c>
      <c r="C5399" s="58">
        <v>7</v>
      </c>
      <c r="D5399" s="58">
        <v>110</v>
      </c>
      <c r="E5399" s="59">
        <v>33.125</v>
      </c>
    </row>
    <row r="5400" spans="1:5" ht="15" x14ac:dyDescent="0.35">
      <c r="A5400" s="58" t="s">
        <v>361</v>
      </c>
      <c r="B5400" s="58" t="s">
        <v>176</v>
      </c>
      <c r="C5400" s="58">
        <v>8</v>
      </c>
      <c r="D5400" s="58">
        <v>111</v>
      </c>
      <c r="E5400" s="59">
        <v>33.125</v>
      </c>
    </row>
    <row r="5401" spans="1:5" ht="15" x14ac:dyDescent="0.35">
      <c r="A5401" s="58" t="s">
        <v>361</v>
      </c>
      <c r="B5401" s="58" t="s">
        <v>176</v>
      </c>
      <c r="C5401" s="58">
        <v>9</v>
      </c>
      <c r="D5401" s="58">
        <v>112</v>
      </c>
      <c r="E5401" s="59">
        <v>33.125</v>
      </c>
    </row>
    <row r="5402" spans="1:5" ht="15" x14ac:dyDescent="0.35">
      <c r="A5402" s="58" t="s">
        <v>361</v>
      </c>
      <c r="B5402" s="58" t="s">
        <v>176</v>
      </c>
      <c r="C5402" s="58">
        <v>10</v>
      </c>
      <c r="D5402" s="58">
        <v>113</v>
      </c>
      <c r="E5402" s="59">
        <v>33.125</v>
      </c>
    </row>
    <row r="5403" spans="1:5" ht="15" x14ac:dyDescent="0.35">
      <c r="A5403" s="58" t="s">
        <v>361</v>
      </c>
      <c r="B5403" s="58" t="s">
        <v>176</v>
      </c>
      <c r="C5403" s="58">
        <v>11</v>
      </c>
      <c r="D5403" s="58">
        <v>114</v>
      </c>
      <c r="E5403" s="59">
        <v>33.125</v>
      </c>
    </row>
    <row r="5404" spans="1:5" ht="15" x14ac:dyDescent="0.35">
      <c r="A5404" s="58" t="s">
        <v>361</v>
      </c>
      <c r="B5404" s="58" t="s">
        <v>176</v>
      </c>
      <c r="C5404" s="58">
        <v>12</v>
      </c>
      <c r="D5404" s="58">
        <v>115</v>
      </c>
      <c r="E5404" s="59">
        <v>33.125</v>
      </c>
    </row>
    <row r="5405" spans="1:5" ht="15" x14ac:dyDescent="0.35">
      <c r="A5405" s="58" t="s">
        <v>361</v>
      </c>
      <c r="B5405" s="58" t="s">
        <v>172</v>
      </c>
      <c r="C5405" s="58">
        <v>1</v>
      </c>
      <c r="D5405" s="58">
        <v>104</v>
      </c>
      <c r="E5405" s="59">
        <v>8</v>
      </c>
    </row>
    <row r="5406" spans="1:5" ht="15" x14ac:dyDescent="0.35">
      <c r="A5406" s="58" t="s">
        <v>361</v>
      </c>
      <c r="B5406" s="58" t="s">
        <v>172</v>
      </c>
      <c r="C5406" s="58">
        <v>2</v>
      </c>
      <c r="D5406" s="58">
        <v>105</v>
      </c>
      <c r="E5406" s="59">
        <v>8</v>
      </c>
    </row>
    <row r="5407" spans="1:5" ht="15" x14ac:dyDescent="0.35">
      <c r="A5407" s="58" t="s">
        <v>361</v>
      </c>
      <c r="B5407" s="58" t="s">
        <v>172</v>
      </c>
      <c r="C5407" s="58">
        <v>3</v>
      </c>
      <c r="D5407" s="58">
        <v>106</v>
      </c>
      <c r="E5407" s="59">
        <v>8</v>
      </c>
    </row>
    <row r="5408" spans="1:5" ht="15" x14ac:dyDescent="0.35">
      <c r="A5408" s="58" t="s">
        <v>361</v>
      </c>
      <c r="B5408" s="58" t="s">
        <v>172</v>
      </c>
      <c r="C5408" s="58">
        <v>4</v>
      </c>
      <c r="D5408" s="58">
        <v>107</v>
      </c>
      <c r="E5408" s="59">
        <v>8</v>
      </c>
    </row>
    <row r="5409" spans="1:5" ht="15" x14ac:dyDescent="0.35">
      <c r="A5409" s="58" t="s">
        <v>361</v>
      </c>
      <c r="B5409" s="58" t="s">
        <v>172</v>
      </c>
      <c r="C5409" s="58">
        <v>5</v>
      </c>
      <c r="D5409" s="58">
        <v>108</v>
      </c>
      <c r="E5409" s="59">
        <v>8</v>
      </c>
    </row>
    <row r="5410" spans="1:5" ht="15" x14ac:dyDescent="0.35">
      <c r="A5410" s="58" t="s">
        <v>361</v>
      </c>
      <c r="B5410" s="58" t="s">
        <v>172</v>
      </c>
      <c r="C5410" s="58">
        <v>6</v>
      </c>
      <c r="D5410" s="58">
        <v>109</v>
      </c>
      <c r="E5410" s="59">
        <v>8</v>
      </c>
    </row>
    <row r="5411" spans="1:5" ht="15" x14ac:dyDescent="0.35">
      <c r="A5411" s="58" t="s">
        <v>361</v>
      </c>
      <c r="B5411" s="58" t="s">
        <v>172</v>
      </c>
      <c r="C5411" s="58">
        <v>7</v>
      </c>
      <c r="D5411" s="58">
        <v>110</v>
      </c>
      <c r="E5411" s="59">
        <v>8</v>
      </c>
    </row>
    <row r="5412" spans="1:5" ht="15" x14ac:dyDescent="0.35">
      <c r="A5412" s="58" t="s">
        <v>361</v>
      </c>
      <c r="B5412" s="58" t="s">
        <v>172</v>
      </c>
      <c r="C5412" s="58">
        <v>8</v>
      </c>
      <c r="D5412" s="58">
        <v>111</v>
      </c>
      <c r="E5412" s="59">
        <v>8</v>
      </c>
    </row>
    <row r="5413" spans="1:5" ht="15" x14ac:dyDescent="0.35">
      <c r="A5413" s="58" t="s">
        <v>361</v>
      </c>
      <c r="B5413" s="58" t="s">
        <v>172</v>
      </c>
      <c r="C5413" s="58">
        <v>9</v>
      </c>
      <c r="D5413" s="58">
        <v>112</v>
      </c>
      <c r="E5413" s="59">
        <v>8</v>
      </c>
    </row>
    <row r="5414" spans="1:5" ht="15" x14ac:dyDescent="0.35">
      <c r="A5414" s="58" t="s">
        <v>361</v>
      </c>
      <c r="B5414" s="58" t="s">
        <v>172</v>
      </c>
      <c r="C5414" s="58">
        <v>10</v>
      </c>
      <c r="D5414" s="58">
        <v>113</v>
      </c>
      <c r="E5414" s="59">
        <v>8</v>
      </c>
    </row>
    <row r="5415" spans="1:5" ht="15" x14ac:dyDescent="0.35">
      <c r="A5415" s="58" t="s">
        <v>361</v>
      </c>
      <c r="B5415" s="58" t="s">
        <v>172</v>
      </c>
      <c r="C5415" s="58">
        <v>11</v>
      </c>
      <c r="D5415" s="58">
        <v>114</v>
      </c>
      <c r="E5415" s="59">
        <v>8</v>
      </c>
    </row>
    <row r="5416" spans="1:5" ht="15" x14ac:dyDescent="0.35">
      <c r="A5416" s="58" t="s">
        <v>361</v>
      </c>
      <c r="B5416" s="58" t="s">
        <v>172</v>
      </c>
      <c r="C5416" s="58">
        <v>12</v>
      </c>
      <c r="D5416" s="58">
        <v>115</v>
      </c>
      <c r="E5416" s="59">
        <v>8</v>
      </c>
    </row>
    <row r="5417" spans="1:5" ht="15" x14ac:dyDescent="0.35">
      <c r="A5417" s="58" t="s">
        <v>361</v>
      </c>
      <c r="B5417" s="58" t="s">
        <v>180</v>
      </c>
      <c r="C5417" s="58">
        <v>1</v>
      </c>
      <c r="D5417" s="58">
        <v>104</v>
      </c>
      <c r="E5417" s="59">
        <v>32.176400000000001</v>
      </c>
    </row>
    <row r="5418" spans="1:5" ht="15" x14ac:dyDescent="0.35">
      <c r="A5418" s="58" t="s">
        <v>361</v>
      </c>
      <c r="B5418" s="58" t="s">
        <v>180</v>
      </c>
      <c r="C5418" s="58">
        <v>2</v>
      </c>
      <c r="D5418" s="58">
        <v>105</v>
      </c>
      <c r="E5418" s="59">
        <v>32.176400000000001</v>
      </c>
    </row>
    <row r="5419" spans="1:5" ht="15" x14ac:dyDescent="0.35">
      <c r="A5419" s="58" t="s">
        <v>361</v>
      </c>
      <c r="B5419" s="58" t="s">
        <v>180</v>
      </c>
      <c r="C5419" s="58">
        <v>3</v>
      </c>
      <c r="D5419" s="58">
        <v>106</v>
      </c>
      <c r="E5419" s="59">
        <v>32.176400000000001</v>
      </c>
    </row>
    <row r="5420" spans="1:5" ht="15" x14ac:dyDescent="0.35">
      <c r="A5420" s="58" t="s">
        <v>361</v>
      </c>
      <c r="B5420" s="58" t="s">
        <v>180</v>
      </c>
      <c r="C5420" s="58">
        <v>4</v>
      </c>
      <c r="D5420" s="58">
        <v>107</v>
      </c>
      <c r="E5420" s="59">
        <v>32.176400000000001</v>
      </c>
    </row>
    <row r="5421" spans="1:5" ht="15" x14ac:dyDescent="0.35">
      <c r="A5421" s="58" t="s">
        <v>361</v>
      </c>
      <c r="B5421" s="58" t="s">
        <v>180</v>
      </c>
      <c r="C5421" s="58">
        <v>5</v>
      </c>
      <c r="D5421" s="58">
        <v>108</v>
      </c>
      <c r="E5421" s="59">
        <v>32.176400000000001</v>
      </c>
    </row>
    <row r="5422" spans="1:5" ht="15" x14ac:dyDescent="0.35">
      <c r="A5422" s="58" t="s">
        <v>361</v>
      </c>
      <c r="B5422" s="58" t="s">
        <v>180</v>
      </c>
      <c r="C5422" s="58">
        <v>6</v>
      </c>
      <c r="D5422" s="58">
        <v>109</v>
      </c>
      <c r="E5422" s="59">
        <v>32.176400000000001</v>
      </c>
    </row>
    <row r="5423" spans="1:5" ht="15" x14ac:dyDescent="0.35">
      <c r="A5423" s="58" t="s">
        <v>361</v>
      </c>
      <c r="B5423" s="58" t="s">
        <v>180</v>
      </c>
      <c r="C5423" s="58">
        <v>7</v>
      </c>
      <c r="D5423" s="58">
        <v>110</v>
      </c>
      <c r="E5423" s="59">
        <v>32.176400000000001</v>
      </c>
    </row>
    <row r="5424" spans="1:5" ht="15" x14ac:dyDescent="0.35">
      <c r="A5424" s="58" t="s">
        <v>361</v>
      </c>
      <c r="B5424" s="58" t="s">
        <v>180</v>
      </c>
      <c r="C5424" s="58">
        <v>8</v>
      </c>
      <c r="D5424" s="58">
        <v>111</v>
      </c>
      <c r="E5424" s="59">
        <v>32.176400000000001</v>
      </c>
    </row>
    <row r="5425" spans="1:5" ht="15" x14ac:dyDescent="0.35">
      <c r="A5425" s="58" t="s">
        <v>361</v>
      </c>
      <c r="B5425" s="58" t="s">
        <v>180</v>
      </c>
      <c r="C5425" s="58">
        <v>9</v>
      </c>
      <c r="D5425" s="58">
        <v>112</v>
      </c>
      <c r="E5425" s="59">
        <v>32.176400000000001</v>
      </c>
    </row>
    <row r="5426" spans="1:5" ht="15" x14ac:dyDescent="0.35">
      <c r="A5426" s="58" t="s">
        <v>361</v>
      </c>
      <c r="B5426" s="58" t="s">
        <v>180</v>
      </c>
      <c r="C5426" s="58">
        <v>10</v>
      </c>
      <c r="D5426" s="58">
        <v>113</v>
      </c>
      <c r="E5426" s="59">
        <v>32.176400000000001</v>
      </c>
    </row>
    <row r="5427" spans="1:5" ht="15" x14ac:dyDescent="0.35">
      <c r="A5427" s="58" t="s">
        <v>361</v>
      </c>
      <c r="B5427" s="58" t="s">
        <v>180</v>
      </c>
      <c r="C5427" s="58">
        <v>11</v>
      </c>
      <c r="D5427" s="58">
        <v>114</v>
      </c>
      <c r="E5427" s="59">
        <v>32.176400000000001</v>
      </c>
    </row>
    <row r="5428" spans="1:5" ht="15" x14ac:dyDescent="0.35">
      <c r="A5428" s="58" t="s">
        <v>361</v>
      </c>
      <c r="B5428" s="58" t="s">
        <v>180</v>
      </c>
      <c r="C5428" s="58">
        <v>12</v>
      </c>
      <c r="D5428" s="58">
        <v>115</v>
      </c>
      <c r="E5428" s="59">
        <v>32.176400000000001</v>
      </c>
    </row>
    <row r="5429" spans="1:5" ht="15" x14ac:dyDescent="0.35">
      <c r="A5429" s="58" t="s">
        <v>273</v>
      </c>
      <c r="B5429" s="58" t="s">
        <v>182</v>
      </c>
      <c r="C5429" s="58">
        <v>1</v>
      </c>
      <c r="D5429" s="58">
        <v>104</v>
      </c>
      <c r="E5429" s="59">
        <v>41.400199999999998</v>
      </c>
    </row>
    <row r="5430" spans="1:5" ht="15" x14ac:dyDescent="0.35">
      <c r="A5430" s="58" t="s">
        <v>273</v>
      </c>
      <c r="B5430" s="58" t="s">
        <v>182</v>
      </c>
      <c r="C5430" s="58">
        <v>2</v>
      </c>
      <c r="D5430" s="58">
        <v>105</v>
      </c>
      <c r="E5430" s="59">
        <v>11.535299999999999</v>
      </c>
    </row>
    <row r="5431" spans="1:5" ht="15" x14ac:dyDescent="0.35">
      <c r="A5431" s="58" t="s">
        <v>273</v>
      </c>
      <c r="B5431" s="58" t="s">
        <v>182</v>
      </c>
      <c r="C5431" s="58">
        <v>3</v>
      </c>
      <c r="D5431" s="58">
        <v>106</v>
      </c>
      <c r="E5431" s="59">
        <v>31.359300000000001</v>
      </c>
    </row>
    <row r="5432" spans="1:5" ht="15" x14ac:dyDescent="0.35">
      <c r="A5432" s="58" t="s">
        <v>273</v>
      </c>
      <c r="B5432" s="58" t="s">
        <v>182</v>
      </c>
      <c r="C5432" s="58">
        <v>4</v>
      </c>
      <c r="D5432" s="58">
        <v>107</v>
      </c>
      <c r="E5432" s="59">
        <v>37.116700000000002</v>
      </c>
    </row>
    <row r="5433" spans="1:5" ht="15" x14ac:dyDescent="0.35">
      <c r="A5433" s="58" t="s">
        <v>273</v>
      </c>
      <c r="B5433" s="58" t="s">
        <v>182</v>
      </c>
      <c r="C5433" s="58">
        <v>5</v>
      </c>
      <c r="D5433" s="58">
        <v>108</v>
      </c>
      <c r="E5433" s="59">
        <v>53.832299999999996</v>
      </c>
    </row>
    <row r="5434" spans="1:5" ht="15" x14ac:dyDescent="0.35">
      <c r="A5434" s="58" t="s">
        <v>273</v>
      </c>
      <c r="B5434" s="58" t="s">
        <v>182</v>
      </c>
      <c r="C5434" s="58">
        <v>6</v>
      </c>
      <c r="D5434" s="58">
        <v>109</v>
      </c>
      <c r="E5434" s="59">
        <v>53.853499999999997</v>
      </c>
    </row>
    <row r="5435" spans="1:5" ht="15" x14ac:dyDescent="0.35">
      <c r="A5435" s="58" t="s">
        <v>273</v>
      </c>
      <c r="B5435" s="58" t="s">
        <v>182</v>
      </c>
      <c r="C5435" s="58">
        <v>7</v>
      </c>
      <c r="D5435" s="58">
        <v>110</v>
      </c>
      <c r="E5435" s="59">
        <v>66.055300000000003</v>
      </c>
    </row>
    <row r="5436" spans="1:5" ht="15" x14ac:dyDescent="0.35">
      <c r="A5436" s="58" t="s">
        <v>273</v>
      </c>
      <c r="B5436" s="58" t="s">
        <v>182</v>
      </c>
      <c r="C5436" s="58">
        <v>8</v>
      </c>
      <c r="D5436" s="58">
        <v>111</v>
      </c>
      <c r="E5436" s="59">
        <v>86.034899999999993</v>
      </c>
    </row>
    <row r="5437" spans="1:5" ht="15" x14ac:dyDescent="0.35">
      <c r="A5437" s="58" t="s">
        <v>273</v>
      </c>
      <c r="B5437" s="58" t="s">
        <v>182</v>
      </c>
      <c r="C5437" s="58">
        <v>9</v>
      </c>
      <c r="D5437" s="58">
        <v>112</v>
      </c>
      <c r="E5437" s="59">
        <v>95.014399999999995</v>
      </c>
    </row>
    <row r="5438" spans="1:5" ht="15" x14ac:dyDescent="0.35">
      <c r="A5438" s="58" t="s">
        <v>273</v>
      </c>
      <c r="B5438" s="58" t="s">
        <v>182</v>
      </c>
      <c r="C5438" s="58">
        <v>10</v>
      </c>
      <c r="D5438" s="58">
        <v>113</v>
      </c>
      <c r="E5438" s="59">
        <v>112.7718</v>
      </c>
    </row>
    <row r="5439" spans="1:5" ht="15" x14ac:dyDescent="0.35">
      <c r="A5439" s="58" t="s">
        <v>273</v>
      </c>
      <c r="B5439" s="58" t="s">
        <v>182</v>
      </c>
      <c r="C5439" s="58">
        <v>11</v>
      </c>
      <c r="D5439" s="58">
        <v>114</v>
      </c>
      <c r="E5439" s="59">
        <v>91.862499999999997</v>
      </c>
    </row>
    <row r="5440" spans="1:5" ht="15" x14ac:dyDescent="0.35">
      <c r="A5440" s="58" t="s">
        <v>273</v>
      </c>
      <c r="B5440" s="58" t="s">
        <v>182</v>
      </c>
      <c r="C5440" s="58">
        <v>12</v>
      </c>
      <c r="D5440" s="58">
        <v>115</v>
      </c>
      <c r="E5440" s="59">
        <v>88.508700000000005</v>
      </c>
    </row>
    <row r="5441" spans="1:5" ht="15" x14ac:dyDescent="0.35">
      <c r="A5441" s="58" t="s">
        <v>273</v>
      </c>
      <c r="B5441" s="58" t="s">
        <v>176</v>
      </c>
      <c r="C5441" s="58">
        <v>1</v>
      </c>
      <c r="D5441" s="58">
        <v>104</v>
      </c>
      <c r="E5441" s="59">
        <v>41</v>
      </c>
    </row>
    <row r="5442" spans="1:5" ht="15" x14ac:dyDescent="0.35">
      <c r="A5442" s="58" t="s">
        <v>273</v>
      </c>
      <c r="B5442" s="58" t="s">
        <v>176</v>
      </c>
      <c r="C5442" s="58">
        <v>2</v>
      </c>
      <c r="D5442" s="58">
        <v>105</v>
      </c>
      <c r="E5442" s="59">
        <v>41</v>
      </c>
    </row>
    <row r="5443" spans="1:5" ht="15" x14ac:dyDescent="0.35">
      <c r="A5443" s="58" t="s">
        <v>273</v>
      </c>
      <c r="B5443" s="58" t="s">
        <v>176</v>
      </c>
      <c r="C5443" s="58">
        <v>3</v>
      </c>
      <c r="D5443" s="58">
        <v>106</v>
      </c>
      <c r="E5443" s="59">
        <v>41</v>
      </c>
    </row>
    <row r="5444" spans="1:5" ht="15" x14ac:dyDescent="0.35">
      <c r="A5444" s="58" t="s">
        <v>273</v>
      </c>
      <c r="B5444" s="58" t="s">
        <v>176</v>
      </c>
      <c r="C5444" s="58">
        <v>4</v>
      </c>
      <c r="D5444" s="58">
        <v>107</v>
      </c>
      <c r="E5444" s="59">
        <v>41</v>
      </c>
    </row>
    <row r="5445" spans="1:5" ht="15" x14ac:dyDescent="0.35">
      <c r="A5445" s="58" t="s">
        <v>273</v>
      </c>
      <c r="B5445" s="58" t="s">
        <v>176</v>
      </c>
      <c r="C5445" s="58">
        <v>5</v>
      </c>
      <c r="D5445" s="58">
        <v>108</v>
      </c>
      <c r="E5445" s="59">
        <v>41</v>
      </c>
    </row>
    <row r="5446" spans="1:5" ht="15" x14ac:dyDescent="0.35">
      <c r="A5446" s="58" t="s">
        <v>273</v>
      </c>
      <c r="B5446" s="58" t="s">
        <v>176</v>
      </c>
      <c r="C5446" s="58">
        <v>6</v>
      </c>
      <c r="D5446" s="58">
        <v>109</v>
      </c>
      <c r="E5446" s="59">
        <v>41</v>
      </c>
    </row>
    <row r="5447" spans="1:5" ht="15" x14ac:dyDescent="0.35">
      <c r="A5447" s="58" t="s">
        <v>273</v>
      </c>
      <c r="B5447" s="58" t="s">
        <v>176</v>
      </c>
      <c r="C5447" s="58">
        <v>7</v>
      </c>
      <c r="D5447" s="58">
        <v>110</v>
      </c>
      <c r="E5447" s="59">
        <v>41</v>
      </c>
    </row>
    <row r="5448" spans="1:5" ht="15" x14ac:dyDescent="0.35">
      <c r="A5448" s="58" t="s">
        <v>273</v>
      </c>
      <c r="B5448" s="58" t="s">
        <v>176</v>
      </c>
      <c r="C5448" s="58">
        <v>8</v>
      </c>
      <c r="D5448" s="58">
        <v>111</v>
      </c>
      <c r="E5448" s="59">
        <v>41</v>
      </c>
    </row>
    <row r="5449" spans="1:5" ht="15" x14ac:dyDescent="0.35">
      <c r="A5449" s="58" t="s">
        <v>273</v>
      </c>
      <c r="B5449" s="58" t="s">
        <v>176</v>
      </c>
      <c r="C5449" s="58">
        <v>9</v>
      </c>
      <c r="D5449" s="58">
        <v>112</v>
      </c>
      <c r="E5449" s="59">
        <v>41</v>
      </c>
    </row>
    <row r="5450" spans="1:5" ht="15" x14ac:dyDescent="0.35">
      <c r="A5450" s="58" t="s">
        <v>273</v>
      </c>
      <c r="B5450" s="58" t="s">
        <v>176</v>
      </c>
      <c r="C5450" s="58">
        <v>10</v>
      </c>
      <c r="D5450" s="58">
        <v>113</v>
      </c>
      <c r="E5450" s="59">
        <v>41</v>
      </c>
    </row>
    <row r="5451" spans="1:5" ht="15" x14ac:dyDescent="0.35">
      <c r="A5451" s="58" t="s">
        <v>273</v>
      </c>
      <c r="B5451" s="58" t="s">
        <v>176</v>
      </c>
      <c r="C5451" s="58">
        <v>11</v>
      </c>
      <c r="D5451" s="58">
        <v>114</v>
      </c>
      <c r="E5451" s="59">
        <v>41</v>
      </c>
    </row>
    <row r="5452" spans="1:5" ht="15" x14ac:dyDescent="0.35">
      <c r="A5452" s="58" t="s">
        <v>273</v>
      </c>
      <c r="B5452" s="58" t="s">
        <v>176</v>
      </c>
      <c r="C5452" s="58">
        <v>12</v>
      </c>
      <c r="D5452" s="58">
        <v>115</v>
      </c>
      <c r="E5452" s="59">
        <v>41</v>
      </c>
    </row>
    <row r="5453" spans="1:5" ht="15" x14ac:dyDescent="0.35">
      <c r="A5453" s="58" t="s">
        <v>273</v>
      </c>
      <c r="B5453" s="58" t="s">
        <v>172</v>
      </c>
      <c r="C5453" s="58">
        <v>1</v>
      </c>
      <c r="D5453" s="58">
        <v>104</v>
      </c>
      <c r="E5453" s="59">
        <v>90</v>
      </c>
    </row>
    <row r="5454" spans="1:5" ht="15" x14ac:dyDescent="0.35">
      <c r="A5454" s="58" t="s">
        <v>273</v>
      </c>
      <c r="B5454" s="58" t="s">
        <v>172</v>
      </c>
      <c r="C5454" s="58">
        <v>2</v>
      </c>
      <c r="D5454" s="58">
        <v>105</v>
      </c>
      <c r="E5454" s="59">
        <v>90</v>
      </c>
    </row>
    <row r="5455" spans="1:5" ht="15" x14ac:dyDescent="0.35">
      <c r="A5455" s="58" t="s">
        <v>273</v>
      </c>
      <c r="B5455" s="58" t="s">
        <v>172</v>
      </c>
      <c r="C5455" s="58">
        <v>3</v>
      </c>
      <c r="D5455" s="58">
        <v>106</v>
      </c>
      <c r="E5455" s="59">
        <v>90</v>
      </c>
    </row>
    <row r="5456" spans="1:5" ht="15" x14ac:dyDescent="0.35">
      <c r="A5456" s="58" t="s">
        <v>273</v>
      </c>
      <c r="B5456" s="58" t="s">
        <v>172</v>
      </c>
      <c r="C5456" s="58">
        <v>4</v>
      </c>
      <c r="D5456" s="58">
        <v>107</v>
      </c>
      <c r="E5456" s="59">
        <v>90</v>
      </c>
    </row>
    <row r="5457" spans="1:5" ht="15" x14ac:dyDescent="0.35">
      <c r="A5457" s="58" t="s">
        <v>273</v>
      </c>
      <c r="B5457" s="58" t="s">
        <v>172</v>
      </c>
      <c r="C5457" s="58">
        <v>5</v>
      </c>
      <c r="D5457" s="58">
        <v>108</v>
      </c>
      <c r="E5457" s="59">
        <v>90</v>
      </c>
    </row>
    <row r="5458" spans="1:5" ht="15" x14ac:dyDescent="0.35">
      <c r="A5458" s="58" t="s">
        <v>273</v>
      </c>
      <c r="B5458" s="58" t="s">
        <v>172</v>
      </c>
      <c r="C5458" s="58">
        <v>6</v>
      </c>
      <c r="D5458" s="58">
        <v>109</v>
      </c>
      <c r="E5458" s="59">
        <v>90</v>
      </c>
    </row>
    <row r="5459" spans="1:5" ht="15" x14ac:dyDescent="0.35">
      <c r="A5459" s="58" t="s">
        <v>273</v>
      </c>
      <c r="B5459" s="58" t="s">
        <v>172</v>
      </c>
      <c r="C5459" s="58">
        <v>7</v>
      </c>
      <c r="D5459" s="58">
        <v>110</v>
      </c>
      <c r="E5459" s="59">
        <v>90</v>
      </c>
    </row>
    <row r="5460" spans="1:5" ht="15" x14ac:dyDescent="0.35">
      <c r="A5460" s="58" t="s">
        <v>273</v>
      </c>
      <c r="B5460" s="58" t="s">
        <v>172</v>
      </c>
      <c r="C5460" s="58">
        <v>8</v>
      </c>
      <c r="D5460" s="58">
        <v>111</v>
      </c>
      <c r="E5460" s="59">
        <v>90</v>
      </c>
    </row>
    <row r="5461" spans="1:5" ht="15" x14ac:dyDescent="0.35">
      <c r="A5461" s="58" t="s">
        <v>273</v>
      </c>
      <c r="B5461" s="58" t="s">
        <v>172</v>
      </c>
      <c r="C5461" s="58">
        <v>9</v>
      </c>
      <c r="D5461" s="58">
        <v>112</v>
      </c>
      <c r="E5461" s="59">
        <v>90</v>
      </c>
    </row>
    <row r="5462" spans="1:5" ht="15" x14ac:dyDescent="0.35">
      <c r="A5462" s="58" t="s">
        <v>273</v>
      </c>
      <c r="B5462" s="58" t="s">
        <v>172</v>
      </c>
      <c r="C5462" s="58">
        <v>10</v>
      </c>
      <c r="D5462" s="58">
        <v>113</v>
      </c>
      <c r="E5462" s="59">
        <v>90</v>
      </c>
    </row>
    <row r="5463" spans="1:5" ht="15" x14ac:dyDescent="0.35">
      <c r="A5463" s="58" t="s">
        <v>273</v>
      </c>
      <c r="B5463" s="58" t="s">
        <v>172</v>
      </c>
      <c r="C5463" s="58">
        <v>11</v>
      </c>
      <c r="D5463" s="58">
        <v>114</v>
      </c>
      <c r="E5463" s="59">
        <v>90</v>
      </c>
    </row>
    <row r="5464" spans="1:5" ht="15" x14ac:dyDescent="0.35">
      <c r="A5464" s="58" t="s">
        <v>273</v>
      </c>
      <c r="B5464" s="58" t="s">
        <v>172</v>
      </c>
      <c r="C5464" s="58">
        <v>12</v>
      </c>
      <c r="D5464" s="58">
        <v>115</v>
      </c>
      <c r="E5464" s="59">
        <v>90</v>
      </c>
    </row>
    <row r="5465" spans="1:5" ht="15" x14ac:dyDescent="0.35">
      <c r="A5465" s="58" t="s">
        <v>273</v>
      </c>
      <c r="B5465" s="58" t="s">
        <v>180</v>
      </c>
      <c r="C5465" s="58">
        <v>1</v>
      </c>
      <c r="D5465" s="58">
        <v>104</v>
      </c>
      <c r="E5465" s="59">
        <v>61.217300000000002</v>
      </c>
    </row>
    <row r="5466" spans="1:5" ht="15" x14ac:dyDescent="0.35">
      <c r="A5466" s="58" t="s">
        <v>273</v>
      </c>
      <c r="B5466" s="58" t="s">
        <v>180</v>
      </c>
      <c r="C5466" s="58">
        <v>2</v>
      </c>
      <c r="D5466" s="58">
        <v>105</v>
      </c>
      <c r="E5466" s="59">
        <v>61.217300000000002</v>
      </c>
    </row>
    <row r="5467" spans="1:5" ht="15" x14ac:dyDescent="0.35">
      <c r="A5467" s="58" t="s">
        <v>273</v>
      </c>
      <c r="B5467" s="58" t="s">
        <v>180</v>
      </c>
      <c r="C5467" s="58">
        <v>3</v>
      </c>
      <c r="D5467" s="58">
        <v>106</v>
      </c>
      <c r="E5467" s="59">
        <v>61.217300000000002</v>
      </c>
    </row>
    <row r="5468" spans="1:5" ht="15" x14ac:dyDescent="0.35">
      <c r="A5468" s="58" t="s">
        <v>273</v>
      </c>
      <c r="B5468" s="58" t="s">
        <v>180</v>
      </c>
      <c r="C5468" s="58">
        <v>4</v>
      </c>
      <c r="D5468" s="58">
        <v>107</v>
      </c>
      <c r="E5468" s="59">
        <v>61.217300000000002</v>
      </c>
    </row>
    <row r="5469" spans="1:5" ht="15" x14ac:dyDescent="0.35">
      <c r="A5469" s="58" t="s">
        <v>273</v>
      </c>
      <c r="B5469" s="58" t="s">
        <v>180</v>
      </c>
      <c r="C5469" s="58">
        <v>5</v>
      </c>
      <c r="D5469" s="58">
        <v>108</v>
      </c>
      <c r="E5469" s="59">
        <v>61.217300000000002</v>
      </c>
    </row>
    <row r="5470" spans="1:5" ht="15" x14ac:dyDescent="0.35">
      <c r="A5470" s="58" t="s">
        <v>273</v>
      </c>
      <c r="B5470" s="58" t="s">
        <v>180</v>
      </c>
      <c r="C5470" s="58">
        <v>6</v>
      </c>
      <c r="D5470" s="58">
        <v>109</v>
      </c>
      <c r="E5470" s="59">
        <v>61.217300000000002</v>
      </c>
    </row>
    <row r="5471" spans="1:5" ht="15" x14ac:dyDescent="0.35">
      <c r="A5471" s="58" t="s">
        <v>273</v>
      </c>
      <c r="B5471" s="58" t="s">
        <v>180</v>
      </c>
      <c r="C5471" s="58">
        <v>7</v>
      </c>
      <c r="D5471" s="58">
        <v>110</v>
      </c>
      <c r="E5471" s="59">
        <v>61.217300000000002</v>
      </c>
    </row>
    <row r="5472" spans="1:5" ht="15" x14ac:dyDescent="0.35">
      <c r="A5472" s="58" t="s">
        <v>273</v>
      </c>
      <c r="B5472" s="58" t="s">
        <v>180</v>
      </c>
      <c r="C5472" s="58">
        <v>8</v>
      </c>
      <c r="D5472" s="58">
        <v>111</v>
      </c>
      <c r="E5472" s="59">
        <v>61.217300000000002</v>
      </c>
    </row>
    <row r="5473" spans="1:5" ht="15" x14ac:dyDescent="0.35">
      <c r="A5473" s="58" t="s">
        <v>273</v>
      </c>
      <c r="B5473" s="58" t="s">
        <v>180</v>
      </c>
      <c r="C5473" s="58">
        <v>9</v>
      </c>
      <c r="D5473" s="58">
        <v>112</v>
      </c>
      <c r="E5473" s="59">
        <v>61.217300000000002</v>
      </c>
    </row>
    <row r="5474" spans="1:5" ht="15" x14ac:dyDescent="0.35">
      <c r="A5474" s="58" t="s">
        <v>273</v>
      </c>
      <c r="B5474" s="58" t="s">
        <v>180</v>
      </c>
      <c r="C5474" s="58">
        <v>10</v>
      </c>
      <c r="D5474" s="58">
        <v>113</v>
      </c>
      <c r="E5474" s="59">
        <v>61.217300000000002</v>
      </c>
    </row>
    <row r="5475" spans="1:5" ht="15" x14ac:dyDescent="0.35">
      <c r="A5475" s="58" t="s">
        <v>273</v>
      </c>
      <c r="B5475" s="58" t="s">
        <v>180</v>
      </c>
      <c r="C5475" s="58">
        <v>11</v>
      </c>
      <c r="D5475" s="58">
        <v>114</v>
      </c>
      <c r="E5475" s="59">
        <v>61.217300000000002</v>
      </c>
    </row>
    <row r="5476" spans="1:5" ht="15" x14ac:dyDescent="0.35">
      <c r="A5476" s="58" t="s">
        <v>273</v>
      </c>
      <c r="B5476" s="58" t="s">
        <v>180</v>
      </c>
      <c r="C5476" s="58">
        <v>12</v>
      </c>
      <c r="D5476" s="58">
        <v>115</v>
      </c>
      <c r="E5476" s="59">
        <v>61.217300000000002</v>
      </c>
    </row>
    <row r="5477" spans="1:5" ht="15" x14ac:dyDescent="0.35">
      <c r="A5477" s="58" t="s">
        <v>393</v>
      </c>
      <c r="B5477" s="58" t="s">
        <v>182</v>
      </c>
      <c r="C5477" s="58">
        <v>1</v>
      </c>
      <c r="D5477" s="58">
        <v>104</v>
      </c>
      <c r="E5477" s="59">
        <v>21.043600000000001</v>
      </c>
    </row>
    <row r="5478" spans="1:5" ht="15" x14ac:dyDescent="0.35">
      <c r="A5478" s="58" t="s">
        <v>393</v>
      </c>
      <c r="B5478" s="58" t="s">
        <v>182</v>
      </c>
      <c r="C5478" s="58">
        <v>2</v>
      </c>
      <c r="D5478" s="58">
        <v>105</v>
      </c>
      <c r="E5478" s="59">
        <v>32.710299999999997</v>
      </c>
    </row>
    <row r="5479" spans="1:5" ht="15" x14ac:dyDescent="0.35">
      <c r="A5479" s="58" t="s">
        <v>393</v>
      </c>
      <c r="B5479" s="58" t="s">
        <v>182</v>
      </c>
      <c r="C5479" s="58">
        <v>3</v>
      </c>
      <c r="D5479" s="58">
        <v>106</v>
      </c>
      <c r="E5479" s="59">
        <v>34.376899999999999</v>
      </c>
    </row>
    <row r="5480" spans="1:5" ht="15" x14ac:dyDescent="0.35">
      <c r="A5480" s="58" t="s">
        <v>393</v>
      </c>
      <c r="B5480" s="58" t="s">
        <v>182</v>
      </c>
      <c r="C5480" s="58">
        <v>4</v>
      </c>
      <c r="D5480" s="58">
        <v>107</v>
      </c>
      <c r="E5480" s="59">
        <v>33.996000000000002</v>
      </c>
    </row>
    <row r="5481" spans="1:5" ht="15" x14ac:dyDescent="0.35">
      <c r="A5481" s="58" t="s">
        <v>393</v>
      </c>
      <c r="B5481" s="58" t="s">
        <v>182</v>
      </c>
      <c r="C5481" s="58">
        <v>5</v>
      </c>
      <c r="D5481" s="58">
        <v>108</v>
      </c>
      <c r="E5481" s="59">
        <v>32.085299999999997</v>
      </c>
    </row>
    <row r="5482" spans="1:5" ht="15" x14ac:dyDescent="0.35">
      <c r="A5482" s="58" t="s">
        <v>393</v>
      </c>
      <c r="B5482" s="58" t="s">
        <v>182</v>
      </c>
      <c r="C5482" s="58">
        <v>6</v>
      </c>
      <c r="D5482" s="58">
        <v>109</v>
      </c>
      <c r="E5482" s="59">
        <v>51.265799999999999</v>
      </c>
    </row>
    <row r="5483" spans="1:5" ht="15" x14ac:dyDescent="0.35">
      <c r="A5483" s="58" t="s">
        <v>393</v>
      </c>
      <c r="B5483" s="58" t="s">
        <v>182</v>
      </c>
      <c r="C5483" s="58">
        <v>7</v>
      </c>
      <c r="D5483" s="58">
        <v>110</v>
      </c>
      <c r="E5483" s="59">
        <v>51.376899999999999</v>
      </c>
    </row>
    <row r="5484" spans="1:5" ht="15" x14ac:dyDescent="0.35">
      <c r="A5484" s="58" t="s">
        <v>393</v>
      </c>
      <c r="B5484" s="58" t="s">
        <v>182</v>
      </c>
      <c r="C5484" s="58">
        <v>8</v>
      </c>
      <c r="D5484" s="58">
        <v>111</v>
      </c>
      <c r="E5484" s="59">
        <v>74.488</v>
      </c>
    </row>
    <row r="5485" spans="1:5" ht="15" x14ac:dyDescent="0.35">
      <c r="A5485" s="58" t="s">
        <v>393</v>
      </c>
      <c r="B5485" s="58" t="s">
        <v>182</v>
      </c>
      <c r="C5485" s="58">
        <v>9</v>
      </c>
      <c r="D5485" s="58">
        <v>112</v>
      </c>
      <c r="E5485" s="59">
        <v>76.599100000000007</v>
      </c>
    </row>
    <row r="5486" spans="1:5" ht="15" x14ac:dyDescent="0.35">
      <c r="A5486" s="58" t="s">
        <v>393</v>
      </c>
      <c r="B5486" s="58" t="s">
        <v>182</v>
      </c>
      <c r="C5486" s="58">
        <v>10</v>
      </c>
      <c r="D5486" s="58">
        <v>113</v>
      </c>
      <c r="E5486" s="59">
        <v>79.154700000000005</v>
      </c>
    </row>
    <row r="5487" spans="1:5" ht="15" x14ac:dyDescent="0.35">
      <c r="A5487" s="58" t="s">
        <v>393</v>
      </c>
      <c r="B5487" s="58" t="s">
        <v>182</v>
      </c>
      <c r="C5487" s="58">
        <v>11</v>
      </c>
      <c r="D5487" s="58">
        <v>114</v>
      </c>
      <c r="E5487" s="59">
        <v>65.043599999999998</v>
      </c>
    </row>
    <row r="5488" spans="1:5" ht="15" x14ac:dyDescent="0.35">
      <c r="A5488" s="58" t="s">
        <v>393</v>
      </c>
      <c r="B5488" s="58" t="s">
        <v>182</v>
      </c>
      <c r="C5488" s="58">
        <v>12</v>
      </c>
      <c r="D5488" s="58">
        <v>115</v>
      </c>
      <c r="E5488" s="59">
        <v>85.599100000000007</v>
      </c>
    </row>
    <row r="5489" spans="1:5" ht="15" x14ac:dyDescent="0.35">
      <c r="A5489" s="58" t="s">
        <v>393</v>
      </c>
      <c r="B5489" s="58" t="s">
        <v>176</v>
      </c>
      <c r="C5489" s="58">
        <v>1</v>
      </c>
      <c r="D5489" s="58">
        <v>104</v>
      </c>
      <c r="E5489" s="59">
        <v>22.125</v>
      </c>
    </row>
    <row r="5490" spans="1:5" ht="15" x14ac:dyDescent="0.35">
      <c r="A5490" s="58" t="s">
        <v>393</v>
      </c>
      <c r="B5490" s="58" t="s">
        <v>176</v>
      </c>
      <c r="C5490" s="58">
        <v>2</v>
      </c>
      <c r="D5490" s="58">
        <v>105</v>
      </c>
      <c r="E5490" s="59">
        <v>22.125</v>
      </c>
    </row>
    <row r="5491" spans="1:5" ht="15" x14ac:dyDescent="0.35">
      <c r="A5491" s="58" t="s">
        <v>393</v>
      </c>
      <c r="B5491" s="58" t="s">
        <v>176</v>
      </c>
      <c r="C5491" s="58">
        <v>3</v>
      </c>
      <c r="D5491" s="58">
        <v>106</v>
      </c>
      <c r="E5491" s="59">
        <v>22.125</v>
      </c>
    </row>
    <row r="5492" spans="1:5" ht="15" x14ac:dyDescent="0.35">
      <c r="A5492" s="58" t="s">
        <v>393</v>
      </c>
      <c r="B5492" s="58" t="s">
        <v>176</v>
      </c>
      <c r="C5492" s="58">
        <v>4</v>
      </c>
      <c r="D5492" s="58">
        <v>107</v>
      </c>
      <c r="E5492" s="59">
        <v>22.125</v>
      </c>
    </row>
    <row r="5493" spans="1:5" ht="15" x14ac:dyDescent="0.35">
      <c r="A5493" s="58" t="s">
        <v>393</v>
      </c>
      <c r="B5493" s="58" t="s">
        <v>176</v>
      </c>
      <c r="C5493" s="58">
        <v>5</v>
      </c>
      <c r="D5493" s="58">
        <v>108</v>
      </c>
      <c r="E5493" s="59">
        <v>22.125</v>
      </c>
    </row>
    <row r="5494" spans="1:5" ht="15" x14ac:dyDescent="0.35">
      <c r="A5494" s="58" t="s">
        <v>393</v>
      </c>
      <c r="B5494" s="58" t="s">
        <v>176</v>
      </c>
      <c r="C5494" s="58">
        <v>6</v>
      </c>
      <c r="D5494" s="58">
        <v>109</v>
      </c>
      <c r="E5494" s="59">
        <v>22.125</v>
      </c>
    </row>
    <row r="5495" spans="1:5" ht="15" x14ac:dyDescent="0.35">
      <c r="A5495" s="58" t="s">
        <v>393</v>
      </c>
      <c r="B5495" s="58" t="s">
        <v>176</v>
      </c>
      <c r="C5495" s="58">
        <v>7</v>
      </c>
      <c r="D5495" s="58">
        <v>110</v>
      </c>
      <c r="E5495" s="59">
        <v>22.125</v>
      </c>
    </row>
    <row r="5496" spans="1:5" ht="15" x14ac:dyDescent="0.35">
      <c r="A5496" s="58" t="s">
        <v>393</v>
      </c>
      <c r="B5496" s="58" t="s">
        <v>176</v>
      </c>
      <c r="C5496" s="58">
        <v>8</v>
      </c>
      <c r="D5496" s="58">
        <v>111</v>
      </c>
      <c r="E5496" s="59">
        <v>22.125</v>
      </c>
    </row>
    <row r="5497" spans="1:5" ht="15" x14ac:dyDescent="0.35">
      <c r="A5497" s="58" t="s">
        <v>393</v>
      </c>
      <c r="B5497" s="58" t="s">
        <v>176</v>
      </c>
      <c r="C5497" s="58">
        <v>9</v>
      </c>
      <c r="D5497" s="58">
        <v>112</v>
      </c>
      <c r="E5497" s="59">
        <v>22.125</v>
      </c>
    </row>
    <row r="5498" spans="1:5" ht="15" x14ac:dyDescent="0.35">
      <c r="A5498" s="58" t="s">
        <v>393</v>
      </c>
      <c r="B5498" s="58" t="s">
        <v>176</v>
      </c>
      <c r="C5498" s="58">
        <v>10</v>
      </c>
      <c r="D5498" s="58">
        <v>113</v>
      </c>
      <c r="E5498" s="59">
        <v>22.125</v>
      </c>
    </row>
    <row r="5499" spans="1:5" ht="15" x14ac:dyDescent="0.35">
      <c r="A5499" s="58" t="s">
        <v>393</v>
      </c>
      <c r="B5499" s="58" t="s">
        <v>176</v>
      </c>
      <c r="C5499" s="58">
        <v>11</v>
      </c>
      <c r="D5499" s="58">
        <v>114</v>
      </c>
      <c r="E5499" s="59">
        <v>22.125</v>
      </c>
    </row>
    <row r="5500" spans="1:5" ht="15" x14ac:dyDescent="0.35">
      <c r="A5500" s="58" t="s">
        <v>393</v>
      </c>
      <c r="B5500" s="58" t="s">
        <v>176</v>
      </c>
      <c r="C5500" s="58">
        <v>12</v>
      </c>
      <c r="D5500" s="58">
        <v>115</v>
      </c>
      <c r="E5500" s="59">
        <v>22.125</v>
      </c>
    </row>
    <row r="5501" spans="1:5" ht="15" x14ac:dyDescent="0.35">
      <c r="A5501" s="58" t="s">
        <v>393</v>
      </c>
      <c r="B5501" s="58" t="s">
        <v>172</v>
      </c>
      <c r="C5501" s="58">
        <v>1</v>
      </c>
      <c r="D5501" s="58">
        <v>104</v>
      </c>
      <c r="E5501" s="59">
        <v>75</v>
      </c>
    </row>
    <row r="5502" spans="1:5" ht="15" x14ac:dyDescent="0.35">
      <c r="A5502" s="58" t="s">
        <v>393</v>
      </c>
      <c r="B5502" s="58" t="s">
        <v>172</v>
      </c>
      <c r="C5502" s="58">
        <v>2</v>
      </c>
      <c r="D5502" s="58">
        <v>105</v>
      </c>
      <c r="E5502" s="59">
        <v>75</v>
      </c>
    </row>
    <row r="5503" spans="1:5" ht="15" x14ac:dyDescent="0.35">
      <c r="A5503" s="58" t="s">
        <v>393</v>
      </c>
      <c r="B5503" s="58" t="s">
        <v>172</v>
      </c>
      <c r="C5503" s="58">
        <v>3</v>
      </c>
      <c r="D5503" s="58">
        <v>106</v>
      </c>
      <c r="E5503" s="59">
        <v>75</v>
      </c>
    </row>
    <row r="5504" spans="1:5" ht="15" x14ac:dyDescent="0.35">
      <c r="A5504" s="58" t="s">
        <v>393</v>
      </c>
      <c r="B5504" s="58" t="s">
        <v>172</v>
      </c>
      <c r="C5504" s="58">
        <v>4</v>
      </c>
      <c r="D5504" s="58">
        <v>107</v>
      </c>
      <c r="E5504" s="59">
        <v>75</v>
      </c>
    </row>
    <row r="5505" spans="1:5" ht="15" x14ac:dyDescent="0.35">
      <c r="A5505" s="58" t="s">
        <v>393</v>
      </c>
      <c r="B5505" s="58" t="s">
        <v>172</v>
      </c>
      <c r="C5505" s="58">
        <v>5</v>
      </c>
      <c r="D5505" s="58">
        <v>108</v>
      </c>
      <c r="E5505" s="59">
        <v>75</v>
      </c>
    </row>
    <row r="5506" spans="1:5" ht="15" x14ac:dyDescent="0.35">
      <c r="A5506" s="58" t="s">
        <v>393</v>
      </c>
      <c r="B5506" s="58" t="s">
        <v>172</v>
      </c>
      <c r="C5506" s="58">
        <v>6</v>
      </c>
      <c r="D5506" s="58">
        <v>109</v>
      </c>
      <c r="E5506" s="59">
        <v>75</v>
      </c>
    </row>
    <row r="5507" spans="1:5" ht="15" x14ac:dyDescent="0.35">
      <c r="A5507" s="58" t="s">
        <v>393</v>
      </c>
      <c r="B5507" s="58" t="s">
        <v>172</v>
      </c>
      <c r="C5507" s="58">
        <v>7</v>
      </c>
      <c r="D5507" s="58">
        <v>110</v>
      </c>
      <c r="E5507" s="59">
        <v>75</v>
      </c>
    </row>
    <row r="5508" spans="1:5" ht="15" x14ac:dyDescent="0.35">
      <c r="A5508" s="58" t="s">
        <v>393</v>
      </c>
      <c r="B5508" s="58" t="s">
        <v>172</v>
      </c>
      <c r="C5508" s="58">
        <v>8</v>
      </c>
      <c r="D5508" s="58">
        <v>111</v>
      </c>
      <c r="E5508" s="59">
        <v>75</v>
      </c>
    </row>
    <row r="5509" spans="1:5" ht="15" x14ac:dyDescent="0.35">
      <c r="A5509" s="58" t="s">
        <v>393</v>
      </c>
      <c r="B5509" s="58" t="s">
        <v>172</v>
      </c>
      <c r="C5509" s="58">
        <v>9</v>
      </c>
      <c r="D5509" s="58">
        <v>112</v>
      </c>
      <c r="E5509" s="59">
        <v>75</v>
      </c>
    </row>
    <row r="5510" spans="1:5" ht="15" x14ac:dyDescent="0.35">
      <c r="A5510" s="58" t="s">
        <v>393</v>
      </c>
      <c r="B5510" s="58" t="s">
        <v>172</v>
      </c>
      <c r="C5510" s="58">
        <v>10</v>
      </c>
      <c r="D5510" s="58">
        <v>113</v>
      </c>
      <c r="E5510" s="59">
        <v>75</v>
      </c>
    </row>
    <row r="5511" spans="1:5" ht="15" x14ac:dyDescent="0.35">
      <c r="A5511" s="58" t="s">
        <v>393</v>
      </c>
      <c r="B5511" s="58" t="s">
        <v>172</v>
      </c>
      <c r="C5511" s="58">
        <v>11</v>
      </c>
      <c r="D5511" s="58">
        <v>114</v>
      </c>
      <c r="E5511" s="59">
        <v>75</v>
      </c>
    </row>
    <row r="5512" spans="1:5" ht="15" x14ac:dyDescent="0.35">
      <c r="A5512" s="58" t="s">
        <v>393</v>
      </c>
      <c r="B5512" s="58" t="s">
        <v>172</v>
      </c>
      <c r="C5512" s="58">
        <v>12</v>
      </c>
      <c r="D5512" s="58">
        <v>115</v>
      </c>
      <c r="E5512" s="59">
        <v>75</v>
      </c>
    </row>
    <row r="5513" spans="1:5" ht="15" x14ac:dyDescent="0.35">
      <c r="A5513" s="58" t="s">
        <v>393</v>
      </c>
      <c r="B5513" s="58" t="s">
        <v>180</v>
      </c>
      <c r="C5513" s="58">
        <v>1</v>
      </c>
      <c r="D5513" s="58">
        <v>104</v>
      </c>
      <c r="E5513" s="59">
        <v>35.7562</v>
      </c>
    </row>
    <row r="5514" spans="1:5" ht="15" x14ac:dyDescent="0.35">
      <c r="A5514" s="58" t="s">
        <v>393</v>
      </c>
      <c r="B5514" s="58" t="s">
        <v>180</v>
      </c>
      <c r="C5514" s="58">
        <v>2</v>
      </c>
      <c r="D5514" s="58">
        <v>105</v>
      </c>
      <c r="E5514" s="59">
        <v>35.7562</v>
      </c>
    </row>
    <row r="5515" spans="1:5" ht="15" x14ac:dyDescent="0.35">
      <c r="A5515" s="58" t="s">
        <v>393</v>
      </c>
      <c r="B5515" s="58" t="s">
        <v>180</v>
      </c>
      <c r="C5515" s="58">
        <v>3</v>
      </c>
      <c r="D5515" s="58">
        <v>106</v>
      </c>
      <c r="E5515" s="59">
        <v>35.7562</v>
      </c>
    </row>
    <row r="5516" spans="1:5" ht="15" x14ac:dyDescent="0.35">
      <c r="A5516" s="58" t="s">
        <v>393</v>
      </c>
      <c r="B5516" s="58" t="s">
        <v>180</v>
      </c>
      <c r="C5516" s="58">
        <v>4</v>
      </c>
      <c r="D5516" s="58">
        <v>107</v>
      </c>
      <c r="E5516" s="59">
        <v>35.7562</v>
      </c>
    </row>
    <row r="5517" spans="1:5" ht="15" x14ac:dyDescent="0.35">
      <c r="A5517" s="58" t="s">
        <v>393</v>
      </c>
      <c r="B5517" s="58" t="s">
        <v>180</v>
      </c>
      <c r="C5517" s="58">
        <v>5</v>
      </c>
      <c r="D5517" s="58">
        <v>108</v>
      </c>
      <c r="E5517" s="59">
        <v>35.7562</v>
      </c>
    </row>
    <row r="5518" spans="1:5" ht="15" x14ac:dyDescent="0.35">
      <c r="A5518" s="58" t="s">
        <v>393</v>
      </c>
      <c r="B5518" s="58" t="s">
        <v>180</v>
      </c>
      <c r="C5518" s="58">
        <v>6</v>
      </c>
      <c r="D5518" s="58">
        <v>109</v>
      </c>
      <c r="E5518" s="59">
        <v>35.7562</v>
      </c>
    </row>
    <row r="5519" spans="1:5" ht="15" x14ac:dyDescent="0.35">
      <c r="A5519" s="58" t="s">
        <v>393</v>
      </c>
      <c r="B5519" s="58" t="s">
        <v>180</v>
      </c>
      <c r="C5519" s="58">
        <v>7</v>
      </c>
      <c r="D5519" s="58">
        <v>110</v>
      </c>
      <c r="E5519" s="59">
        <v>35.7562</v>
      </c>
    </row>
    <row r="5520" spans="1:5" ht="15" x14ac:dyDescent="0.35">
      <c r="A5520" s="58" t="s">
        <v>393</v>
      </c>
      <c r="B5520" s="58" t="s">
        <v>180</v>
      </c>
      <c r="C5520" s="58">
        <v>8</v>
      </c>
      <c r="D5520" s="58">
        <v>111</v>
      </c>
      <c r="E5520" s="59">
        <v>35.7562</v>
      </c>
    </row>
    <row r="5521" spans="1:5" ht="15" x14ac:dyDescent="0.35">
      <c r="A5521" s="58" t="s">
        <v>393</v>
      </c>
      <c r="B5521" s="58" t="s">
        <v>180</v>
      </c>
      <c r="C5521" s="58">
        <v>9</v>
      </c>
      <c r="D5521" s="58">
        <v>112</v>
      </c>
      <c r="E5521" s="59">
        <v>35.7562</v>
      </c>
    </row>
    <row r="5522" spans="1:5" ht="15" x14ac:dyDescent="0.35">
      <c r="A5522" s="58" t="s">
        <v>393</v>
      </c>
      <c r="B5522" s="58" t="s">
        <v>180</v>
      </c>
      <c r="C5522" s="58">
        <v>10</v>
      </c>
      <c r="D5522" s="58">
        <v>113</v>
      </c>
      <c r="E5522" s="59">
        <v>35.7562</v>
      </c>
    </row>
    <row r="5523" spans="1:5" ht="15" x14ac:dyDescent="0.35">
      <c r="A5523" s="58" t="s">
        <v>393</v>
      </c>
      <c r="B5523" s="58" t="s">
        <v>180</v>
      </c>
      <c r="C5523" s="58">
        <v>11</v>
      </c>
      <c r="D5523" s="58">
        <v>114</v>
      </c>
      <c r="E5523" s="59">
        <v>35.7562</v>
      </c>
    </row>
    <row r="5524" spans="1:5" ht="15" x14ac:dyDescent="0.35">
      <c r="A5524" s="58" t="s">
        <v>393</v>
      </c>
      <c r="B5524" s="58" t="s">
        <v>180</v>
      </c>
      <c r="C5524" s="58">
        <v>12</v>
      </c>
      <c r="D5524" s="58">
        <v>115</v>
      </c>
      <c r="E5524" s="59">
        <v>35.7562</v>
      </c>
    </row>
    <row r="5525" spans="1:5" ht="15" x14ac:dyDescent="0.35">
      <c r="A5525" s="58" t="s">
        <v>340</v>
      </c>
      <c r="B5525" s="58" t="s">
        <v>182</v>
      </c>
      <c r="C5525" s="58">
        <v>1</v>
      </c>
      <c r="D5525" s="58">
        <v>104</v>
      </c>
      <c r="E5525" s="59">
        <v>41.994900000000001</v>
      </c>
    </row>
    <row r="5526" spans="1:5" ht="15" x14ac:dyDescent="0.35">
      <c r="A5526" s="58" t="s">
        <v>340</v>
      </c>
      <c r="B5526" s="58" t="s">
        <v>182</v>
      </c>
      <c r="C5526" s="58">
        <v>2</v>
      </c>
      <c r="D5526" s="58">
        <v>105</v>
      </c>
      <c r="E5526" s="59">
        <v>23.572700000000001</v>
      </c>
    </row>
    <row r="5527" spans="1:5" ht="15" x14ac:dyDescent="0.35">
      <c r="A5527" s="58" t="s">
        <v>340</v>
      </c>
      <c r="B5527" s="58" t="s">
        <v>182</v>
      </c>
      <c r="C5527" s="58">
        <v>3</v>
      </c>
      <c r="D5527" s="58">
        <v>106</v>
      </c>
      <c r="E5527" s="59">
        <v>19.2727</v>
      </c>
    </row>
    <row r="5528" spans="1:5" ht="15" x14ac:dyDescent="0.35">
      <c r="A5528" s="58" t="s">
        <v>340</v>
      </c>
      <c r="B5528" s="58" t="s">
        <v>182</v>
      </c>
      <c r="C5528" s="58">
        <v>4</v>
      </c>
      <c r="D5528" s="58">
        <v>107</v>
      </c>
      <c r="E5528" s="59">
        <v>18.058399999999999</v>
      </c>
    </row>
    <row r="5529" spans="1:5" ht="15" x14ac:dyDescent="0.35">
      <c r="A5529" s="58" t="s">
        <v>340</v>
      </c>
      <c r="B5529" s="58" t="s">
        <v>182</v>
      </c>
      <c r="C5529" s="58">
        <v>5</v>
      </c>
      <c r="D5529" s="58">
        <v>108</v>
      </c>
      <c r="E5529" s="59">
        <v>18.3977</v>
      </c>
    </row>
    <row r="5530" spans="1:5" ht="15" x14ac:dyDescent="0.35">
      <c r="A5530" s="58" t="s">
        <v>340</v>
      </c>
      <c r="B5530" s="58" t="s">
        <v>182</v>
      </c>
      <c r="C5530" s="58">
        <v>6</v>
      </c>
      <c r="D5530" s="58">
        <v>109</v>
      </c>
      <c r="E5530" s="59">
        <v>21.6615</v>
      </c>
    </row>
    <row r="5531" spans="1:5" ht="15" x14ac:dyDescent="0.35">
      <c r="A5531" s="58" t="s">
        <v>340</v>
      </c>
      <c r="B5531" s="58" t="s">
        <v>182</v>
      </c>
      <c r="C5531" s="58">
        <v>7</v>
      </c>
      <c r="D5531" s="58">
        <v>110</v>
      </c>
      <c r="E5531" s="59">
        <v>18.6615</v>
      </c>
    </row>
    <row r="5532" spans="1:5" ht="15" x14ac:dyDescent="0.35">
      <c r="A5532" s="58" t="s">
        <v>340</v>
      </c>
      <c r="B5532" s="58" t="s">
        <v>182</v>
      </c>
      <c r="C5532" s="58">
        <v>8</v>
      </c>
      <c r="D5532" s="58">
        <v>111</v>
      </c>
      <c r="E5532" s="59">
        <v>18.994900000000001</v>
      </c>
    </row>
    <row r="5533" spans="1:5" ht="15" x14ac:dyDescent="0.35">
      <c r="A5533" s="58" t="s">
        <v>340</v>
      </c>
      <c r="B5533" s="58" t="s">
        <v>182</v>
      </c>
      <c r="C5533" s="58">
        <v>9</v>
      </c>
      <c r="D5533" s="58">
        <v>112</v>
      </c>
      <c r="E5533" s="59">
        <v>39.439300000000003</v>
      </c>
    </row>
    <row r="5534" spans="1:5" ht="15" x14ac:dyDescent="0.35">
      <c r="A5534" s="58" t="s">
        <v>340</v>
      </c>
      <c r="B5534" s="58" t="s">
        <v>182</v>
      </c>
      <c r="C5534" s="58">
        <v>10</v>
      </c>
      <c r="D5534" s="58">
        <v>113</v>
      </c>
      <c r="E5534" s="59">
        <v>43.994900000000001</v>
      </c>
    </row>
    <row r="5535" spans="1:5" ht="15" x14ac:dyDescent="0.35">
      <c r="A5535" s="58" t="s">
        <v>340</v>
      </c>
      <c r="B5535" s="58" t="s">
        <v>182</v>
      </c>
      <c r="C5535" s="58">
        <v>11</v>
      </c>
      <c r="D5535" s="58">
        <v>114</v>
      </c>
      <c r="E5535" s="59">
        <v>34.661499999999997</v>
      </c>
    </row>
    <row r="5536" spans="1:5" ht="15" x14ac:dyDescent="0.35">
      <c r="A5536" s="58" t="s">
        <v>340</v>
      </c>
      <c r="B5536" s="58" t="s">
        <v>182</v>
      </c>
      <c r="C5536" s="58">
        <v>12</v>
      </c>
      <c r="D5536" s="58">
        <v>115</v>
      </c>
      <c r="E5536" s="59">
        <v>36.550400000000003</v>
      </c>
    </row>
    <row r="5537" spans="1:5" ht="15" x14ac:dyDescent="0.35">
      <c r="A5537" s="58" t="s">
        <v>340</v>
      </c>
      <c r="B5537" s="58" t="s">
        <v>176</v>
      </c>
      <c r="C5537" s="58">
        <v>1</v>
      </c>
      <c r="D5537" s="58">
        <v>104</v>
      </c>
      <c r="E5537" s="59">
        <v>28.75</v>
      </c>
    </row>
    <row r="5538" spans="1:5" ht="15" x14ac:dyDescent="0.35">
      <c r="A5538" s="58" t="s">
        <v>340</v>
      </c>
      <c r="B5538" s="58" t="s">
        <v>176</v>
      </c>
      <c r="C5538" s="58">
        <v>2</v>
      </c>
      <c r="D5538" s="58">
        <v>105</v>
      </c>
      <c r="E5538" s="59">
        <v>28.75</v>
      </c>
    </row>
    <row r="5539" spans="1:5" ht="15" x14ac:dyDescent="0.35">
      <c r="A5539" s="58" t="s">
        <v>340</v>
      </c>
      <c r="B5539" s="58" t="s">
        <v>176</v>
      </c>
      <c r="C5539" s="58">
        <v>3</v>
      </c>
      <c r="D5539" s="58">
        <v>106</v>
      </c>
      <c r="E5539" s="59">
        <v>28.75</v>
      </c>
    </row>
    <row r="5540" spans="1:5" ht="15" x14ac:dyDescent="0.35">
      <c r="A5540" s="58" t="s">
        <v>340</v>
      </c>
      <c r="B5540" s="58" t="s">
        <v>176</v>
      </c>
      <c r="C5540" s="58">
        <v>4</v>
      </c>
      <c r="D5540" s="58">
        <v>107</v>
      </c>
      <c r="E5540" s="59">
        <v>28.75</v>
      </c>
    </row>
    <row r="5541" spans="1:5" ht="15" x14ac:dyDescent="0.35">
      <c r="A5541" s="58" t="s">
        <v>340</v>
      </c>
      <c r="B5541" s="58" t="s">
        <v>176</v>
      </c>
      <c r="C5541" s="58">
        <v>5</v>
      </c>
      <c r="D5541" s="58">
        <v>108</v>
      </c>
      <c r="E5541" s="59">
        <v>28.75</v>
      </c>
    </row>
    <row r="5542" spans="1:5" ht="15" x14ac:dyDescent="0.35">
      <c r="A5542" s="58" t="s">
        <v>340</v>
      </c>
      <c r="B5542" s="58" t="s">
        <v>176</v>
      </c>
      <c r="C5542" s="58">
        <v>6</v>
      </c>
      <c r="D5542" s="58">
        <v>109</v>
      </c>
      <c r="E5542" s="59">
        <v>28.75</v>
      </c>
    </row>
    <row r="5543" spans="1:5" ht="15" x14ac:dyDescent="0.35">
      <c r="A5543" s="58" t="s">
        <v>340</v>
      </c>
      <c r="B5543" s="58" t="s">
        <v>176</v>
      </c>
      <c r="C5543" s="58">
        <v>7</v>
      </c>
      <c r="D5543" s="58">
        <v>110</v>
      </c>
      <c r="E5543" s="59">
        <v>28.75</v>
      </c>
    </row>
    <row r="5544" spans="1:5" ht="15" x14ac:dyDescent="0.35">
      <c r="A5544" s="58" t="s">
        <v>340</v>
      </c>
      <c r="B5544" s="58" t="s">
        <v>176</v>
      </c>
      <c r="C5544" s="58">
        <v>8</v>
      </c>
      <c r="D5544" s="58">
        <v>111</v>
      </c>
      <c r="E5544" s="59">
        <v>28.75</v>
      </c>
    </row>
    <row r="5545" spans="1:5" ht="15" x14ac:dyDescent="0.35">
      <c r="A5545" s="58" t="s">
        <v>340</v>
      </c>
      <c r="B5545" s="58" t="s">
        <v>176</v>
      </c>
      <c r="C5545" s="58">
        <v>9</v>
      </c>
      <c r="D5545" s="58">
        <v>112</v>
      </c>
      <c r="E5545" s="59">
        <v>28.75</v>
      </c>
    </row>
    <row r="5546" spans="1:5" ht="15" x14ac:dyDescent="0.35">
      <c r="A5546" s="58" t="s">
        <v>340</v>
      </c>
      <c r="B5546" s="58" t="s">
        <v>176</v>
      </c>
      <c r="C5546" s="58">
        <v>10</v>
      </c>
      <c r="D5546" s="58">
        <v>113</v>
      </c>
      <c r="E5546" s="59">
        <v>28.75</v>
      </c>
    </row>
    <row r="5547" spans="1:5" ht="15" x14ac:dyDescent="0.35">
      <c r="A5547" s="58" t="s">
        <v>340</v>
      </c>
      <c r="B5547" s="58" t="s">
        <v>176</v>
      </c>
      <c r="C5547" s="58">
        <v>11</v>
      </c>
      <c r="D5547" s="58">
        <v>114</v>
      </c>
      <c r="E5547" s="59">
        <v>28.75</v>
      </c>
    </row>
    <row r="5548" spans="1:5" ht="15" x14ac:dyDescent="0.35">
      <c r="A5548" s="58" t="s">
        <v>340</v>
      </c>
      <c r="B5548" s="58" t="s">
        <v>176</v>
      </c>
      <c r="C5548" s="58">
        <v>12</v>
      </c>
      <c r="D5548" s="58">
        <v>115</v>
      </c>
      <c r="E5548" s="59">
        <v>28.75</v>
      </c>
    </row>
    <row r="5549" spans="1:5" ht="15" x14ac:dyDescent="0.35">
      <c r="A5549" s="58" t="s">
        <v>340</v>
      </c>
      <c r="B5549" s="58" t="s">
        <v>172</v>
      </c>
      <c r="C5549" s="58">
        <v>1</v>
      </c>
      <c r="D5549" s="58">
        <v>104</v>
      </c>
      <c r="E5549" s="59">
        <v>84</v>
      </c>
    </row>
    <row r="5550" spans="1:5" ht="15" x14ac:dyDescent="0.35">
      <c r="A5550" s="58" t="s">
        <v>340</v>
      </c>
      <c r="B5550" s="58" t="s">
        <v>172</v>
      </c>
      <c r="C5550" s="58">
        <v>2</v>
      </c>
      <c r="D5550" s="58">
        <v>105</v>
      </c>
      <c r="E5550" s="59">
        <v>84</v>
      </c>
    </row>
    <row r="5551" spans="1:5" ht="15" x14ac:dyDescent="0.35">
      <c r="A5551" s="58" t="s">
        <v>340</v>
      </c>
      <c r="B5551" s="58" t="s">
        <v>172</v>
      </c>
      <c r="C5551" s="58">
        <v>3</v>
      </c>
      <c r="D5551" s="58">
        <v>106</v>
      </c>
      <c r="E5551" s="59">
        <v>84</v>
      </c>
    </row>
    <row r="5552" spans="1:5" ht="15" x14ac:dyDescent="0.35">
      <c r="A5552" s="58" t="s">
        <v>340</v>
      </c>
      <c r="B5552" s="58" t="s">
        <v>172</v>
      </c>
      <c r="C5552" s="58">
        <v>4</v>
      </c>
      <c r="D5552" s="58">
        <v>107</v>
      </c>
      <c r="E5552" s="59">
        <v>84</v>
      </c>
    </row>
    <row r="5553" spans="1:5" ht="15" x14ac:dyDescent="0.35">
      <c r="A5553" s="58" t="s">
        <v>340</v>
      </c>
      <c r="B5553" s="58" t="s">
        <v>172</v>
      </c>
      <c r="C5553" s="58">
        <v>5</v>
      </c>
      <c r="D5553" s="58">
        <v>108</v>
      </c>
      <c r="E5553" s="59">
        <v>84</v>
      </c>
    </row>
    <row r="5554" spans="1:5" ht="15" x14ac:dyDescent="0.35">
      <c r="A5554" s="58" t="s">
        <v>340</v>
      </c>
      <c r="B5554" s="58" t="s">
        <v>172</v>
      </c>
      <c r="C5554" s="58">
        <v>6</v>
      </c>
      <c r="D5554" s="58">
        <v>109</v>
      </c>
      <c r="E5554" s="59">
        <v>84</v>
      </c>
    </row>
    <row r="5555" spans="1:5" ht="15" x14ac:dyDescent="0.35">
      <c r="A5555" s="58" t="s">
        <v>340</v>
      </c>
      <c r="B5555" s="58" t="s">
        <v>172</v>
      </c>
      <c r="C5555" s="58">
        <v>7</v>
      </c>
      <c r="D5555" s="58">
        <v>110</v>
      </c>
      <c r="E5555" s="59">
        <v>84</v>
      </c>
    </row>
    <row r="5556" spans="1:5" ht="15" x14ac:dyDescent="0.35">
      <c r="A5556" s="58" t="s">
        <v>340</v>
      </c>
      <c r="B5556" s="58" t="s">
        <v>172</v>
      </c>
      <c r="C5556" s="58">
        <v>8</v>
      </c>
      <c r="D5556" s="58">
        <v>111</v>
      </c>
      <c r="E5556" s="59">
        <v>84</v>
      </c>
    </row>
    <row r="5557" spans="1:5" ht="15" x14ac:dyDescent="0.35">
      <c r="A5557" s="58" t="s">
        <v>340</v>
      </c>
      <c r="B5557" s="58" t="s">
        <v>172</v>
      </c>
      <c r="C5557" s="58">
        <v>9</v>
      </c>
      <c r="D5557" s="58">
        <v>112</v>
      </c>
      <c r="E5557" s="59">
        <v>84</v>
      </c>
    </row>
    <row r="5558" spans="1:5" ht="15" x14ac:dyDescent="0.35">
      <c r="A5558" s="58" t="s">
        <v>340</v>
      </c>
      <c r="B5558" s="58" t="s">
        <v>172</v>
      </c>
      <c r="C5558" s="58">
        <v>10</v>
      </c>
      <c r="D5558" s="58">
        <v>113</v>
      </c>
      <c r="E5558" s="59">
        <v>84</v>
      </c>
    </row>
    <row r="5559" spans="1:5" ht="15" x14ac:dyDescent="0.35">
      <c r="A5559" s="58" t="s">
        <v>340</v>
      </c>
      <c r="B5559" s="58" t="s">
        <v>172</v>
      </c>
      <c r="C5559" s="58">
        <v>11</v>
      </c>
      <c r="D5559" s="58">
        <v>114</v>
      </c>
      <c r="E5559" s="59">
        <v>84</v>
      </c>
    </row>
    <row r="5560" spans="1:5" ht="15" x14ac:dyDescent="0.35">
      <c r="A5560" s="58" t="s">
        <v>340</v>
      </c>
      <c r="B5560" s="58" t="s">
        <v>172</v>
      </c>
      <c r="C5560" s="58">
        <v>12</v>
      </c>
      <c r="D5560" s="58">
        <v>115</v>
      </c>
      <c r="E5560" s="59">
        <v>84</v>
      </c>
    </row>
    <row r="5561" spans="1:5" ht="15" x14ac:dyDescent="0.35">
      <c r="A5561" s="58" t="s">
        <v>340</v>
      </c>
      <c r="B5561" s="58" t="s">
        <v>180</v>
      </c>
      <c r="C5561" s="58">
        <v>1</v>
      </c>
      <c r="D5561" s="58">
        <v>104</v>
      </c>
      <c r="E5561" s="59">
        <v>44.524900000000002</v>
      </c>
    </row>
    <row r="5562" spans="1:5" ht="15" x14ac:dyDescent="0.35">
      <c r="A5562" s="58" t="s">
        <v>340</v>
      </c>
      <c r="B5562" s="58" t="s">
        <v>180</v>
      </c>
      <c r="C5562" s="58">
        <v>2</v>
      </c>
      <c r="D5562" s="58">
        <v>105</v>
      </c>
      <c r="E5562" s="59">
        <v>44.524900000000002</v>
      </c>
    </row>
    <row r="5563" spans="1:5" ht="15" x14ac:dyDescent="0.35">
      <c r="A5563" s="58" t="s">
        <v>340</v>
      </c>
      <c r="B5563" s="58" t="s">
        <v>180</v>
      </c>
      <c r="C5563" s="58">
        <v>3</v>
      </c>
      <c r="D5563" s="58">
        <v>106</v>
      </c>
      <c r="E5563" s="59">
        <v>44.524900000000002</v>
      </c>
    </row>
    <row r="5564" spans="1:5" ht="15" x14ac:dyDescent="0.35">
      <c r="A5564" s="58" t="s">
        <v>340</v>
      </c>
      <c r="B5564" s="58" t="s">
        <v>180</v>
      </c>
      <c r="C5564" s="58">
        <v>4</v>
      </c>
      <c r="D5564" s="58">
        <v>107</v>
      </c>
      <c r="E5564" s="59">
        <v>44.524900000000002</v>
      </c>
    </row>
    <row r="5565" spans="1:5" ht="15" x14ac:dyDescent="0.35">
      <c r="A5565" s="58" t="s">
        <v>340</v>
      </c>
      <c r="B5565" s="58" t="s">
        <v>180</v>
      </c>
      <c r="C5565" s="58">
        <v>5</v>
      </c>
      <c r="D5565" s="58">
        <v>108</v>
      </c>
      <c r="E5565" s="59">
        <v>44.524900000000002</v>
      </c>
    </row>
    <row r="5566" spans="1:5" ht="15" x14ac:dyDescent="0.35">
      <c r="A5566" s="58" t="s">
        <v>340</v>
      </c>
      <c r="B5566" s="58" t="s">
        <v>180</v>
      </c>
      <c r="C5566" s="58">
        <v>6</v>
      </c>
      <c r="D5566" s="58">
        <v>109</v>
      </c>
      <c r="E5566" s="59">
        <v>44.524900000000002</v>
      </c>
    </row>
    <row r="5567" spans="1:5" ht="15" x14ac:dyDescent="0.35">
      <c r="A5567" s="58" t="s">
        <v>340</v>
      </c>
      <c r="B5567" s="58" t="s">
        <v>180</v>
      </c>
      <c r="C5567" s="58">
        <v>7</v>
      </c>
      <c r="D5567" s="58">
        <v>110</v>
      </c>
      <c r="E5567" s="59">
        <v>44.524900000000002</v>
      </c>
    </row>
    <row r="5568" spans="1:5" ht="15" x14ac:dyDescent="0.35">
      <c r="A5568" s="58" t="s">
        <v>340</v>
      </c>
      <c r="B5568" s="58" t="s">
        <v>180</v>
      </c>
      <c r="C5568" s="58">
        <v>8</v>
      </c>
      <c r="D5568" s="58">
        <v>111</v>
      </c>
      <c r="E5568" s="59">
        <v>44.524900000000002</v>
      </c>
    </row>
    <row r="5569" spans="1:5" ht="15" x14ac:dyDescent="0.35">
      <c r="A5569" s="58" t="s">
        <v>340</v>
      </c>
      <c r="B5569" s="58" t="s">
        <v>180</v>
      </c>
      <c r="C5569" s="58">
        <v>9</v>
      </c>
      <c r="D5569" s="58">
        <v>112</v>
      </c>
      <c r="E5569" s="59">
        <v>44.524900000000002</v>
      </c>
    </row>
    <row r="5570" spans="1:5" ht="15" x14ac:dyDescent="0.35">
      <c r="A5570" s="58" t="s">
        <v>340</v>
      </c>
      <c r="B5570" s="58" t="s">
        <v>180</v>
      </c>
      <c r="C5570" s="58">
        <v>10</v>
      </c>
      <c r="D5570" s="58">
        <v>113</v>
      </c>
      <c r="E5570" s="59">
        <v>44.524900000000002</v>
      </c>
    </row>
    <row r="5571" spans="1:5" ht="15" x14ac:dyDescent="0.35">
      <c r="A5571" s="58" t="s">
        <v>340</v>
      </c>
      <c r="B5571" s="58" t="s">
        <v>180</v>
      </c>
      <c r="C5571" s="58">
        <v>11</v>
      </c>
      <c r="D5571" s="58">
        <v>114</v>
      </c>
      <c r="E5571" s="59">
        <v>44.524900000000002</v>
      </c>
    </row>
    <row r="5572" spans="1:5" ht="15" x14ac:dyDescent="0.35">
      <c r="A5572" s="58" t="s">
        <v>340</v>
      </c>
      <c r="B5572" s="58" t="s">
        <v>180</v>
      </c>
      <c r="C5572" s="58">
        <v>12</v>
      </c>
      <c r="D5572" s="58">
        <v>115</v>
      </c>
      <c r="E5572" s="59">
        <v>44.524900000000002</v>
      </c>
    </row>
    <row r="5573" spans="1:5" ht="15" x14ac:dyDescent="0.35">
      <c r="A5573" s="58" t="s">
        <v>309</v>
      </c>
      <c r="B5573" s="58" t="s">
        <v>182</v>
      </c>
      <c r="C5573" s="58">
        <v>1</v>
      </c>
      <c r="D5573" s="58">
        <v>104</v>
      </c>
      <c r="E5573" s="59">
        <v>22.978000000000002</v>
      </c>
    </row>
    <row r="5574" spans="1:5" ht="15" x14ac:dyDescent="0.35">
      <c r="A5574" s="58" t="s">
        <v>309</v>
      </c>
      <c r="B5574" s="58" t="s">
        <v>182</v>
      </c>
      <c r="C5574" s="58">
        <v>2</v>
      </c>
      <c r="D5574" s="58">
        <v>105</v>
      </c>
      <c r="E5574" s="59">
        <v>78.800200000000004</v>
      </c>
    </row>
    <row r="5575" spans="1:5" ht="15" x14ac:dyDescent="0.35">
      <c r="A5575" s="58" t="s">
        <v>309</v>
      </c>
      <c r="B5575" s="58" t="s">
        <v>182</v>
      </c>
      <c r="C5575" s="58">
        <v>3</v>
      </c>
      <c r="D5575" s="58">
        <v>106</v>
      </c>
      <c r="E5575" s="59">
        <v>66.866900000000001</v>
      </c>
    </row>
    <row r="5576" spans="1:5" ht="15" x14ac:dyDescent="0.35">
      <c r="A5576" s="58" t="s">
        <v>309</v>
      </c>
      <c r="B5576" s="58" t="s">
        <v>182</v>
      </c>
      <c r="C5576" s="58">
        <v>4</v>
      </c>
      <c r="D5576" s="58">
        <v>107</v>
      </c>
      <c r="E5576" s="59">
        <v>60.3431</v>
      </c>
    </row>
    <row r="5577" spans="1:5" ht="15" x14ac:dyDescent="0.35">
      <c r="A5577" s="58" t="s">
        <v>309</v>
      </c>
      <c r="B5577" s="58" t="s">
        <v>182</v>
      </c>
      <c r="C5577" s="58">
        <v>5</v>
      </c>
      <c r="D5577" s="58">
        <v>108</v>
      </c>
      <c r="E5577" s="59">
        <v>56.825200000000002</v>
      </c>
    </row>
    <row r="5578" spans="1:5" ht="15" x14ac:dyDescent="0.35">
      <c r="A5578" s="58" t="s">
        <v>309</v>
      </c>
      <c r="B5578" s="58" t="s">
        <v>182</v>
      </c>
      <c r="C5578" s="58">
        <v>6</v>
      </c>
      <c r="D5578" s="58">
        <v>109</v>
      </c>
      <c r="E5578" s="59">
        <v>56.6447</v>
      </c>
    </row>
    <row r="5579" spans="1:5" ht="15" x14ac:dyDescent="0.35">
      <c r="A5579" s="58" t="s">
        <v>309</v>
      </c>
      <c r="B5579" s="58" t="s">
        <v>182</v>
      </c>
      <c r="C5579" s="58">
        <v>7</v>
      </c>
      <c r="D5579" s="58">
        <v>110</v>
      </c>
      <c r="E5579" s="59">
        <v>48.422499999999999</v>
      </c>
    </row>
    <row r="5580" spans="1:5" ht="15" x14ac:dyDescent="0.35">
      <c r="A5580" s="58" t="s">
        <v>309</v>
      </c>
      <c r="B5580" s="58" t="s">
        <v>182</v>
      </c>
      <c r="C5580" s="58">
        <v>8</v>
      </c>
      <c r="D5580" s="58">
        <v>111</v>
      </c>
      <c r="E5580" s="59">
        <v>30.200199999999999</v>
      </c>
    </row>
    <row r="5581" spans="1:5" ht="15" x14ac:dyDescent="0.35">
      <c r="A5581" s="58" t="s">
        <v>309</v>
      </c>
      <c r="B5581" s="58" t="s">
        <v>182</v>
      </c>
      <c r="C5581" s="58">
        <v>9</v>
      </c>
      <c r="D5581" s="58">
        <v>112</v>
      </c>
      <c r="E5581" s="59">
        <v>47.311300000000003</v>
      </c>
    </row>
    <row r="5582" spans="1:5" ht="15" x14ac:dyDescent="0.35">
      <c r="A5582" s="58" t="s">
        <v>309</v>
      </c>
      <c r="B5582" s="58" t="s">
        <v>182</v>
      </c>
      <c r="C5582" s="58">
        <v>10</v>
      </c>
      <c r="D5582" s="58">
        <v>113</v>
      </c>
      <c r="E5582" s="59">
        <v>50.866900000000001</v>
      </c>
    </row>
    <row r="5583" spans="1:5" ht="15" x14ac:dyDescent="0.35">
      <c r="A5583" s="58" t="s">
        <v>309</v>
      </c>
      <c r="B5583" s="58" t="s">
        <v>182</v>
      </c>
      <c r="C5583" s="58">
        <v>11</v>
      </c>
      <c r="D5583" s="58">
        <v>114</v>
      </c>
      <c r="E5583" s="59">
        <v>55.755800000000001</v>
      </c>
    </row>
    <row r="5584" spans="1:5" ht="15" x14ac:dyDescent="0.35">
      <c r="A5584" s="58" t="s">
        <v>309</v>
      </c>
      <c r="B5584" s="58" t="s">
        <v>182</v>
      </c>
      <c r="C5584" s="58">
        <v>12</v>
      </c>
      <c r="D5584" s="58">
        <v>115</v>
      </c>
      <c r="E5584" s="59">
        <v>57.978000000000002</v>
      </c>
    </row>
    <row r="5585" spans="1:5" ht="15" x14ac:dyDescent="0.35">
      <c r="A5585" s="58" t="s">
        <v>309</v>
      </c>
      <c r="B5585" s="58" t="s">
        <v>176</v>
      </c>
      <c r="C5585" s="58">
        <v>1</v>
      </c>
      <c r="D5585" s="58">
        <v>104</v>
      </c>
      <c r="E5585" s="59">
        <v>23.125</v>
      </c>
    </row>
    <row r="5586" spans="1:5" ht="15" x14ac:dyDescent="0.35">
      <c r="A5586" s="58" t="s">
        <v>309</v>
      </c>
      <c r="B5586" s="58" t="s">
        <v>176</v>
      </c>
      <c r="C5586" s="58">
        <v>2</v>
      </c>
      <c r="D5586" s="58">
        <v>105</v>
      </c>
      <c r="E5586" s="59">
        <v>23.125</v>
      </c>
    </row>
    <row r="5587" spans="1:5" ht="15" x14ac:dyDescent="0.35">
      <c r="A5587" s="58" t="s">
        <v>309</v>
      </c>
      <c r="B5587" s="58" t="s">
        <v>176</v>
      </c>
      <c r="C5587" s="58">
        <v>3</v>
      </c>
      <c r="D5587" s="58">
        <v>106</v>
      </c>
      <c r="E5587" s="59">
        <v>23.125</v>
      </c>
    </row>
    <row r="5588" spans="1:5" ht="15" x14ac:dyDescent="0.35">
      <c r="A5588" s="58" t="s">
        <v>309</v>
      </c>
      <c r="B5588" s="58" t="s">
        <v>176</v>
      </c>
      <c r="C5588" s="58">
        <v>4</v>
      </c>
      <c r="D5588" s="58">
        <v>107</v>
      </c>
      <c r="E5588" s="59">
        <v>23.125</v>
      </c>
    </row>
    <row r="5589" spans="1:5" ht="15" x14ac:dyDescent="0.35">
      <c r="A5589" s="58" t="s">
        <v>309</v>
      </c>
      <c r="B5589" s="58" t="s">
        <v>176</v>
      </c>
      <c r="C5589" s="58">
        <v>5</v>
      </c>
      <c r="D5589" s="58">
        <v>108</v>
      </c>
      <c r="E5589" s="59">
        <v>23.125</v>
      </c>
    </row>
    <row r="5590" spans="1:5" ht="15" x14ac:dyDescent="0.35">
      <c r="A5590" s="58" t="s">
        <v>309</v>
      </c>
      <c r="B5590" s="58" t="s">
        <v>176</v>
      </c>
      <c r="C5590" s="58">
        <v>6</v>
      </c>
      <c r="D5590" s="58">
        <v>109</v>
      </c>
      <c r="E5590" s="59">
        <v>23.125</v>
      </c>
    </row>
    <row r="5591" spans="1:5" ht="15" x14ac:dyDescent="0.35">
      <c r="A5591" s="58" t="s">
        <v>309</v>
      </c>
      <c r="B5591" s="58" t="s">
        <v>176</v>
      </c>
      <c r="C5591" s="58">
        <v>7</v>
      </c>
      <c r="D5591" s="58">
        <v>110</v>
      </c>
      <c r="E5591" s="59">
        <v>23.125</v>
      </c>
    </row>
    <row r="5592" spans="1:5" ht="15" x14ac:dyDescent="0.35">
      <c r="A5592" s="58" t="s">
        <v>309</v>
      </c>
      <c r="B5592" s="58" t="s">
        <v>176</v>
      </c>
      <c r="C5592" s="58">
        <v>8</v>
      </c>
      <c r="D5592" s="58">
        <v>111</v>
      </c>
      <c r="E5592" s="59">
        <v>23.125</v>
      </c>
    </row>
    <row r="5593" spans="1:5" ht="15" x14ac:dyDescent="0.35">
      <c r="A5593" s="58" t="s">
        <v>309</v>
      </c>
      <c r="B5593" s="58" t="s">
        <v>176</v>
      </c>
      <c r="C5593" s="58">
        <v>9</v>
      </c>
      <c r="D5593" s="58">
        <v>112</v>
      </c>
      <c r="E5593" s="59">
        <v>23.125</v>
      </c>
    </row>
    <row r="5594" spans="1:5" ht="15" x14ac:dyDescent="0.35">
      <c r="A5594" s="58" t="s">
        <v>309</v>
      </c>
      <c r="B5594" s="58" t="s">
        <v>176</v>
      </c>
      <c r="C5594" s="58">
        <v>10</v>
      </c>
      <c r="D5594" s="58">
        <v>113</v>
      </c>
      <c r="E5594" s="59">
        <v>23.125</v>
      </c>
    </row>
    <row r="5595" spans="1:5" ht="15" x14ac:dyDescent="0.35">
      <c r="A5595" s="58" t="s">
        <v>309</v>
      </c>
      <c r="B5595" s="58" t="s">
        <v>176</v>
      </c>
      <c r="C5595" s="58">
        <v>11</v>
      </c>
      <c r="D5595" s="58">
        <v>114</v>
      </c>
      <c r="E5595" s="59">
        <v>23.125</v>
      </c>
    </row>
    <row r="5596" spans="1:5" ht="15" x14ac:dyDescent="0.35">
      <c r="A5596" s="58" t="s">
        <v>309</v>
      </c>
      <c r="B5596" s="58" t="s">
        <v>176</v>
      </c>
      <c r="C5596" s="58">
        <v>12</v>
      </c>
      <c r="D5596" s="58">
        <v>115</v>
      </c>
      <c r="E5596" s="59">
        <v>23.125</v>
      </c>
    </row>
    <row r="5597" spans="1:5" ht="15" x14ac:dyDescent="0.35">
      <c r="A5597" s="58" t="s">
        <v>309</v>
      </c>
      <c r="B5597" s="58" t="s">
        <v>172</v>
      </c>
      <c r="C5597" s="58">
        <v>1</v>
      </c>
      <c r="D5597" s="58">
        <v>104</v>
      </c>
      <c r="E5597" s="59">
        <v>57</v>
      </c>
    </row>
    <row r="5598" spans="1:5" ht="15" x14ac:dyDescent="0.35">
      <c r="A5598" s="58" t="s">
        <v>309</v>
      </c>
      <c r="B5598" s="58" t="s">
        <v>172</v>
      </c>
      <c r="C5598" s="58">
        <v>2</v>
      </c>
      <c r="D5598" s="58">
        <v>105</v>
      </c>
      <c r="E5598" s="59">
        <v>57</v>
      </c>
    </row>
    <row r="5599" spans="1:5" ht="15" x14ac:dyDescent="0.35">
      <c r="A5599" s="58" t="s">
        <v>309</v>
      </c>
      <c r="B5599" s="58" t="s">
        <v>172</v>
      </c>
      <c r="C5599" s="58">
        <v>3</v>
      </c>
      <c r="D5599" s="58">
        <v>106</v>
      </c>
      <c r="E5599" s="59">
        <v>57</v>
      </c>
    </row>
    <row r="5600" spans="1:5" ht="15" x14ac:dyDescent="0.35">
      <c r="A5600" s="58" t="s">
        <v>309</v>
      </c>
      <c r="B5600" s="58" t="s">
        <v>172</v>
      </c>
      <c r="C5600" s="58">
        <v>4</v>
      </c>
      <c r="D5600" s="58">
        <v>107</v>
      </c>
      <c r="E5600" s="59">
        <v>57</v>
      </c>
    </row>
    <row r="5601" spans="1:5" ht="15" x14ac:dyDescent="0.35">
      <c r="A5601" s="58" t="s">
        <v>309</v>
      </c>
      <c r="B5601" s="58" t="s">
        <v>172</v>
      </c>
      <c r="C5601" s="58">
        <v>5</v>
      </c>
      <c r="D5601" s="58">
        <v>108</v>
      </c>
      <c r="E5601" s="59">
        <v>57</v>
      </c>
    </row>
    <row r="5602" spans="1:5" ht="15" x14ac:dyDescent="0.35">
      <c r="A5602" s="58" t="s">
        <v>309</v>
      </c>
      <c r="B5602" s="58" t="s">
        <v>172</v>
      </c>
      <c r="C5602" s="58">
        <v>6</v>
      </c>
      <c r="D5602" s="58">
        <v>109</v>
      </c>
      <c r="E5602" s="59">
        <v>57</v>
      </c>
    </row>
    <row r="5603" spans="1:5" ht="15" x14ac:dyDescent="0.35">
      <c r="A5603" s="58" t="s">
        <v>309</v>
      </c>
      <c r="B5603" s="58" t="s">
        <v>172</v>
      </c>
      <c r="C5603" s="58">
        <v>7</v>
      </c>
      <c r="D5603" s="58">
        <v>110</v>
      </c>
      <c r="E5603" s="59">
        <v>57</v>
      </c>
    </row>
    <row r="5604" spans="1:5" ht="15" x14ac:dyDescent="0.35">
      <c r="A5604" s="58" t="s">
        <v>309</v>
      </c>
      <c r="B5604" s="58" t="s">
        <v>172</v>
      </c>
      <c r="C5604" s="58">
        <v>8</v>
      </c>
      <c r="D5604" s="58">
        <v>111</v>
      </c>
      <c r="E5604" s="59">
        <v>57</v>
      </c>
    </row>
    <row r="5605" spans="1:5" ht="15" x14ac:dyDescent="0.35">
      <c r="A5605" s="58" t="s">
        <v>309</v>
      </c>
      <c r="B5605" s="58" t="s">
        <v>172</v>
      </c>
      <c r="C5605" s="58">
        <v>9</v>
      </c>
      <c r="D5605" s="58">
        <v>112</v>
      </c>
      <c r="E5605" s="59">
        <v>57</v>
      </c>
    </row>
    <row r="5606" spans="1:5" ht="15" x14ac:dyDescent="0.35">
      <c r="A5606" s="58" t="s">
        <v>309</v>
      </c>
      <c r="B5606" s="58" t="s">
        <v>172</v>
      </c>
      <c r="C5606" s="58">
        <v>10</v>
      </c>
      <c r="D5606" s="58">
        <v>113</v>
      </c>
      <c r="E5606" s="59">
        <v>57</v>
      </c>
    </row>
    <row r="5607" spans="1:5" ht="15" x14ac:dyDescent="0.35">
      <c r="A5607" s="58" t="s">
        <v>309</v>
      </c>
      <c r="B5607" s="58" t="s">
        <v>172</v>
      </c>
      <c r="C5607" s="58">
        <v>11</v>
      </c>
      <c r="D5607" s="58">
        <v>114</v>
      </c>
      <c r="E5607" s="59">
        <v>57</v>
      </c>
    </row>
    <row r="5608" spans="1:5" ht="15" x14ac:dyDescent="0.35">
      <c r="A5608" s="58" t="s">
        <v>309</v>
      </c>
      <c r="B5608" s="58" t="s">
        <v>172</v>
      </c>
      <c r="C5608" s="58">
        <v>12</v>
      </c>
      <c r="D5608" s="58">
        <v>115</v>
      </c>
      <c r="E5608" s="59">
        <v>57</v>
      </c>
    </row>
    <row r="5609" spans="1:5" ht="15" x14ac:dyDescent="0.35">
      <c r="A5609" s="58" t="s">
        <v>309</v>
      </c>
      <c r="B5609" s="58" t="s">
        <v>180</v>
      </c>
      <c r="C5609" s="58">
        <v>1</v>
      </c>
      <c r="D5609" s="58">
        <v>104</v>
      </c>
      <c r="E5609" s="59">
        <v>51.722299999999997</v>
      </c>
    </row>
    <row r="5610" spans="1:5" ht="15" x14ac:dyDescent="0.35">
      <c r="A5610" s="58" t="s">
        <v>309</v>
      </c>
      <c r="B5610" s="58" t="s">
        <v>180</v>
      </c>
      <c r="C5610" s="58">
        <v>2</v>
      </c>
      <c r="D5610" s="58">
        <v>105</v>
      </c>
      <c r="E5610" s="59">
        <v>51.722299999999997</v>
      </c>
    </row>
    <row r="5611" spans="1:5" ht="15" x14ac:dyDescent="0.35">
      <c r="A5611" s="58" t="s">
        <v>309</v>
      </c>
      <c r="B5611" s="58" t="s">
        <v>180</v>
      </c>
      <c r="C5611" s="58">
        <v>3</v>
      </c>
      <c r="D5611" s="58">
        <v>106</v>
      </c>
      <c r="E5611" s="59">
        <v>51.722299999999997</v>
      </c>
    </row>
    <row r="5612" spans="1:5" ht="15" x14ac:dyDescent="0.35">
      <c r="A5612" s="58" t="s">
        <v>309</v>
      </c>
      <c r="B5612" s="58" t="s">
        <v>180</v>
      </c>
      <c r="C5612" s="58">
        <v>4</v>
      </c>
      <c r="D5612" s="58">
        <v>107</v>
      </c>
      <c r="E5612" s="59">
        <v>51.722299999999997</v>
      </c>
    </row>
    <row r="5613" spans="1:5" ht="15" x14ac:dyDescent="0.35">
      <c r="A5613" s="58" t="s">
        <v>309</v>
      </c>
      <c r="B5613" s="58" t="s">
        <v>180</v>
      </c>
      <c r="C5613" s="58">
        <v>5</v>
      </c>
      <c r="D5613" s="58">
        <v>108</v>
      </c>
      <c r="E5613" s="59">
        <v>51.722299999999997</v>
      </c>
    </row>
    <row r="5614" spans="1:5" ht="15" x14ac:dyDescent="0.35">
      <c r="A5614" s="58" t="s">
        <v>309</v>
      </c>
      <c r="B5614" s="58" t="s">
        <v>180</v>
      </c>
      <c r="C5614" s="58">
        <v>6</v>
      </c>
      <c r="D5614" s="58">
        <v>109</v>
      </c>
      <c r="E5614" s="59">
        <v>51.722299999999997</v>
      </c>
    </row>
    <row r="5615" spans="1:5" ht="15" x14ac:dyDescent="0.35">
      <c r="A5615" s="58" t="s">
        <v>309</v>
      </c>
      <c r="B5615" s="58" t="s">
        <v>180</v>
      </c>
      <c r="C5615" s="58">
        <v>7</v>
      </c>
      <c r="D5615" s="58">
        <v>110</v>
      </c>
      <c r="E5615" s="59">
        <v>51.722299999999997</v>
      </c>
    </row>
    <row r="5616" spans="1:5" ht="15" x14ac:dyDescent="0.35">
      <c r="A5616" s="58" t="s">
        <v>309</v>
      </c>
      <c r="B5616" s="58" t="s">
        <v>180</v>
      </c>
      <c r="C5616" s="58">
        <v>8</v>
      </c>
      <c r="D5616" s="58">
        <v>111</v>
      </c>
      <c r="E5616" s="59">
        <v>51.722299999999997</v>
      </c>
    </row>
    <row r="5617" spans="1:5" ht="15" x14ac:dyDescent="0.35">
      <c r="A5617" s="58" t="s">
        <v>309</v>
      </c>
      <c r="B5617" s="58" t="s">
        <v>180</v>
      </c>
      <c r="C5617" s="58">
        <v>9</v>
      </c>
      <c r="D5617" s="58">
        <v>112</v>
      </c>
      <c r="E5617" s="59">
        <v>51.722299999999997</v>
      </c>
    </row>
    <row r="5618" spans="1:5" ht="15" x14ac:dyDescent="0.35">
      <c r="A5618" s="58" t="s">
        <v>309</v>
      </c>
      <c r="B5618" s="58" t="s">
        <v>180</v>
      </c>
      <c r="C5618" s="58">
        <v>10</v>
      </c>
      <c r="D5618" s="58">
        <v>113</v>
      </c>
      <c r="E5618" s="59">
        <v>51.722299999999997</v>
      </c>
    </row>
    <row r="5619" spans="1:5" ht="15" x14ac:dyDescent="0.35">
      <c r="A5619" s="58" t="s">
        <v>309</v>
      </c>
      <c r="B5619" s="58" t="s">
        <v>180</v>
      </c>
      <c r="C5619" s="58">
        <v>11</v>
      </c>
      <c r="D5619" s="58">
        <v>114</v>
      </c>
      <c r="E5619" s="59">
        <v>51.722299999999997</v>
      </c>
    </row>
    <row r="5620" spans="1:5" ht="15" x14ac:dyDescent="0.35">
      <c r="A5620" s="58" t="s">
        <v>309</v>
      </c>
      <c r="B5620" s="58" t="s">
        <v>180</v>
      </c>
      <c r="C5620" s="58">
        <v>12</v>
      </c>
      <c r="D5620" s="58">
        <v>115</v>
      </c>
      <c r="E5620" s="59">
        <v>51.722299999999997</v>
      </c>
    </row>
    <row r="5621" spans="1:5" ht="15" x14ac:dyDescent="0.35">
      <c r="A5621" s="58" t="s">
        <v>278</v>
      </c>
      <c r="B5621" s="58" t="s">
        <v>182</v>
      </c>
      <c r="C5621" s="58">
        <v>1</v>
      </c>
      <c r="D5621" s="58">
        <v>104</v>
      </c>
      <c r="E5621" s="59">
        <v>69.602800000000002</v>
      </c>
    </row>
    <row r="5622" spans="1:5" ht="15" x14ac:dyDescent="0.35">
      <c r="A5622" s="58" t="s">
        <v>278</v>
      </c>
      <c r="B5622" s="58" t="s">
        <v>182</v>
      </c>
      <c r="C5622" s="58">
        <v>2</v>
      </c>
      <c r="D5622" s="58">
        <v>105</v>
      </c>
      <c r="E5622" s="59">
        <v>99.025000000000006</v>
      </c>
    </row>
    <row r="5623" spans="1:5" ht="15" x14ac:dyDescent="0.35">
      <c r="A5623" s="58" t="s">
        <v>278</v>
      </c>
      <c r="B5623" s="58" t="s">
        <v>182</v>
      </c>
      <c r="C5623" s="58">
        <v>3</v>
      </c>
      <c r="D5623" s="58">
        <v>106</v>
      </c>
      <c r="E5623" s="59">
        <v>89.991699999999994</v>
      </c>
    </row>
    <row r="5624" spans="1:5" ht="15" x14ac:dyDescent="0.35">
      <c r="A5624" s="58" t="s">
        <v>278</v>
      </c>
      <c r="B5624" s="58" t="s">
        <v>182</v>
      </c>
      <c r="C5624" s="58">
        <v>4</v>
      </c>
      <c r="D5624" s="58">
        <v>107</v>
      </c>
      <c r="E5624" s="59">
        <v>85.825000000000003</v>
      </c>
    </row>
    <row r="5625" spans="1:5" ht="15" x14ac:dyDescent="0.35">
      <c r="A5625" s="58" t="s">
        <v>278</v>
      </c>
      <c r="B5625" s="58" t="s">
        <v>182</v>
      </c>
      <c r="C5625" s="58">
        <v>5</v>
      </c>
      <c r="D5625" s="58">
        <v>108</v>
      </c>
      <c r="E5625" s="59">
        <v>80.575000000000003</v>
      </c>
    </row>
    <row r="5626" spans="1:5" ht="15" x14ac:dyDescent="0.35">
      <c r="A5626" s="58" t="s">
        <v>278</v>
      </c>
      <c r="B5626" s="58" t="s">
        <v>182</v>
      </c>
      <c r="C5626" s="58">
        <v>6</v>
      </c>
      <c r="D5626" s="58">
        <v>109</v>
      </c>
      <c r="E5626" s="59">
        <v>75.380600000000001</v>
      </c>
    </row>
    <row r="5627" spans="1:5" ht="15" x14ac:dyDescent="0.35">
      <c r="A5627" s="58" t="s">
        <v>278</v>
      </c>
      <c r="B5627" s="58" t="s">
        <v>182</v>
      </c>
      <c r="C5627" s="58">
        <v>7</v>
      </c>
      <c r="D5627" s="58">
        <v>110</v>
      </c>
      <c r="E5627" s="59">
        <v>63.491700000000002</v>
      </c>
    </row>
    <row r="5628" spans="1:5" ht="15" x14ac:dyDescent="0.35">
      <c r="A5628" s="58" t="s">
        <v>278</v>
      </c>
      <c r="B5628" s="58" t="s">
        <v>182</v>
      </c>
      <c r="C5628" s="58">
        <v>8</v>
      </c>
      <c r="D5628" s="58">
        <v>111</v>
      </c>
      <c r="E5628" s="59">
        <v>48.158299999999997</v>
      </c>
    </row>
    <row r="5629" spans="1:5" ht="15" x14ac:dyDescent="0.35">
      <c r="A5629" s="58" t="s">
        <v>278</v>
      </c>
      <c r="B5629" s="58" t="s">
        <v>182</v>
      </c>
      <c r="C5629" s="58">
        <v>9</v>
      </c>
      <c r="D5629" s="58">
        <v>112</v>
      </c>
      <c r="E5629" s="59">
        <v>67.380600000000001</v>
      </c>
    </row>
    <row r="5630" spans="1:5" ht="15" x14ac:dyDescent="0.35">
      <c r="A5630" s="58" t="s">
        <v>278</v>
      </c>
      <c r="B5630" s="58" t="s">
        <v>182</v>
      </c>
      <c r="C5630" s="58">
        <v>10</v>
      </c>
      <c r="D5630" s="58">
        <v>113</v>
      </c>
      <c r="E5630" s="59">
        <v>72.602800000000002</v>
      </c>
    </row>
    <row r="5631" spans="1:5" ht="15" x14ac:dyDescent="0.35">
      <c r="A5631" s="58" t="s">
        <v>278</v>
      </c>
      <c r="B5631" s="58" t="s">
        <v>182</v>
      </c>
      <c r="C5631" s="58">
        <v>11</v>
      </c>
      <c r="D5631" s="58">
        <v>114</v>
      </c>
      <c r="E5631" s="59">
        <v>70.491699999999994</v>
      </c>
    </row>
    <row r="5632" spans="1:5" ht="15" x14ac:dyDescent="0.35">
      <c r="A5632" s="58" t="s">
        <v>278</v>
      </c>
      <c r="B5632" s="58" t="s">
        <v>182</v>
      </c>
      <c r="C5632" s="58">
        <v>12</v>
      </c>
      <c r="D5632" s="58">
        <v>115</v>
      </c>
      <c r="E5632" s="59">
        <v>74.491699999999994</v>
      </c>
    </row>
    <row r="5633" spans="1:5" ht="15" x14ac:dyDescent="0.35">
      <c r="A5633" s="58" t="s">
        <v>278</v>
      </c>
      <c r="B5633" s="58" t="s">
        <v>176</v>
      </c>
      <c r="C5633" s="58">
        <v>1</v>
      </c>
      <c r="D5633" s="58">
        <v>104</v>
      </c>
      <c r="E5633" s="59">
        <v>35.375</v>
      </c>
    </row>
    <row r="5634" spans="1:5" ht="15" x14ac:dyDescent="0.35">
      <c r="A5634" s="58" t="s">
        <v>278</v>
      </c>
      <c r="B5634" s="58" t="s">
        <v>176</v>
      </c>
      <c r="C5634" s="58">
        <v>2</v>
      </c>
      <c r="D5634" s="58">
        <v>105</v>
      </c>
      <c r="E5634" s="59">
        <v>35.375</v>
      </c>
    </row>
    <row r="5635" spans="1:5" ht="15" x14ac:dyDescent="0.35">
      <c r="A5635" s="58" t="s">
        <v>278</v>
      </c>
      <c r="B5635" s="58" t="s">
        <v>176</v>
      </c>
      <c r="C5635" s="58">
        <v>3</v>
      </c>
      <c r="D5635" s="58">
        <v>106</v>
      </c>
      <c r="E5635" s="59">
        <v>35.375</v>
      </c>
    </row>
    <row r="5636" spans="1:5" ht="15" x14ac:dyDescent="0.35">
      <c r="A5636" s="58" t="s">
        <v>278</v>
      </c>
      <c r="B5636" s="58" t="s">
        <v>176</v>
      </c>
      <c r="C5636" s="58">
        <v>4</v>
      </c>
      <c r="D5636" s="58">
        <v>107</v>
      </c>
      <c r="E5636" s="59">
        <v>35.375</v>
      </c>
    </row>
    <row r="5637" spans="1:5" ht="15" x14ac:dyDescent="0.35">
      <c r="A5637" s="58" t="s">
        <v>278</v>
      </c>
      <c r="B5637" s="58" t="s">
        <v>176</v>
      </c>
      <c r="C5637" s="58">
        <v>5</v>
      </c>
      <c r="D5637" s="58">
        <v>108</v>
      </c>
      <c r="E5637" s="59">
        <v>35.375</v>
      </c>
    </row>
    <row r="5638" spans="1:5" ht="15" x14ac:dyDescent="0.35">
      <c r="A5638" s="58" t="s">
        <v>278</v>
      </c>
      <c r="B5638" s="58" t="s">
        <v>176</v>
      </c>
      <c r="C5638" s="58">
        <v>6</v>
      </c>
      <c r="D5638" s="58">
        <v>109</v>
      </c>
      <c r="E5638" s="59">
        <v>35.375</v>
      </c>
    </row>
    <row r="5639" spans="1:5" ht="15" x14ac:dyDescent="0.35">
      <c r="A5639" s="58" t="s">
        <v>278</v>
      </c>
      <c r="B5639" s="58" t="s">
        <v>176</v>
      </c>
      <c r="C5639" s="58">
        <v>7</v>
      </c>
      <c r="D5639" s="58">
        <v>110</v>
      </c>
      <c r="E5639" s="59">
        <v>35.375</v>
      </c>
    </row>
    <row r="5640" spans="1:5" ht="15" x14ac:dyDescent="0.35">
      <c r="A5640" s="58" t="s">
        <v>278</v>
      </c>
      <c r="B5640" s="58" t="s">
        <v>176</v>
      </c>
      <c r="C5640" s="58">
        <v>8</v>
      </c>
      <c r="D5640" s="58">
        <v>111</v>
      </c>
      <c r="E5640" s="59">
        <v>35.375</v>
      </c>
    </row>
    <row r="5641" spans="1:5" ht="15" x14ac:dyDescent="0.35">
      <c r="A5641" s="58" t="s">
        <v>278</v>
      </c>
      <c r="B5641" s="58" t="s">
        <v>176</v>
      </c>
      <c r="C5641" s="58">
        <v>9</v>
      </c>
      <c r="D5641" s="58">
        <v>112</v>
      </c>
      <c r="E5641" s="59">
        <v>35.375</v>
      </c>
    </row>
    <row r="5642" spans="1:5" ht="15" x14ac:dyDescent="0.35">
      <c r="A5642" s="58" t="s">
        <v>278</v>
      </c>
      <c r="B5642" s="58" t="s">
        <v>176</v>
      </c>
      <c r="C5642" s="58">
        <v>10</v>
      </c>
      <c r="D5642" s="58">
        <v>113</v>
      </c>
      <c r="E5642" s="59">
        <v>35.375</v>
      </c>
    </row>
    <row r="5643" spans="1:5" ht="15" x14ac:dyDescent="0.35">
      <c r="A5643" s="58" t="s">
        <v>278</v>
      </c>
      <c r="B5643" s="58" t="s">
        <v>176</v>
      </c>
      <c r="C5643" s="58">
        <v>11</v>
      </c>
      <c r="D5643" s="58">
        <v>114</v>
      </c>
      <c r="E5643" s="59">
        <v>35.375</v>
      </c>
    </row>
    <row r="5644" spans="1:5" ht="15" x14ac:dyDescent="0.35">
      <c r="A5644" s="58" t="s">
        <v>278</v>
      </c>
      <c r="B5644" s="58" t="s">
        <v>176</v>
      </c>
      <c r="C5644" s="58">
        <v>12</v>
      </c>
      <c r="D5644" s="58">
        <v>115</v>
      </c>
      <c r="E5644" s="59">
        <v>35.375</v>
      </c>
    </row>
    <row r="5645" spans="1:5" ht="15" x14ac:dyDescent="0.35">
      <c r="A5645" s="58" t="s">
        <v>278</v>
      </c>
      <c r="B5645" s="58" t="s">
        <v>172</v>
      </c>
      <c r="C5645" s="58">
        <v>1</v>
      </c>
      <c r="D5645" s="58">
        <v>104</v>
      </c>
      <c r="E5645" s="59">
        <v>96</v>
      </c>
    </row>
    <row r="5646" spans="1:5" ht="15" x14ac:dyDescent="0.35">
      <c r="A5646" s="58" t="s">
        <v>278</v>
      </c>
      <c r="B5646" s="58" t="s">
        <v>172</v>
      </c>
      <c r="C5646" s="58">
        <v>2</v>
      </c>
      <c r="D5646" s="58">
        <v>105</v>
      </c>
      <c r="E5646" s="59">
        <v>96</v>
      </c>
    </row>
    <row r="5647" spans="1:5" ht="15" x14ac:dyDescent="0.35">
      <c r="A5647" s="58" t="s">
        <v>278</v>
      </c>
      <c r="B5647" s="58" t="s">
        <v>172</v>
      </c>
      <c r="C5647" s="58">
        <v>3</v>
      </c>
      <c r="D5647" s="58">
        <v>106</v>
      </c>
      <c r="E5647" s="59">
        <v>96</v>
      </c>
    </row>
    <row r="5648" spans="1:5" ht="15" x14ac:dyDescent="0.35">
      <c r="A5648" s="58" t="s">
        <v>278</v>
      </c>
      <c r="B5648" s="58" t="s">
        <v>172</v>
      </c>
      <c r="C5648" s="58">
        <v>4</v>
      </c>
      <c r="D5648" s="58">
        <v>107</v>
      </c>
      <c r="E5648" s="59">
        <v>96</v>
      </c>
    </row>
    <row r="5649" spans="1:5" ht="15" x14ac:dyDescent="0.35">
      <c r="A5649" s="58" t="s">
        <v>278</v>
      </c>
      <c r="B5649" s="58" t="s">
        <v>172</v>
      </c>
      <c r="C5649" s="58">
        <v>5</v>
      </c>
      <c r="D5649" s="58">
        <v>108</v>
      </c>
      <c r="E5649" s="59">
        <v>96</v>
      </c>
    </row>
    <row r="5650" spans="1:5" ht="15" x14ac:dyDescent="0.35">
      <c r="A5650" s="58" t="s">
        <v>278</v>
      </c>
      <c r="B5650" s="58" t="s">
        <v>172</v>
      </c>
      <c r="C5650" s="58">
        <v>6</v>
      </c>
      <c r="D5650" s="58">
        <v>109</v>
      </c>
      <c r="E5650" s="59">
        <v>96</v>
      </c>
    </row>
    <row r="5651" spans="1:5" ht="15" x14ac:dyDescent="0.35">
      <c r="A5651" s="58" t="s">
        <v>278</v>
      </c>
      <c r="B5651" s="58" t="s">
        <v>172</v>
      </c>
      <c r="C5651" s="58">
        <v>7</v>
      </c>
      <c r="D5651" s="58">
        <v>110</v>
      </c>
      <c r="E5651" s="59">
        <v>96</v>
      </c>
    </row>
    <row r="5652" spans="1:5" ht="15" x14ac:dyDescent="0.35">
      <c r="A5652" s="58" t="s">
        <v>278</v>
      </c>
      <c r="B5652" s="58" t="s">
        <v>172</v>
      </c>
      <c r="C5652" s="58">
        <v>8</v>
      </c>
      <c r="D5652" s="58">
        <v>111</v>
      </c>
      <c r="E5652" s="59">
        <v>96</v>
      </c>
    </row>
    <row r="5653" spans="1:5" ht="15" x14ac:dyDescent="0.35">
      <c r="A5653" s="58" t="s">
        <v>278</v>
      </c>
      <c r="B5653" s="58" t="s">
        <v>172</v>
      </c>
      <c r="C5653" s="58">
        <v>9</v>
      </c>
      <c r="D5653" s="58">
        <v>112</v>
      </c>
      <c r="E5653" s="59">
        <v>96</v>
      </c>
    </row>
    <row r="5654" spans="1:5" ht="15" x14ac:dyDescent="0.35">
      <c r="A5654" s="58" t="s">
        <v>278</v>
      </c>
      <c r="B5654" s="58" t="s">
        <v>172</v>
      </c>
      <c r="C5654" s="58">
        <v>10</v>
      </c>
      <c r="D5654" s="58">
        <v>113</v>
      </c>
      <c r="E5654" s="59">
        <v>96</v>
      </c>
    </row>
    <row r="5655" spans="1:5" ht="15" x14ac:dyDescent="0.35">
      <c r="A5655" s="58" t="s">
        <v>278</v>
      </c>
      <c r="B5655" s="58" t="s">
        <v>172</v>
      </c>
      <c r="C5655" s="58">
        <v>11</v>
      </c>
      <c r="D5655" s="58">
        <v>114</v>
      </c>
      <c r="E5655" s="59">
        <v>96</v>
      </c>
    </row>
    <row r="5656" spans="1:5" ht="15" x14ac:dyDescent="0.35">
      <c r="A5656" s="58" t="s">
        <v>278</v>
      </c>
      <c r="B5656" s="58" t="s">
        <v>172</v>
      </c>
      <c r="C5656" s="58">
        <v>12</v>
      </c>
      <c r="D5656" s="58">
        <v>115</v>
      </c>
      <c r="E5656" s="59">
        <v>96</v>
      </c>
    </row>
    <row r="5657" spans="1:5" ht="15" x14ac:dyDescent="0.35">
      <c r="A5657" s="58" t="s">
        <v>278</v>
      </c>
      <c r="B5657" s="58" t="s">
        <v>180</v>
      </c>
      <c r="C5657" s="58">
        <v>1</v>
      </c>
      <c r="D5657" s="58">
        <v>104</v>
      </c>
      <c r="E5657" s="59">
        <v>69.947299999999998</v>
      </c>
    </row>
    <row r="5658" spans="1:5" ht="15" x14ac:dyDescent="0.35">
      <c r="A5658" s="58" t="s">
        <v>278</v>
      </c>
      <c r="B5658" s="58" t="s">
        <v>180</v>
      </c>
      <c r="C5658" s="58">
        <v>2</v>
      </c>
      <c r="D5658" s="58">
        <v>105</v>
      </c>
      <c r="E5658" s="59">
        <v>69.947299999999998</v>
      </c>
    </row>
    <row r="5659" spans="1:5" ht="15" x14ac:dyDescent="0.35">
      <c r="A5659" s="58" t="s">
        <v>278</v>
      </c>
      <c r="B5659" s="58" t="s">
        <v>180</v>
      </c>
      <c r="C5659" s="58">
        <v>3</v>
      </c>
      <c r="D5659" s="58">
        <v>106</v>
      </c>
      <c r="E5659" s="59">
        <v>69.947299999999998</v>
      </c>
    </row>
    <row r="5660" spans="1:5" ht="15" x14ac:dyDescent="0.35">
      <c r="A5660" s="58" t="s">
        <v>278</v>
      </c>
      <c r="B5660" s="58" t="s">
        <v>180</v>
      </c>
      <c r="C5660" s="58">
        <v>4</v>
      </c>
      <c r="D5660" s="58">
        <v>107</v>
      </c>
      <c r="E5660" s="59">
        <v>69.947299999999998</v>
      </c>
    </row>
    <row r="5661" spans="1:5" ht="15" x14ac:dyDescent="0.35">
      <c r="A5661" s="58" t="s">
        <v>278</v>
      </c>
      <c r="B5661" s="58" t="s">
        <v>180</v>
      </c>
      <c r="C5661" s="58">
        <v>5</v>
      </c>
      <c r="D5661" s="58">
        <v>108</v>
      </c>
      <c r="E5661" s="59">
        <v>69.947299999999998</v>
      </c>
    </row>
    <row r="5662" spans="1:5" ht="15" x14ac:dyDescent="0.35">
      <c r="A5662" s="58" t="s">
        <v>278</v>
      </c>
      <c r="B5662" s="58" t="s">
        <v>180</v>
      </c>
      <c r="C5662" s="58">
        <v>6</v>
      </c>
      <c r="D5662" s="58">
        <v>109</v>
      </c>
      <c r="E5662" s="59">
        <v>69.947299999999998</v>
      </c>
    </row>
    <row r="5663" spans="1:5" ht="15" x14ac:dyDescent="0.35">
      <c r="A5663" s="58" t="s">
        <v>278</v>
      </c>
      <c r="B5663" s="58" t="s">
        <v>180</v>
      </c>
      <c r="C5663" s="58">
        <v>7</v>
      </c>
      <c r="D5663" s="58">
        <v>110</v>
      </c>
      <c r="E5663" s="59">
        <v>69.947299999999998</v>
      </c>
    </row>
    <row r="5664" spans="1:5" ht="15" x14ac:dyDescent="0.35">
      <c r="A5664" s="58" t="s">
        <v>278</v>
      </c>
      <c r="B5664" s="58" t="s">
        <v>180</v>
      </c>
      <c r="C5664" s="58">
        <v>8</v>
      </c>
      <c r="D5664" s="58">
        <v>111</v>
      </c>
      <c r="E5664" s="59">
        <v>69.947299999999998</v>
      </c>
    </row>
    <row r="5665" spans="1:5" ht="15" x14ac:dyDescent="0.35">
      <c r="A5665" s="58" t="s">
        <v>278</v>
      </c>
      <c r="B5665" s="58" t="s">
        <v>180</v>
      </c>
      <c r="C5665" s="58">
        <v>9</v>
      </c>
      <c r="D5665" s="58">
        <v>112</v>
      </c>
      <c r="E5665" s="59">
        <v>69.947299999999998</v>
      </c>
    </row>
    <row r="5666" spans="1:5" ht="15" x14ac:dyDescent="0.35">
      <c r="A5666" s="58" t="s">
        <v>278</v>
      </c>
      <c r="B5666" s="58" t="s">
        <v>180</v>
      </c>
      <c r="C5666" s="58">
        <v>10</v>
      </c>
      <c r="D5666" s="58">
        <v>113</v>
      </c>
      <c r="E5666" s="59">
        <v>69.947299999999998</v>
      </c>
    </row>
    <row r="5667" spans="1:5" ht="15" x14ac:dyDescent="0.35">
      <c r="A5667" s="58" t="s">
        <v>278</v>
      </c>
      <c r="B5667" s="58" t="s">
        <v>180</v>
      </c>
      <c r="C5667" s="58">
        <v>11</v>
      </c>
      <c r="D5667" s="58">
        <v>114</v>
      </c>
      <c r="E5667" s="59">
        <v>69.947299999999998</v>
      </c>
    </row>
    <row r="5668" spans="1:5" ht="15" x14ac:dyDescent="0.35">
      <c r="A5668" s="58" t="s">
        <v>278</v>
      </c>
      <c r="B5668" s="58" t="s">
        <v>180</v>
      </c>
      <c r="C5668" s="58">
        <v>12</v>
      </c>
      <c r="D5668" s="58">
        <v>115</v>
      </c>
      <c r="E5668" s="59">
        <v>69.947299999999998</v>
      </c>
    </row>
    <row r="5669" spans="1:5" ht="15" x14ac:dyDescent="0.35">
      <c r="A5669" s="58" t="s">
        <v>360</v>
      </c>
      <c r="B5669" s="58" t="s">
        <v>182</v>
      </c>
      <c r="C5669" s="58">
        <v>1</v>
      </c>
      <c r="D5669" s="58">
        <v>104</v>
      </c>
      <c r="E5669" s="59">
        <v>15.8779</v>
      </c>
    </row>
    <row r="5670" spans="1:5" ht="15" x14ac:dyDescent="0.35">
      <c r="A5670" s="58" t="s">
        <v>360</v>
      </c>
      <c r="B5670" s="58" t="s">
        <v>182</v>
      </c>
      <c r="C5670" s="58">
        <v>2</v>
      </c>
      <c r="D5670" s="58">
        <v>105</v>
      </c>
      <c r="E5670" s="59">
        <v>34.122399999999999</v>
      </c>
    </row>
    <row r="5671" spans="1:5" ht="15" x14ac:dyDescent="0.35">
      <c r="A5671" s="58" t="s">
        <v>360</v>
      </c>
      <c r="B5671" s="58" t="s">
        <v>182</v>
      </c>
      <c r="C5671" s="58">
        <v>3</v>
      </c>
      <c r="D5671" s="58">
        <v>106</v>
      </c>
      <c r="E5671" s="59">
        <v>32.155700000000003</v>
      </c>
    </row>
    <row r="5672" spans="1:5" ht="15" x14ac:dyDescent="0.35">
      <c r="A5672" s="58" t="s">
        <v>360</v>
      </c>
      <c r="B5672" s="58" t="s">
        <v>182</v>
      </c>
      <c r="C5672" s="58">
        <v>4</v>
      </c>
      <c r="D5672" s="58">
        <v>107</v>
      </c>
      <c r="E5672" s="59">
        <v>31.751000000000001</v>
      </c>
    </row>
    <row r="5673" spans="1:5" ht="15" x14ac:dyDescent="0.35">
      <c r="A5673" s="58" t="s">
        <v>360</v>
      </c>
      <c r="B5673" s="58" t="s">
        <v>182</v>
      </c>
      <c r="C5673" s="58">
        <v>5</v>
      </c>
      <c r="D5673" s="58">
        <v>108</v>
      </c>
      <c r="E5673" s="59">
        <v>28.822399999999998</v>
      </c>
    </row>
    <row r="5674" spans="1:5" ht="15" x14ac:dyDescent="0.35">
      <c r="A5674" s="58" t="s">
        <v>360</v>
      </c>
      <c r="B5674" s="58" t="s">
        <v>182</v>
      </c>
      <c r="C5674" s="58">
        <v>6</v>
      </c>
      <c r="D5674" s="58">
        <v>109</v>
      </c>
      <c r="E5674" s="59">
        <v>50.766800000000003</v>
      </c>
    </row>
    <row r="5675" spans="1:5" ht="15" x14ac:dyDescent="0.35">
      <c r="A5675" s="58" t="s">
        <v>360</v>
      </c>
      <c r="B5675" s="58" t="s">
        <v>182</v>
      </c>
      <c r="C5675" s="58">
        <v>7</v>
      </c>
      <c r="D5675" s="58">
        <v>110</v>
      </c>
      <c r="E5675" s="59">
        <v>47.988999999999997</v>
      </c>
    </row>
    <row r="5676" spans="1:5" ht="15" x14ac:dyDescent="0.35">
      <c r="A5676" s="58" t="s">
        <v>360</v>
      </c>
      <c r="B5676" s="58" t="s">
        <v>182</v>
      </c>
      <c r="C5676" s="58">
        <v>8</v>
      </c>
      <c r="D5676" s="58">
        <v>111</v>
      </c>
      <c r="E5676" s="59">
        <v>69.989000000000004</v>
      </c>
    </row>
    <row r="5677" spans="1:5" ht="15" x14ac:dyDescent="0.35">
      <c r="A5677" s="58" t="s">
        <v>360</v>
      </c>
      <c r="B5677" s="58" t="s">
        <v>182</v>
      </c>
      <c r="C5677" s="58">
        <v>9</v>
      </c>
      <c r="D5677" s="58">
        <v>112</v>
      </c>
      <c r="E5677" s="59">
        <v>76.211299999999994</v>
      </c>
    </row>
    <row r="5678" spans="1:5" ht="15" x14ac:dyDescent="0.35">
      <c r="A5678" s="58" t="s">
        <v>360</v>
      </c>
      <c r="B5678" s="58" t="s">
        <v>182</v>
      </c>
      <c r="C5678" s="58">
        <v>10</v>
      </c>
      <c r="D5678" s="58">
        <v>113</v>
      </c>
      <c r="E5678" s="59">
        <v>79.766800000000003</v>
      </c>
    </row>
    <row r="5679" spans="1:5" ht="15" x14ac:dyDescent="0.35">
      <c r="A5679" s="58" t="s">
        <v>360</v>
      </c>
      <c r="B5679" s="58" t="s">
        <v>182</v>
      </c>
      <c r="C5679" s="58">
        <v>11</v>
      </c>
      <c r="D5679" s="58">
        <v>114</v>
      </c>
      <c r="E5679" s="59">
        <v>66.433499999999995</v>
      </c>
    </row>
    <row r="5680" spans="1:5" ht="15" x14ac:dyDescent="0.35">
      <c r="A5680" s="58" t="s">
        <v>360</v>
      </c>
      <c r="B5680" s="58" t="s">
        <v>182</v>
      </c>
      <c r="C5680" s="58">
        <v>12</v>
      </c>
      <c r="D5680" s="58">
        <v>115</v>
      </c>
      <c r="E5680" s="59">
        <v>88.322400000000002</v>
      </c>
    </row>
    <row r="5681" spans="1:5" ht="15" x14ac:dyDescent="0.35">
      <c r="A5681" s="58" t="s">
        <v>360</v>
      </c>
      <c r="B5681" s="58" t="s">
        <v>176</v>
      </c>
      <c r="C5681" s="58">
        <v>1</v>
      </c>
      <c r="D5681" s="58">
        <v>104</v>
      </c>
      <c r="E5681" s="59">
        <v>18.5</v>
      </c>
    </row>
    <row r="5682" spans="1:5" ht="15" x14ac:dyDescent="0.35">
      <c r="A5682" s="58" t="s">
        <v>360</v>
      </c>
      <c r="B5682" s="58" t="s">
        <v>176</v>
      </c>
      <c r="C5682" s="58">
        <v>2</v>
      </c>
      <c r="D5682" s="58">
        <v>105</v>
      </c>
      <c r="E5682" s="59">
        <v>18.5</v>
      </c>
    </row>
    <row r="5683" spans="1:5" ht="15" x14ac:dyDescent="0.35">
      <c r="A5683" s="58" t="s">
        <v>360</v>
      </c>
      <c r="B5683" s="58" t="s">
        <v>176</v>
      </c>
      <c r="C5683" s="58">
        <v>3</v>
      </c>
      <c r="D5683" s="58">
        <v>106</v>
      </c>
      <c r="E5683" s="59">
        <v>18.5</v>
      </c>
    </row>
    <row r="5684" spans="1:5" ht="15" x14ac:dyDescent="0.35">
      <c r="A5684" s="58" t="s">
        <v>360</v>
      </c>
      <c r="B5684" s="58" t="s">
        <v>176</v>
      </c>
      <c r="C5684" s="58">
        <v>4</v>
      </c>
      <c r="D5684" s="58">
        <v>107</v>
      </c>
      <c r="E5684" s="59">
        <v>18.5</v>
      </c>
    </row>
    <row r="5685" spans="1:5" ht="15" x14ac:dyDescent="0.35">
      <c r="A5685" s="58" t="s">
        <v>360</v>
      </c>
      <c r="B5685" s="58" t="s">
        <v>176</v>
      </c>
      <c r="C5685" s="58">
        <v>5</v>
      </c>
      <c r="D5685" s="58">
        <v>108</v>
      </c>
      <c r="E5685" s="59">
        <v>18.5</v>
      </c>
    </row>
    <row r="5686" spans="1:5" ht="15" x14ac:dyDescent="0.35">
      <c r="A5686" s="58" t="s">
        <v>360</v>
      </c>
      <c r="B5686" s="58" t="s">
        <v>176</v>
      </c>
      <c r="C5686" s="58">
        <v>6</v>
      </c>
      <c r="D5686" s="58">
        <v>109</v>
      </c>
      <c r="E5686" s="59">
        <v>18.5</v>
      </c>
    </row>
    <row r="5687" spans="1:5" ht="15" x14ac:dyDescent="0.35">
      <c r="A5687" s="58" t="s">
        <v>360</v>
      </c>
      <c r="B5687" s="58" t="s">
        <v>176</v>
      </c>
      <c r="C5687" s="58">
        <v>7</v>
      </c>
      <c r="D5687" s="58">
        <v>110</v>
      </c>
      <c r="E5687" s="59">
        <v>18.5</v>
      </c>
    </row>
    <row r="5688" spans="1:5" ht="15" x14ac:dyDescent="0.35">
      <c r="A5688" s="58" t="s">
        <v>360</v>
      </c>
      <c r="B5688" s="58" t="s">
        <v>176</v>
      </c>
      <c r="C5688" s="58">
        <v>8</v>
      </c>
      <c r="D5688" s="58">
        <v>111</v>
      </c>
      <c r="E5688" s="59">
        <v>18.5</v>
      </c>
    </row>
    <row r="5689" spans="1:5" ht="15" x14ac:dyDescent="0.35">
      <c r="A5689" s="58" t="s">
        <v>360</v>
      </c>
      <c r="B5689" s="58" t="s">
        <v>176</v>
      </c>
      <c r="C5689" s="58">
        <v>9</v>
      </c>
      <c r="D5689" s="58">
        <v>112</v>
      </c>
      <c r="E5689" s="59">
        <v>18.5</v>
      </c>
    </row>
    <row r="5690" spans="1:5" ht="15" x14ac:dyDescent="0.35">
      <c r="A5690" s="58" t="s">
        <v>360</v>
      </c>
      <c r="B5690" s="58" t="s">
        <v>176</v>
      </c>
      <c r="C5690" s="58">
        <v>10</v>
      </c>
      <c r="D5690" s="58">
        <v>113</v>
      </c>
      <c r="E5690" s="59">
        <v>18.5</v>
      </c>
    </row>
    <row r="5691" spans="1:5" ht="15" x14ac:dyDescent="0.35">
      <c r="A5691" s="58" t="s">
        <v>360</v>
      </c>
      <c r="B5691" s="58" t="s">
        <v>176</v>
      </c>
      <c r="C5691" s="58">
        <v>11</v>
      </c>
      <c r="D5691" s="58">
        <v>114</v>
      </c>
      <c r="E5691" s="59">
        <v>18.5</v>
      </c>
    </row>
    <row r="5692" spans="1:5" ht="15" x14ac:dyDescent="0.35">
      <c r="A5692" s="58" t="s">
        <v>360</v>
      </c>
      <c r="B5692" s="58" t="s">
        <v>176</v>
      </c>
      <c r="C5692" s="58">
        <v>12</v>
      </c>
      <c r="D5692" s="58">
        <v>115</v>
      </c>
      <c r="E5692" s="59">
        <v>18.5</v>
      </c>
    </row>
    <row r="5693" spans="1:5" ht="15" x14ac:dyDescent="0.35">
      <c r="A5693" s="58" t="s">
        <v>360</v>
      </c>
      <c r="B5693" s="58" t="s">
        <v>172</v>
      </c>
      <c r="C5693" s="58">
        <v>1</v>
      </c>
      <c r="D5693" s="58">
        <v>104</v>
      </c>
      <c r="E5693" s="59">
        <v>3</v>
      </c>
    </row>
    <row r="5694" spans="1:5" ht="15" x14ac:dyDescent="0.35">
      <c r="A5694" s="58" t="s">
        <v>360</v>
      </c>
      <c r="B5694" s="58" t="s">
        <v>172</v>
      </c>
      <c r="C5694" s="58">
        <v>2</v>
      </c>
      <c r="D5694" s="58">
        <v>105</v>
      </c>
      <c r="E5694" s="59">
        <v>3</v>
      </c>
    </row>
    <row r="5695" spans="1:5" ht="15" x14ac:dyDescent="0.35">
      <c r="A5695" s="58" t="s">
        <v>360</v>
      </c>
      <c r="B5695" s="58" t="s">
        <v>172</v>
      </c>
      <c r="C5695" s="58">
        <v>3</v>
      </c>
      <c r="D5695" s="58">
        <v>106</v>
      </c>
      <c r="E5695" s="59">
        <v>3</v>
      </c>
    </row>
    <row r="5696" spans="1:5" ht="15" x14ac:dyDescent="0.35">
      <c r="A5696" s="58" t="s">
        <v>360</v>
      </c>
      <c r="B5696" s="58" t="s">
        <v>172</v>
      </c>
      <c r="C5696" s="58">
        <v>4</v>
      </c>
      <c r="D5696" s="58">
        <v>107</v>
      </c>
      <c r="E5696" s="59">
        <v>3</v>
      </c>
    </row>
    <row r="5697" spans="1:5" ht="15" x14ac:dyDescent="0.35">
      <c r="A5697" s="58" t="s">
        <v>360</v>
      </c>
      <c r="B5697" s="58" t="s">
        <v>172</v>
      </c>
      <c r="C5697" s="58">
        <v>5</v>
      </c>
      <c r="D5697" s="58">
        <v>108</v>
      </c>
      <c r="E5697" s="59">
        <v>3</v>
      </c>
    </row>
    <row r="5698" spans="1:5" ht="15" x14ac:dyDescent="0.35">
      <c r="A5698" s="58" t="s">
        <v>360</v>
      </c>
      <c r="B5698" s="58" t="s">
        <v>172</v>
      </c>
      <c r="C5698" s="58">
        <v>6</v>
      </c>
      <c r="D5698" s="58">
        <v>109</v>
      </c>
      <c r="E5698" s="59">
        <v>3</v>
      </c>
    </row>
    <row r="5699" spans="1:5" ht="15" x14ac:dyDescent="0.35">
      <c r="A5699" s="58" t="s">
        <v>360</v>
      </c>
      <c r="B5699" s="58" t="s">
        <v>172</v>
      </c>
      <c r="C5699" s="58">
        <v>7</v>
      </c>
      <c r="D5699" s="58">
        <v>110</v>
      </c>
      <c r="E5699" s="59">
        <v>3</v>
      </c>
    </row>
    <row r="5700" spans="1:5" ht="15" x14ac:dyDescent="0.35">
      <c r="A5700" s="58" t="s">
        <v>360</v>
      </c>
      <c r="B5700" s="58" t="s">
        <v>172</v>
      </c>
      <c r="C5700" s="58">
        <v>8</v>
      </c>
      <c r="D5700" s="58">
        <v>111</v>
      </c>
      <c r="E5700" s="59">
        <v>3</v>
      </c>
    </row>
    <row r="5701" spans="1:5" ht="15" x14ac:dyDescent="0.35">
      <c r="A5701" s="58" t="s">
        <v>360</v>
      </c>
      <c r="B5701" s="58" t="s">
        <v>172</v>
      </c>
      <c r="C5701" s="58">
        <v>9</v>
      </c>
      <c r="D5701" s="58">
        <v>112</v>
      </c>
      <c r="E5701" s="59">
        <v>3</v>
      </c>
    </row>
    <row r="5702" spans="1:5" ht="15" x14ac:dyDescent="0.35">
      <c r="A5702" s="58" t="s">
        <v>360</v>
      </c>
      <c r="B5702" s="58" t="s">
        <v>172</v>
      </c>
      <c r="C5702" s="58">
        <v>10</v>
      </c>
      <c r="D5702" s="58">
        <v>113</v>
      </c>
      <c r="E5702" s="59">
        <v>3</v>
      </c>
    </row>
    <row r="5703" spans="1:5" ht="15" x14ac:dyDescent="0.35">
      <c r="A5703" s="58" t="s">
        <v>360</v>
      </c>
      <c r="B5703" s="58" t="s">
        <v>172</v>
      </c>
      <c r="C5703" s="58">
        <v>11</v>
      </c>
      <c r="D5703" s="58">
        <v>114</v>
      </c>
      <c r="E5703" s="59">
        <v>3</v>
      </c>
    </row>
    <row r="5704" spans="1:5" ht="15" x14ac:dyDescent="0.35">
      <c r="A5704" s="58" t="s">
        <v>360</v>
      </c>
      <c r="B5704" s="58" t="s">
        <v>172</v>
      </c>
      <c r="C5704" s="58">
        <v>12</v>
      </c>
      <c r="D5704" s="58">
        <v>115</v>
      </c>
      <c r="E5704" s="59">
        <v>3</v>
      </c>
    </row>
    <row r="5705" spans="1:5" ht="15" x14ac:dyDescent="0.35">
      <c r="A5705" s="58" t="s">
        <v>360</v>
      </c>
      <c r="B5705" s="58" t="s">
        <v>180</v>
      </c>
      <c r="C5705" s="58">
        <v>1</v>
      </c>
      <c r="D5705" s="58">
        <v>104</v>
      </c>
      <c r="E5705" s="59">
        <v>40.1721</v>
      </c>
    </row>
    <row r="5706" spans="1:5" ht="15" x14ac:dyDescent="0.35">
      <c r="A5706" s="58" t="s">
        <v>360</v>
      </c>
      <c r="B5706" s="58" t="s">
        <v>180</v>
      </c>
      <c r="C5706" s="58">
        <v>2</v>
      </c>
      <c r="D5706" s="58">
        <v>105</v>
      </c>
      <c r="E5706" s="59">
        <v>40.1721</v>
      </c>
    </row>
    <row r="5707" spans="1:5" ht="15" x14ac:dyDescent="0.35">
      <c r="A5707" s="58" t="s">
        <v>360</v>
      </c>
      <c r="B5707" s="58" t="s">
        <v>180</v>
      </c>
      <c r="C5707" s="58">
        <v>3</v>
      </c>
      <c r="D5707" s="58">
        <v>106</v>
      </c>
      <c r="E5707" s="59">
        <v>40.1721</v>
      </c>
    </row>
    <row r="5708" spans="1:5" ht="15" x14ac:dyDescent="0.35">
      <c r="A5708" s="58" t="s">
        <v>360</v>
      </c>
      <c r="B5708" s="58" t="s">
        <v>180</v>
      </c>
      <c r="C5708" s="58">
        <v>4</v>
      </c>
      <c r="D5708" s="58">
        <v>107</v>
      </c>
      <c r="E5708" s="59">
        <v>40.1721</v>
      </c>
    </row>
    <row r="5709" spans="1:5" ht="15" x14ac:dyDescent="0.35">
      <c r="A5709" s="58" t="s">
        <v>360</v>
      </c>
      <c r="B5709" s="58" t="s">
        <v>180</v>
      </c>
      <c r="C5709" s="58">
        <v>5</v>
      </c>
      <c r="D5709" s="58">
        <v>108</v>
      </c>
      <c r="E5709" s="59">
        <v>40.1721</v>
      </c>
    </row>
    <row r="5710" spans="1:5" ht="15" x14ac:dyDescent="0.35">
      <c r="A5710" s="58" t="s">
        <v>360</v>
      </c>
      <c r="B5710" s="58" t="s">
        <v>180</v>
      </c>
      <c r="C5710" s="58">
        <v>6</v>
      </c>
      <c r="D5710" s="58">
        <v>109</v>
      </c>
      <c r="E5710" s="59">
        <v>40.1721</v>
      </c>
    </row>
    <row r="5711" spans="1:5" ht="15" x14ac:dyDescent="0.35">
      <c r="A5711" s="58" t="s">
        <v>360</v>
      </c>
      <c r="B5711" s="58" t="s">
        <v>180</v>
      </c>
      <c r="C5711" s="58">
        <v>7</v>
      </c>
      <c r="D5711" s="58">
        <v>110</v>
      </c>
      <c r="E5711" s="59">
        <v>40.1721</v>
      </c>
    </row>
    <row r="5712" spans="1:5" ht="15" x14ac:dyDescent="0.35">
      <c r="A5712" s="58" t="s">
        <v>360</v>
      </c>
      <c r="B5712" s="58" t="s">
        <v>180</v>
      </c>
      <c r="C5712" s="58">
        <v>8</v>
      </c>
      <c r="D5712" s="58">
        <v>111</v>
      </c>
      <c r="E5712" s="59">
        <v>40.1721</v>
      </c>
    </row>
    <row r="5713" spans="1:5" ht="15" x14ac:dyDescent="0.35">
      <c r="A5713" s="58" t="s">
        <v>360</v>
      </c>
      <c r="B5713" s="58" t="s">
        <v>180</v>
      </c>
      <c r="C5713" s="58">
        <v>9</v>
      </c>
      <c r="D5713" s="58">
        <v>112</v>
      </c>
      <c r="E5713" s="59">
        <v>40.1721</v>
      </c>
    </row>
    <row r="5714" spans="1:5" ht="15" x14ac:dyDescent="0.35">
      <c r="A5714" s="58" t="s">
        <v>360</v>
      </c>
      <c r="B5714" s="58" t="s">
        <v>180</v>
      </c>
      <c r="C5714" s="58">
        <v>10</v>
      </c>
      <c r="D5714" s="58">
        <v>113</v>
      </c>
      <c r="E5714" s="59">
        <v>40.1721</v>
      </c>
    </row>
    <row r="5715" spans="1:5" ht="15" x14ac:dyDescent="0.35">
      <c r="A5715" s="58" t="s">
        <v>360</v>
      </c>
      <c r="B5715" s="58" t="s">
        <v>180</v>
      </c>
      <c r="C5715" s="58">
        <v>11</v>
      </c>
      <c r="D5715" s="58">
        <v>114</v>
      </c>
      <c r="E5715" s="59">
        <v>40.1721</v>
      </c>
    </row>
    <row r="5716" spans="1:5" ht="15" x14ac:dyDescent="0.35">
      <c r="A5716" s="58" t="s">
        <v>360</v>
      </c>
      <c r="B5716" s="58" t="s">
        <v>180</v>
      </c>
      <c r="C5716" s="58">
        <v>12</v>
      </c>
      <c r="D5716" s="58">
        <v>115</v>
      </c>
      <c r="E5716" s="59">
        <v>40.1721</v>
      </c>
    </row>
    <row r="5717" spans="1:5" ht="15" x14ac:dyDescent="0.35">
      <c r="A5717" s="58" t="s">
        <v>293</v>
      </c>
      <c r="B5717" s="58" t="s">
        <v>182</v>
      </c>
      <c r="C5717" s="58">
        <v>1</v>
      </c>
      <c r="D5717" s="58">
        <v>104</v>
      </c>
      <c r="E5717" s="59">
        <v>40.225499999999997</v>
      </c>
    </row>
    <row r="5718" spans="1:5" ht="15" x14ac:dyDescent="0.35">
      <c r="A5718" s="58" t="s">
        <v>293</v>
      </c>
      <c r="B5718" s="58" t="s">
        <v>182</v>
      </c>
      <c r="C5718" s="58">
        <v>2</v>
      </c>
      <c r="D5718" s="58">
        <v>105</v>
      </c>
      <c r="E5718" s="59">
        <v>91.403199999999998</v>
      </c>
    </row>
    <row r="5719" spans="1:5" ht="15" x14ac:dyDescent="0.35">
      <c r="A5719" s="58" t="s">
        <v>293</v>
      </c>
      <c r="B5719" s="58" t="s">
        <v>182</v>
      </c>
      <c r="C5719" s="58">
        <v>3</v>
      </c>
      <c r="D5719" s="58">
        <v>106</v>
      </c>
      <c r="E5719" s="59">
        <v>81.336600000000004</v>
      </c>
    </row>
    <row r="5720" spans="1:5" ht="15" x14ac:dyDescent="0.35">
      <c r="A5720" s="58" t="s">
        <v>293</v>
      </c>
      <c r="B5720" s="58" t="s">
        <v>182</v>
      </c>
      <c r="C5720" s="58">
        <v>4</v>
      </c>
      <c r="D5720" s="58">
        <v>107</v>
      </c>
      <c r="E5720" s="59">
        <v>78.717500000000001</v>
      </c>
    </row>
    <row r="5721" spans="1:5" ht="15" x14ac:dyDescent="0.35">
      <c r="A5721" s="58" t="s">
        <v>293</v>
      </c>
      <c r="B5721" s="58" t="s">
        <v>182</v>
      </c>
      <c r="C5721" s="58">
        <v>5</v>
      </c>
      <c r="D5721" s="58">
        <v>108</v>
      </c>
      <c r="E5721" s="59">
        <v>72.753200000000007</v>
      </c>
    </row>
    <row r="5722" spans="1:5" ht="15" x14ac:dyDescent="0.35">
      <c r="A5722" s="58" t="s">
        <v>293</v>
      </c>
      <c r="B5722" s="58" t="s">
        <v>182</v>
      </c>
      <c r="C5722" s="58">
        <v>6</v>
      </c>
      <c r="D5722" s="58">
        <v>109</v>
      </c>
      <c r="E5722" s="59">
        <v>92.558800000000005</v>
      </c>
    </row>
    <row r="5723" spans="1:5" ht="15" x14ac:dyDescent="0.35">
      <c r="A5723" s="58" t="s">
        <v>293</v>
      </c>
      <c r="B5723" s="58" t="s">
        <v>182</v>
      </c>
      <c r="C5723" s="58">
        <v>7</v>
      </c>
      <c r="D5723" s="58">
        <v>110</v>
      </c>
      <c r="E5723" s="59">
        <v>90.447699999999998</v>
      </c>
    </row>
    <row r="5724" spans="1:5" ht="15" x14ac:dyDescent="0.35">
      <c r="A5724" s="58" t="s">
        <v>293</v>
      </c>
      <c r="B5724" s="58" t="s">
        <v>182</v>
      </c>
      <c r="C5724" s="58">
        <v>8</v>
      </c>
      <c r="D5724" s="58">
        <v>111</v>
      </c>
      <c r="E5724" s="59">
        <v>83.114400000000003</v>
      </c>
    </row>
    <row r="5725" spans="1:5" ht="15" x14ac:dyDescent="0.35">
      <c r="A5725" s="58" t="s">
        <v>293</v>
      </c>
      <c r="B5725" s="58" t="s">
        <v>182</v>
      </c>
      <c r="C5725" s="58">
        <v>9</v>
      </c>
      <c r="D5725" s="58">
        <v>112</v>
      </c>
      <c r="E5725" s="59">
        <v>97.892099999999999</v>
      </c>
    </row>
    <row r="5726" spans="1:5" ht="15" x14ac:dyDescent="0.35">
      <c r="A5726" s="58" t="s">
        <v>293</v>
      </c>
      <c r="B5726" s="58" t="s">
        <v>182</v>
      </c>
      <c r="C5726" s="58">
        <v>10</v>
      </c>
      <c r="D5726" s="58">
        <v>113</v>
      </c>
      <c r="E5726" s="59">
        <v>102.6699</v>
      </c>
    </row>
    <row r="5727" spans="1:5" ht="15" x14ac:dyDescent="0.35">
      <c r="A5727" s="58" t="s">
        <v>293</v>
      </c>
      <c r="B5727" s="58" t="s">
        <v>182</v>
      </c>
      <c r="C5727" s="58">
        <v>11</v>
      </c>
      <c r="D5727" s="58">
        <v>114</v>
      </c>
      <c r="E5727" s="59">
        <v>96.003200000000007</v>
      </c>
    </row>
    <row r="5728" spans="1:5" ht="15" x14ac:dyDescent="0.35">
      <c r="A5728" s="58" t="s">
        <v>293</v>
      </c>
      <c r="B5728" s="58" t="s">
        <v>182</v>
      </c>
      <c r="C5728" s="58">
        <v>12</v>
      </c>
      <c r="D5728" s="58">
        <v>115</v>
      </c>
      <c r="E5728" s="59">
        <v>118.8921</v>
      </c>
    </row>
    <row r="5729" spans="1:5" ht="15" x14ac:dyDescent="0.35">
      <c r="A5729" s="58" t="s">
        <v>293</v>
      </c>
      <c r="B5729" s="58" t="s">
        <v>176</v>
      </c>
      <c r="C5729" s="58">
        <v>1</v>
      </c>
      <c r="D5729" s="58">
        <v>104</v>
      </c>
      <c r="E5729" s="59">
        <v>39.875</v>
      </c>
    </row>
    <row r="5730" spans="1:5" ht="15" x14ac:dyDescent="0.35">
      <c r="A5730" s="58" t="s">
        <v>293</v>
      </c>
      <c r="B5730" s="58" t="s">
        <v>176</v>
      </c>
      <c r="C5730" s="58">
        <v>2</v>
      </c>
      <c r="D5730" s="58">
        <v>105</v>
      </c>
      <c r="E5730" s="59">
        <v>39.875</v>
      </c>
    </row>
    <row r="5731" spans="1:5" ht="15" x14ac:dyDescent="0.35">
      <c r="A5731" s="58" t="s">
        <v>293</v>
      </c>
      <c r="B5731" s="58" t="s">
        <v>176</v>
      </c>
      <c r="C5731" s="58">
        <v>3</v>
      </c>
      <c r="D5731" s="58">
        <v>106</v>
      </c>
      <c r="E5731" s="59">
        <v>39.875</v>
      </c>
    </row>
    <row r="5732" spans="1:5" ht="15" x14ac:dyDescent="0.35">
      <c r="A5732" s="58" t="s">
        <v>293</v>
      </c>
      <c r="B5732" s="58" t="s">
        <v>176</v>
      </c>
      <c r="C5732" s="58">
        <v>4</v>
      </c>
      <c r="D5732" s="58">
        <v>107</v>
      </c>
      <c r="E5732" s="59">
        <v>39.875</v>
      </c>
    </row>
    <row r="5733" spans="1:5" ht="15" x14ac:dyDescent="0.35">
      <c r="A5733" s="58" t="s">
        <v>293</v>
      </c>
      <c r="B5733" s="58" t="s">
        <v>176</v>
      </c>
      <c r="C5733" s="58">
        <v>5</v>
      </c>
      <c r="D5733" s="58">
        <v>108</v>
      </c>
      <c r="E5733" s="59">
        <v>39.875</v>
      </c>
    </row>
    <row r="5734" spans="1:5" ht="15" x14ac:dyDescent="0.35">
      <c r="A5734" s="58" t="s">
        <v>293</v>
      </c>
      <c r="B5734" s="58" t="s">
        <v>176</v>
      </c>
      <c r="C5734" s="58">
        <v>6</v>
      </c>
      <c r="D5734" s="58">
        <v>109</v>
      </c>
      <c r="E5734" s="59">
        <v>39.875</v>
      </c>
    </row>
    <row r="5735" spans="1:5" ht="15" x14ac:dyDescent="0.35">
      <c r="A5735" s="58" t="s">
        <v>293</v>
      </c>
      <c r="B5735" s="58" t="s">
        <v>176</v>
      </c>
      <c r="C5735" s="58">
        <v>7</v>
      </c>
      <c r="D5735" s="58">
        <v>110</v>
      </c>
      <c r="E5735" s="59">
        <v>39.875</v>
      </c>
    </row>
    <row r="5736" spans="1:5" ht="15" x14ac:dyDescent="0.35">
      <c r="A5736" s="58" t="s">
        <v>293</v>
      </c>
      <c r="B5736" s="58" t="s">
        <v>176</v>
      </c>
      <c r="C5736" s="58">
        <v>8</v>
      </c>
      <c r="D5736" s="58">
        <v>111</v>
      </c>
      <c r="E5736" s="59">
        <v>39.875</v>
      </c>
    </row>
    <row r="5737" spans="1:5" ht="15" x14ac:dyDescent="0.35">
      <c r="A5737" s="58" t="s">
        <v>293</v>
      </c>
      <c r="B5737" s="58" t="s">
        <v>176</v>
      </c>
      <c r="C5737" s="58">
        <v>9</v>
      </c>
      <c r="D5737" s="58">
        <v>112</v>
      </c>
      <c r="E5737" s="59">
        <v>39.875</v>
      </c>
    </row>
    <row r="5738" spans="1:5" ht="15" x14ac:dyDescent="0.35">
      <c r="A5738" s="58" t="s">
        <v>293</v>
      </c>
      <c r="B5738" s="58" t="s">
        <v>176</v>
      </c>
      <c r="C5738" s="58">
        <v>10</v>
      </c>
      <c r="D5738" s="58">
        <v>113</v>
      </c>
      <c r="E5738" s="59">
        <v>39.875</v>
      </c>
    </row>
    <row r="5739" spans="1:5" ht="15" x14ac:dyDescent="0.35">
      <c r="A5739" s="58" t="s">
        <v>293</v>
      </c>
      <c r="B5739" s="58" t="s">
        <v>176</v>
      </c>
      <c r="C5739" s="58">
        <v>11</v>
      </c>
      <c r="D5739" s="58">
        <v>114</v>
      </c>
      <c r="E5739" s="59">
        <v>39.875</v>
      </c>
    </row>
    <row r="5740" spans="1:5" ht="15" x14ac:dyDescent="0.35">
      <c r="A5740" s="58" t="s">
        <v>293</v>
      </c>
      <c r="B5740" s="58" t="s">
        <v>176</v>
      </c>
      <c r="C5740" s="58">
        <v>12</v>
      </c>
      <c r="D5740" s="58">
        <v>115</v>
      </c>
      <c r="E5740" s="59">
        <v>39.875</v>
      </c>
    </row>
    <row r="5741" spans="1:5" ht="15" x14ac:dyDescent="0.35">
      <c r="A5741" s="58" t="s">
        <v>293</v>
      </c>
      <c r="B5741" s="58" t="s">
        <v>172</v>
      </c>
      <c r="C5741" s="58">
        <v>1</v>
      </c>
      <c r="D5741" s="58">
        <v>104</v>
      </c>
      <c r="E5741" s="59">
        <v>112</v>
      </c>
    </row>
    <row r="5742" spans="1:5" ht="15" x14ac:dyDescent="0.35">
      <c r="A5742" s="58" t="s">
        <v>293</v>
      </c>
      <c r="B5742" s="58" t="s">
        <v>172</v>
      </c>
      <c r="C5742" s="58">
        <v>2</v>
      </c>
      <c r="D5742" s="58">
        <v>105</v>
      </c>
      <c r="E5742" s="59">
        <v>112</v>
      </c>
    </row>
    <row r="5743" spans="1:5" ht="15" x14ac:dyDescent="0.35">
      <c r="A5743" s="58" t="s">
        <v>293</v>
      </c>
      <c r="B5743" s="58" t="s">
        <v>172</v>
      </c>
      <c r="C5743" s="58">
        <v>3</v>
      </c>
      <c r="D5743" s="58">
        <v>106</v>
      </c>
      <c r="E5743" s="59">
        <v>112</v>
      </c>
    </row>
    <row r="5744" spans="1:5" ht="15" x14ac:dyDescent="0.35">
      <c r="A5744" s="58" t="s">
        <v>293</v>
      </c>
      <c r="B5744" s="58" t="s">
        <v>172</v>
      </c>
      <c r="C5744" s="58">
        <v>4</v>
      </c>
      <c r="D5744" s="58">
        <v>107</v>
      </c>
      <c r="E5744" s="59">
        <v>112</v>
      </c>
    </row>
    <row r="5745" spans="1:5" ht="15" x14ac:dyDescent="0.35">
      <c r="A5745" s="58" t="s">
        <v>293</v>
      </c>
      <c r="B5745" s="58" t="s">
        <v>172</v>
      </c>
      <c r="C5745" s="58">
        <v>5</v>
      </c>
      <c r="D5745" s="58">
        <v>108</v>
      </c>
      <c r="E5745" s="59">
        <v>112</v>
      </c>
    </row>
    <row r="5746" spans="1:5" ht="15" x14ac:dyDescent="0.35">
      <c r="A5746" s="58" t="s">
        <v>293</v>
      </c>
      <c r="B5746" s="58" t="s">
        <v>172</v>
      </c>
      <c r="C5746" s="58">
        <v>6</v>
      </c>
      <c r="D5746" s="58">
        <v>109</v>
      </c>
      <c r="E5746" s="59">
        <v>112</v>
      </c>
    </row>
    <row r="5747" spans="1:5" ht="15" x14ac:dyDescent="0.35">
      <c r="A5747" s="58" t="s">
        <v>293</v>
      </c>
      <c r="B5747" s="58" t="s">
        <v>172</v>
      </c>
      <c r="C5747" s="58">
        <v>7</v>
      </c>
      <c r="D5747" s="58">
        <v>110</v>
      </c>
      <c r="E5747" s="59">
        <v>112</v>
      </c>
    </row>
    <row r="5748" spans="1:5" ht="15" x14ac:dyDescent="0.35">
      <c r="A5748" s="58" t="s">
        <v>293</v>
      </c>
      <c r="B5748" s="58" t="s">
        <v>172</v>
      </c>
      <c r="C5748" s="58">
        <v>8</v>
      </c>
      <c r="D5748" s="58">
        <v>111</v>
      </c>
      <c r="E5748" s="59">
        <v>112</v>
      </c>
    </row>
    <row r="5749" spans="1:5" ht="15" x14ac:dyDescent="0.35">
      <c r="A5749" s="58" t="s">
        <v>293</v>
      </c>
      <c r="B5749" s="58" t="s">
        <v>172</v>
      </c>
      <c r="C5749" s="58">
        <v>9</v>
      </c>
      <c r="D5749" s="58">
        <v>112</v>
      </c>
      <c r="E5749" s="59">
        <v>112</v>
      </c>
    </row>
    <row r="5750" spans="1:5" ht="15" x14ac:dyDescent="0.35">
      <c r="A5750" s="58" t="s">
        <v>293</v>
      </c>
      <c r="B5750" s="58" t="s">
        <v>172</v>
      </c>
      <c r="C5750" s="58">
        <v>10</v>
      </c>
      <c r="D5750" s="58">
        <v>113</v>
      </c>
      <c r="E5750" s="59">
        <v>112</v>
      </c>
    </row>
    <row r="5751" spans="1:5" ht="15" x14ac:dyDescent="0.35">
      <c r="A5751" s="58" t="s">
        <v>293</v>
      </c>
      <c r="B5751" s="58" t="s">
        <v>172</v>
      </c>
      <c r="C5751" s="58">
        <v>11</v>
      </c>
      <c r="D5751" s="58">
        <v>114</v>
      </c>
      <c r="E5751" s="59">
        <v>112</v>
      </c>
    </row>
    <row r="5752" spans="1:5" ht="15" x14ac:dyDescent="0.35">
      <c r="A5752" s="58" t="s">
        <v>293</v>
      </c>
      <c r="B5752" s="58" t="s">
        <v>172</v>
      </c>
      <c r="C5752" s="58">
        <v>12</v>
      </c>
      <c r="D5752" s="58">
        <v>115</v>
      </c>
      <c r="E5752" s="59">
        <v>112</v>
      </c>
    </row>
    <row r="5753" spans="1:5" ht="15" x14ac:dyDescent="0.35">
      <c r="A5753" s="58" t="s">
        <v>293</v>
      </c>
      <c r="B5753" s="58" t="s">
        <v>180</v>
      </c>
      <c r="C5753" s="58">
        <v>1</v>
      </c>
      <c r="D5753" s="58">
        <v>104</v>
      </c>
      <c r="E5753" s="59">
        <v>71.900899999999993</v>
      </c>
    </row>
    <row r="5754" spans="1:5" ht="15" x14ac:dyDescent="0.35">
      <c r="A5754" s="58" t="s">
        <v>293</v>
      </c>
      <c r="B5754" s="58" t="s">
        <v>180</v>
      </c>
      <c r="C5754" s="58">
        <v>2</v>
      </c>
      <c r="D5754" s="58">
        <v>105</v>
      </c>
      <c r="E5754" s="59">
        <v>71.900899999999993</v>
      </c>
    </row>
    <row r="5755" spans="1:5" ht="15" x14ac:dyDescent="0.35">
      <c r="A5755" s="58" t="s">
        <v>293</v>
      </c>
      <c r="B5755" s="58" t="s">
        <v>180</v>
      </c>
      <c r="C5755" s="58">
        <v>3</v>
      </c>
      <c r="D5755" s="58">
        <v>106</v>
      </c>
      <c r="E5755" s="59">
        <v>71.900899999999993</v>
      </c>
    </row>
    <row r="5756" spans="1:5" ht="15" x14ac:dyDescent="0.35">
      <c r="A5756" s="58" t="s">
        <v>293</v>
      </c>
      <c r="B5756" s="58" t="s">
        <v>180</v>
      </c>
      <c r="C5756" s="58">
        <v>4</v>
      </c>
      <c r="D5756" s="58">
        <v>107</v>
      </c>
      <c r="E5756" s="59">
        <v>71.900899999999993</v>
      </c>
    </row>
    <row r="5757" spans="1:5" ht="15" x14ac:dyDescent="0.35">
      <c r="A5757" s="58" t="s">
        <v>293</v>
      </c>
      <c r="B5757" s="58" t="s">
        <v>180</v>
      </c>
      <c r="C5757" s="58">
        <v>5</v>
      </c>
      <c r="D5757" s="58">
        <v>108</v>
      </c>
      <c r="E5757" s="59">
        <v>71.900899999999993</v>
      </c>
    </row>
    <row r="5758" spans="1:5" ht="15" x14ac:dyDescent="0.35">
      <c r="A5758" s="58" t="s">
        <v>293</v>
      </c>
      <c r="B5758" s="58" t="s">
        <v>180</v>
      </c>
      <c r="C5758" s="58">
        <v>6</v>
      </c>
      <c r="D5758" s="58">
        <v>109</v>
      </c>
      <c r="E5758" s="59">
        <v>71.900899999999993</v>
      </c>
    </row>
    <row r="5759" spans="1:5" ht="15" x14ac:dyDescent="0.35">
      <c r="A5759" s="58" t="s">
        <v>293</v>
      </c>
      <c r="B5759" s="58" t="s">
        <v>180</v>
      </c>
      <c r="C5759" s="58">
        <v>7</v>
      </c>
      <c r="D5759" s="58">
        <v>110</v>
      </c>
      <c r="E5759" s="59">
        <v>71.900899999999993</v>
      </c>
    </row>
    <row r="5760" spans="1:5" ht="15" x14ac:dyDescent="0.35">
      <c r="A5760" s="58" t="s">
        <v>293</v>
      </c>
      <c r="B5760" s="58" t="s">
        <v>180</v>
      </c>
      <c r="C5760" s="58">
        <v>8</v>
      </c>
      <c r="D5760" s="58">
        <v>111</v>
      </c>
      <c r="E5760" s="59">
        <v>71.900899999999993</v>
      </c>
    </row>
    <row r="5761" spans="1:5" ht="15" x14ac:dyDescent="0.35">
      <c r="A5761" s="58" t="s">
        <v>293</v>
      </c>
      <c r="B5761" s="58" t="s">
        <v>180</v>
      </c>
      <c r="C5761" s="58">
        <v>9</v>
      </c>
      <c r="D5761" s="58">
        <v>112</v>
      </c>
      <c r="E5761" s="59">
        <v>71.900899999999993</v>
      </c>
    </row>
    <row r="5762" spans="1:5" ht="15" x14ac:dyDescent="0.35">
      <c r="A5762" s="58" t="s">
        <v>293</v>
      </c>
      <c r="B5762" s="58" t="s">
        <v>180</v>
      </c>
      <c r="C5762" s="58">
        <v>10</v>
      </c>
      <c r="D5762" s="58">
        <v>113</v>
      </c>
      <c r="E5762" s="59">
        <v>71.900899999999993</v>
      </c>
    </row>
    <row r="5763" spans="1:5" ht="15" x14ac:dyDescent="0.35">
      <c r="A5763" s="58" t="s">
        <v>293</v>
      </c>
      <c r="B5763" s="58" t="s">
        <v>180</v>
      </c>
      <c r="C5763" s="58">
        <v>11</v>
      </c>
      <c r="D5763" s="58">
        <v>114</v>
      </c>
      <c r="E5763" s="59">
        <v>71.900899999999993</v>
      </c>
    </row>
    <row r="5764" spans="1:5" ht="15" x14ac:dyDescent="0.35">
      <c r="A5764" s="58" t="s">
        <v>293</v>
      </c>
      <c r="B5764" s="58" t="s">
        <v>180</v>
      </c>
      <c r="C5764" s="58">
        <v>12</v>
      </c>
      <c r="D5764" s="58">
        <v>115</v>
      </c>
      <c r="E5764" s="59">
        <v>71.900899999999993</v>
      </c>
    </row>
    <row r="5765" spans="1:5" ht="15" x14ac:dyDescent="0.35">
      <c r="A5765" s="58" t="s">
        <v>386</v>
      </c>
      <c r="B5765" s="58" t="s">
        <v>182</v>
      </c>
      <c r="C5765" s="58">
        <v>1</v>
      </c>
      <c r="D5765" s="58">
        <v>104</v>
      </c>
      <c r="E5765" s="59">
        <v>86.620500000000007</v>
      </c>
    </row>
    <row r="5766" spans="1:5" ht="15" x14ac:dyDescent="0.35">
      <c r="A5766" s="58" t="s">
        <v>386</v>
      </c>
      <c r="B5766" s="58" t="s">
        <v>182</v>
      </c>
      <c r="C5766" s="58">
        <v>2</v>
      </c>
      <c r="D5766" s="58">
        <v>105</v>
      </c>
      <c r="E5766" s="59">
        <v>210.90819999999999</v>
      </c>
    </row>
    <row r="5767" spans="1:5" ht="15" x14ac:dyDescent="0.35">
      <c r="A5767" s="58" t="s">
        <v>386</v>
      </c>
      <c r="B5767" s="58" t="s">
        <v>182</v>
      </c>
      <c r="C5767" s="58">
        <v>3</v>
      </c>
      <c r="D5767" s="58">
        <v>106</v>
      </c>
      <c r="E5767" s="59">
        <v>224.66249999999999</v>
      </c>
    </row>
    <row r="5768" spans="1:5" ht="15" x14ac:dyDescent="0.35">
      <c r="A5768" s="58" t="s">
        <v>386</v>
      </c>
      <c r="B5768" s="58" t="s">
        <v>182</v>
      </c>
      <c r="C5768" s="58">
        <v>4</v>
      </c>
      <c r="D5768" s="58">
        <v>107</v>
      </c>
      <c r="E5768" s="59">
        <v>202.30260000000001</v>
      </c>
    </row>
    <row r="5769" spans="1:5" ht="15" x14ac:dyDescent="0.35">
      <c r="A5769" s="58" t="s">
        <v>386</v>
      </c>
      <c r="B5769" s="58" t="s">
        <v>182</v>
      </c>
      <c r="C5769" s="58">
        <v>5</v>
      </c>
      <c r="D5769" s="58">
        <v>108</v>
      </c>
      <c r="E5769" s="59">
        <v>197.74619999999999</v>
      </c>
    </row>
    <row r="5770" spans="1:5" ht="15" x14ac:dyDescent="0.35">
      <c r="A5770" s="58" t="s">
        <v>386</v>
      </c>
      <c r="B5770" s="58" t="s">
        <v>182</v>
      </c>
      <c r="C5770" s="58">
        <v>6</v>
      </c>
      <c r="D5770" s="58">
        <v>109</v>
      </c>
      <c r="E5770" s="59">
        <v>176.3922</v>
      </c>
    </row>
    <row r="5771" spans="1:5" ht="15" x14ac:dyDescent="0.35">
      <c r="A5771" s="58" t="s">
        <v>386</v>
      </c>
      <c r="B5771" s="58" t="s">
        <v>182</v>
      </c>
      <c r="C5771" s="58">
        <v>7</v>
      </c>
      <c r="D5771" s="58">
        <v>110</v>
      </c>
      <c r="E5771" s="59">
        <v>226.1909</v>
      </c>
    </row>
    <row r="5772" spans="1:5" ht="15" x14ac:dyDescent="0.35">
      <c r="A5772" s="58" t="s">
        <v>386</v>
      </c>
      <c r="B5772" s="58" t="s">
        <v>182</v>
      </c>
      <c r="C5772" s="58">
        <v>8</v>
      </c>
      <c r="D5772" s="58">
        <v>111</v>
      </c>
      <c r="E5772" s="59">
        <v>299.5453</v>
      </c>
    </row>
    <row r="5773" spans="1:5" ht="15" x14ac:dyDescent="0.35">
      <c r="A5773" s="58" t="s">
        <v>386</v>
      </c>
      <c r="B5773" s="58" t="s">
        <v>182</v>
      </c>
      <c r="C5773" s="58">
        <v>9</v>
      </c>
      <c r="D5773" s="58">
        <v>112</v>
      </c>
      <c r="E5773" s="59">
        <v>345.7885</v>
      </c>
    </row>
    <row r="5774" spans="1:5" ht="15" x14ac:dyDescent="0.35">
      <c r="A5774" s="58" t="s">
        <v>386</v>
      </c>
      <c r="B5774" s="58" t="s">
        <v>182</v>
      </c>
      <c r="C5774" s="58">
        <v>10</v>
      </c>
      <c r="D5774" s="58">
        <v>113</v>
      </c>
      <c r="E5774" s="59">
        <v>364.80950000000001</v>
      </c>
    </row>
    <row r="5775" spans="1:5" ht="15" x14ac:dyDescent="0.35">
      <c r="A5775" s="58" t="s">
        <v>386</v>
      </c>
      <c r="B5775" s="58" t="s">
        <v>182</v>
      </c>
      <c r="C5775" s="58">
        <v>11</v>
      </c>
      <c r="D5775" s="58">
        <v>114</v>
      </c>
      <c r="E5775" s="59">
        <v>259.71940000000001</v>
      </c>
    </row>
    <row r="5776" spans="1:5" ht="15" x14ac:dyDescent="0.35">
      <c r="A5776" s="58" t="s">
        <v>386</v>
      </c>
      <c r="B5776" s="58" t="s">
        <v>182</v>
      </c>
      <c r="C5776" s="58">
        <v>12</v>
      </c>
      <c r="D5776" s="58">
        <v>115</v>
      </c>
      <c r="E5776" s="59">
        <v>259.85149999999999</v>
      </c>
    </row>
    <row r="5777" spans="1:5" ht="15" x14ac:dyDescent="0.35">
      <c r="A5777" s="58" t="s">
        <v>386</v>
      </c>
      <c r="B5777" s="58" t="s">
        <v>176</v>
      </c>
      <c r="C5777" s="58">
        <v>1</v>
      </c>
      <c r="D5777" s="58">
        <v>104</v>
      </c>
      <c r="E5777" s="59">
        <v>155.25</v>
      </c>
    </row>
    <row r="5778" spans="1:5" ht="15" x14ac:dyDescent="0.35">
      <c r="A5778" s="58" t="s">
        <v>386</v>
      </c>
      <c r="B5778" s="58" t="s">
        <v>176</v>
      </c>
      <c r="C5778" s="58">
        <v>2</v>
      </c>
      <c r="D5778" s="58">
        <v>105</v>
      </c>
      <c r="E5778" s="59">
        <v>155.25</v>
      </c>
    </row>
    <row r="5779" spans="1:5" ht="15" x14ac:dyDescent="0.35">
      <c r="A5779" s="58" t="s">
        <v>386</v>
      </c>
      <c r="B5779" s="58" t="s">
        <v>176</v>
      </c>
      <c r="C5779" s="58">
        <v>3</v>
      </c>
      <c r="D5779" s="58">
        <v>106</v>
      </c>
      <c r="E5779" s="59">
        <v>155.25</v>
      </c>
    </row>
    <row r="5780" spans="1:5" ht="15" x14ac:dyDescent="0.35">
      <c r="A5780" s="58" t="s">
        <v>386</v>
      </c>
      <c r="B5780" s="58" t="s">
        <v>176</v>
      </c>
      <c r="C5780" s="58">
        <v>4</v>
      </c>
      <c r="D5780" s="58">
        <v>107</v>
      </c>
      <c r="E5780" s="59">
        <v>155.25</v>
      </c>
    </row>
    <row r="5781" spans="1:5" ht="15" x14ac:dyDescent="0.35">
      <c r="A5781" s="58" t="s">
        <v>386</v>
      </c>
      <c r="B5781" s="58" t="s">
        <v>176</v>
      </c>
      <c r="C5781" s="58">
        <v>5</v>
      </c>
      <c r="D5781" s="58">
        <v>108</v>
      </c>
      <c r="E5781" s="59">
        <v>155.25</v>
      </c>
    </row>
    <row r="5782" spans="1:5" ht="15" x14ac:dyDescent="0.35">
      <c r="A5782" s="58" t="s">
        <v>386</v>
      </c>
      <c r="B5782" s="58" t="s">
        <v>176</v>
      </c>
      <c r="C5782" s="58">
        <v>6</v>
      </c>
      <c r="D5782" s="58">
        <v>109</v>
      </c>
      <c r="E5782" s="59">
        <v>155.25</v>
      </c>
    </row>
    <row r="5783" spans="1:5" ht="15" x14ac:dyDescent="0.35">
      <c r="A5783" s="58" t="s">
        <v>386</v>
      </c>
      <c r="B5783" s="58" t="s">
        <v>176</v>
      </c>
      <c r="C5783" s="58">
        <v>7</v>
      </c>
      <c r="D5783" s="58">
        <v>110</v>
      </c>
      <c r="E5783" s="59">
        <v>155.25</v>
      </c>
    </row>
    <row r="5784" spans="1:5" ht="15" x14ac:dyDescent="0.35">
      <c r="A5784" s="58" t="s">
        <v>386</v>
      </c>
      <c r="B5784" s="58" t="s">
        <v>176</v>
      </c>
      <c r="C5784" s="58">
        <v>8</v>
      </c>
      <c r="D5784" s="58">
        <v>111</v>
      </c>
      <c r="E5784" s="59">
        <v>155.25</v>
      </c>
    </row>
    <row r="5785" spans="1:5" ht="15" x14ac:dyDescent="0.35">
      <c r="A5785" s="58" t="s">
        <v>386</v>
      </c>
      <c r="B5785" s="58" t="s">
        <v>176</v>
      </c>
      <c r="C5785" s="58">
        <v>9</v>
      </c>
      <c r="D5785" s="58">
        <v>112</v>
      </c>
      <c r="E5785" s="59">
        <v>155.25</v>
      </c>
    </row>
    <row r="5786" spans="1:5" ht="15" x14ac:dyDescent="0.35">
      <c r="A5786" s="58" t="s">
        <v>386</v>
      </c>
      <c r="B5786" s="58" t="s">
        <v>176</v>
      </c>
      <c r="C5786" s="58">
        <v>10</v>
      </c>
      <c r="D5786" s="58">
        <v>113</v>
      </c>
      <c r="E5786" s="59">
        <v>155.25</v>
      </c>
    </row>
    <row r="5787" spans="1:5" ht="15" x14ac:dyDescent="0.35">
      <c r="A5787" s="58" t="s">
        <v>386</v>
      </c>
      <c r="B5787" s="58" t="s">
        <v>176</v>
      </c>
      <c r="C5787" s="58">
        <v>11</v>
      </c>
      <c r="D5787" s="58">
        <v>114</v>
      </c>
      <c r="E5787" s="59">
        <v>155.25</v>
      </c>
    </row>
    <row r="5788" spans="1:5" ht="15" x14ac:dyDescent="0.35">
      <c r="A5788" s="58" t="s">
        <v>386</v>
      </c>
      <c r="B5788" s="58" t="s">
        <v>176</v>
      </c>
      <c r="C5788" s="58">
        <v>12</v>
      </c>
      <c r="D5788" s="58">
        <v>115</v>
      </c>
      <c r="E5788" s="59">
        <v>155.25</v>
      </c>
    </row>
    <row r="5789" spans="1:5" ht="15" x14ac:dyDescent="0.35">
      <c r="A5789" s="58" t="s">
        <v>386</v>
      </c>
      <c r="B5789" s="58" t="s">
        <v>172</v>
      </c>
      <c r="C5789" s="58">
        <v>1</v>
      </c>
      <c r="D5789" s="58">
        <v>104</v>
      </c>
      <c r="E5789" s="59">
        <v>60</v>
      </c>
    </row>
    <row r="5790" spans="1:5" ht="15" x14ac:dyDescent="0.35">
      <c r="A5790" s="58" t="s">
        <v>386</v>
      </c>
      <c r="B5790" s="58" t="s">
        <v>172</v>
      </c>
      <c r="C5790" s="58">
        <v>2</v>
      </c>
      <c r="D5790" s="58">
        <v>105</v>
      </c>
      <c r="E5790" s="59">
        <v>60</v>
      </c>
    </row>
    <row r="5791" spans="1:5" ht="15" x14ac:dyDescent="0.35">
      <c r="A5791" s="58" t="s">
        <v>386</v>
      </c>
      <c r="B5791" s="58" t="s">
        <v>172</v>
      </c>
      <c r="C5791" s="58">
        <v>3</v>
      </c>
      <c r="D5791" s="58">
        <v>106</v>
      </c>
      <c r="E5791" s="59">
        <v>60</v>
      </c>
    </row>
    <row r="5792" spans="1:5" ht="15" x14ac:dyDescent="0.35">
      <c r="A5792" s="58" t="s">
        <v>386</v>
      </c>
      <c r="B5792" s="58" t="s">
        <v>172</v>
      </c>
      <c r="C5792" s="58">
        <v>4</v>
      </c>
      <c r="D5792" s="58">
        <v>107</v>
      </c>
      <c r="E5792" s="59">
        <v>60</v>
      </c>
    </row>
    <row r="5793" spans="1:5" ht="15" x14ac:dyDescent="0.35">
      <c r="A5793" s="58" t="s">
        <v>386</v>
      </c>
      <c r="B5793" s="58" t="s">
        <v>172</v>
      </c>
      <c r="C5793" s="58">
        <v>5</v>
      </c>
      <c r="D5793" s="58">
        <v>108</v>
      </c>
      <c r="E5793" s="59">
        <v>60</v>
      </c>
    </row>
    <row r="5794" spans="1:5" ht="15" x14ac:dyDescent="0.35">
      <c r="A5794" s="58" t="s">
        <v>386</v>
      </c>
      <c r="B5794" s="58" t="s">
        <v>172</v>
      </c>
      <c r="C5794" s="58">
        <v>6</v>
      </c>
      <c r="D5794" s="58">
        <v>109</v>
      </c>
      <c r="E5794" s="59">
        <v>60</v>
      </c>
    </row>
    <row r="5795" spans="1:5" ht="15" x14ac:dyDescent="0.35">
      <c r="A5795" s="58" t="s">
        <v>386</v>
      </c>
      <c r="B5795" s="58" t="s">
        <v>172</v>
      </c>
      <c r="C5795" s="58">
        <v>7</v>
      </c>
      <c r="D5795" s="58">
        <v>110</v>
      </c>
      <c r="E5795" s="59">
        <v>60</v>
      </c>
    </row>
    <row r="5796" spans="1:5" ht="15" x14ac:dyDescent="0.35">
      <c r="A5796" s="58" t="s">
        <v>386</v>
      </c>
      <c r="B5796" s="58" t="s">
        <v>172</v>
      </c>
      <c r="C5796" s="58">
        <v>8</v>
      </c>
      <c r="D5796" s="58">
        <v>111</v>
      </c>
      <c r="E5796" s="59">
        <v>60</v>
      </c>
    </row>
    <row r="5797" spans="1:5" ht="15" x14ac:dyDescent="0.35">
      <c r="A5797" s="58" t="s">
        <v>386</v>
      </c>
      <c r="B5797" s="58" t="s">
        <v>172</v>
      </c>
      <c r="C5797" s="58">
        <v>9</v>
      </c>
      <c r="D5797" s="58">
        <v>112</v>
      </c>
      <c r="E5797" s="59">
        <v>60</v>
      </c>
    </row>
    <row r="5798" spans="1:5" ht="15" x14ac:dyDescent="0.35">
      <c r="A5798" s="58" t="s">
        <v>386</v>
      </c>
      <c r="B5798" s="58" t="s">
        <v>172</v>
      </c>
      <c r="C5798" s="58">
        <v>10</v>
      </c>
      <c r="D5798" s="58">
        <v>113</v>
      </c>
      <c r="E5798" s="59">
        <v>60</v>
      </c>
    </row>
    <row r="5799" spans="1:5" ht="15" x14ac:dyDescent="0.35">
      <c r="A5799" s="58" t="s">
        <v>386</v>
      </c>
      <c r="B5799" s="58" t="s">
        <v>172</v>
      </c>
      <c r="C5799" s="58">
        <v>11</v>
      </c>
      <c r="D5799" s="58">
        <v>114</v>
      </c>
      <c r="E5799" s="59">
        <v>60</v>
      </c>
    </row>
    <row r="5800" spans="1:5" ht="15" x14ac:dyDescent="0.35">
      <c r="A5800" s="58" t="s">
        <v>386</v>
      </c>
      <c r="B5800" s="58" t="s">
        <v>172</v>
      </c>
      <c r="C5800" s="58">
        <v>12</v>
      </c>
      <c r="D5800" s="58">
        <v>115</v>
      </c>
      <c r="E5800" s="59">
        <v>60</v>
      </c>
    </row>
    <row r="5801" spans="1:5" ht="15" x14ac:dyDescent="0.35">
      <c r="A5801" s="58" t="s">
        <v>386</v>
      </c>
      <c r="B5801" s="58" t="s">
        <v>180</v>
      </c>
      <c r="C5801" s="58">
        <v>1</v>
      </c>
      <c r="D5801" s="58">
        <v>104</v>
      </c>
      <c r="E5801" s="59">
        <v>184.47120000000001</v>
      </c>
    </row>
    <row r="5802" spans="1:5" ht="15" x14ac:dyDescent="0.35">
      <c r="A5802" s="58" t="s">
        <v>386</v>
      </c>
      <c r="B5802" s="58" t="s">
        <v>180</v>
      </c>
      <c r="C5802" s="58">
        <v>2</v>
      </c>
      <c r="D5802" s="58">
        <v>105</v>
      </c>
      <c r="E5802" s="59">
        <v>184.47120000000001</v>
      </c>
    </row>
    <row r="5803" spans="1:5" ht="15" x14ac:dyDescent="0.35">
      <c r="A5803" s="58" t="s">
        <v>386</v>
      </c>
      <c r="B5803" s="58" t="s">
        <v>180</v>
      </c>
      <c r="C5803" s="58">
        <v>3</v>
      </c>
      <c r="D5803" s="58">
        <v>106</v>
      </c>
      <c r="E5803" s="59">
        <v>184.47120000000001</v>
      </c>
    </row>
    <row r="5804" spans="1:5" ht="15" x14ac:dyDescent="0.35">
      <c r="A5804" s="58" t="s">
        <v>386</v>
      </c>
      <c r="B5804" s="58" t="s">
        <v>180</v>
      </c>
      <c r="C5804" s="58">
        <v>4</v>
      </c>
      <c r="D5804" s="58">
        <v>107</v>
      </c>
      <c r="E5804" s="59">
        <v>184.47120000000001</v>
      </c>
    </row>
    <row r="5805" spans="1:5" ht="15" x14ac:dyDescent="0.35">
      <c r="A5805" s="58" t="s">
        <v>386</v>
      </c>
      <c r="B5805" s="58" t="s">
        <v>180</v>
      </c>
      <c r="C5805" s="58">
        <v>5</v>
      </c>
      <c r="D5805" s="58">
        <v>108</v>
      </c>
      <c r="E5805" s="59">
        <v>184.47120000000001</v>
      </c>
    </row>
    <row r="5806" spans="1:5" ht="15" x14ac:dyDescent="0.35">
      <c r="A5806" s="58" t="s">
        <v>386</v>
      </c>
      <c r="B5806" s="58" t="s">
        <v>180</v>
      </c>
      <c r="C5806" s="58">
        <v>6</v>
      </c>
      <c r="D5806" s="58">
        <v>109</v>
      </c>
      <c r="E5806" s="59">
        <v>184.47120000000001</v>
      </c>
    </row>
    <row r="5807" spans="1:5" ht="15" x14ac:dyDescent="0.35">
      <c r="A5807" s="58" t="s">
        <v>386</v>
      </c>
      <c r="B5807" s="58" t="s">
        <v>180</v>
      </c>
      <c r="C5807" s="58">
        <v>7</v>
      </c>
      <c r="D5807" s="58">
        <v>110</v>
      </c>
      <c r="E5807" s="59">
        <v>184.47120000000001</v>
      </c>
    </row>
    <row r="5808" spans="1:5" ht="15" x14ac:dyDescent="0.35">
      <c r="A5808" s="58" t="s">
        <v>386</v>
      </c>
      <c r="B5808" s="58" t="s">
        <v>180</v>
      </c>
      <c r="C5808" s="58">
        <v>8</v>
      </c>
      <c r="D5808" s="58">
        <v>111</v>
      </c>
      <c r="E5808" s="59">
        <v>184.47120000000001</v>
      </c>
    </row>
    <row r="5809" spans="1:5" ht="15" x14ac:dyDescent="0.35">
      <c r="A5809" s="58" t="s">
        <v>386</v>
      </c>
      <c r="B5809" s="58" t="s">
        <v>180</v>
      </c>
      <c r="C5809" s="58">
        <v>9</v>
      </c>
      <c r="D5809" s="58">
        <v>112</v>
      </c>
      <c r="E5809" s="59">
        <v>184.47120000000001</v>
      </c>
    </row>
    <row r="5810" spans="1:5" ht="15" x14ac:dyDescent="0.35">
      <c r="A5810" s="58" t="s">
        <v>386</v>
      </c>
      <c r="B5810" s="58" t="s">
        <v>180</v>
      </c>
      <c r="C5810" s="58">
        <v>10</v>
      </c>
      <c r="D5810" s="58">
        <v>113</v>
      </c>
      <c r="E5810" s="59">
        <v>184.47120000000001</v>
      </c>
    </row>
    <row r="5811" spans="1:5" ht="15" x14ac:dyDescent="0.35">
      <c r="A5811" s="58" t="s">
        <v>386</v>
      </c>
      <c r="B5811" s="58" t="s">
        <v>180</v>
      </c>
      <c r="C5811" s="58">
        <v>11</v>
      </c>
      <c r="D5811" s="58">
        <v>114</v>
      </c>
      <c r="E5811" s="59">
        <v>184.47120000000001</v>
      </c>
    </row>
    <row r="5812" spans="1:5" ht="15" x14ac:dyDescent="0.35">
      <c r="A5812" s="58" t="s">
        <v>386</v>
      </c>
      <c r="B5812" s="58" t="s">
        <v>180</v>
      </c>
      <c r="C5812" s="58">
        <v>12</v>
      </c>
      <c r="D5812" s="58">
        <v>115</v>
      </c>
      <c r="E5812" s="59">
        <v>184.47120000000001</v>
      </c>
    </row>
    <row r="5813" spans="1:5" ht="15" x14ac:dyDescent="0.35">
      <c r="A5813" s="58" t="s">
        <v>332</v>
      </c>
      <c r="B5813" s="58" t="s">
        <v>182</v>
      </c>
      <c r="C5813" s="58">
        <v>1</v>
      </c>
      <c r="D5813" s="58">
        <v>104</v>
      </c>
      <c r="E5813" s="59">
        <v>205.76779999999999</v>
      </c>
    </row>
    <row r="5814" spans="1:5" ht="15" x14ac:dyDescent="0.35">
      <c r="A5814" s="58" t="s">
        <v>332</v>
      </c>
      <c r="B5814" s="58" t="s">
        <v>182</v>
      </c>
      <c r="C5814" s="58">
        <v>2</v>
      </c>
      <c r="D5814" s="58">
        <v>105</v>
      </c>
      <c r="E5814" s="59">
        <v>58.745600000000003</v>
      </c>
    </row>
    <row r="5815" spans="1:5" ht="15" x14ac:dyDescent="0.35">
      <c r="A5815" s="58" t="s">
        <v>332</v>
      </c>
      <c r="B5815" s="58" t="s">
        <v>182</v>
      </c>
      <c r="C5815" s="58">
        <v>3</v>
      </c>
      <c r="D5815" s="58">
        <v>106</v>
      </c>
      <c r="E5815" s="59">
        <v>42.712200000000003</v>
      </c>
    </row>
    <row r="5816" spans="1:5" ht="15" x14ac:dyDescent="0.35">
      <c r="A5816" s="58" t="s">
        <v>332</v>
      </c>
      <c r="B5816" s="58" t="s">
        <v>182</v>
      </c>
      <c r="C5816" s="58">
        <v>4</v>
      </c>
      <c r="D5816" s="58">
        <v>107</v>
      </c>
      <c r="E5816" s="59">
        <v>32.831299999999999</v>
      </c>
    </row>
    <row r="5817" spans="1:5" ht="15" x14ac:dyDescent="0.35">
      <c r="A5817" s="58" t="s">
        <v>332</v>
      </c>
      <c r="B5817" s="58" t="s">
        <v>182</v>
      </c>
      <c r="C5817" s="58">
        <v>5</v>
      </c>
      <c r="D5817" s="58">
        <v>108</v>
      </c>
      <c r="E5817" s="59">
        <v>23.7956</v>
      </c>
    </row>
    <row r="5818" spans="1:5" ht="15" x14ac:dyDescent="0.35">
      <c r="A5818" s="58" t="s">
        <v>332</v>
      </c>
      <c r="B5818" s="58" t="s">
        <v>182</v>
      </c>
      <c r="C5818" s="58">
        <v>6</v>
      </c>
      <c r="D5818" s="58">
        <v>109</v>
      </c>
      <c r="E5818" s="59">
        <v>16.767800000000001</v>
      </c>
    </row>
    <row r="5819" spans="1:5" ht="15" x14ac:dyDescent="0.35">
      <c r="A5819" s="58" t="s">
        <v>332</v>
      </c>
      <c r="B5819" s="58" t="s">
        <v>182</v>
      </c>
      <c r="C5819" s="58">
        <v>7</v>
      </c>
      <c r="D5819" s="58">
        <v>110</v>
      </c>
      <c r="E5819" s="59">
        <v>0</v>
      </c>
    </row>
    <row r="5820" spans="1:5" ht="15" x14ac:dyDescent="0.35">
      <c r="A5820" s="58" t="s">
        <v>332</v>
      </c>
      <c r="B5820" s="58" t="s">
        <v>182</v>
      </c>
      <c r="C5820" s="58">
        <v>8</v>
      </c>
      <c r="D5820" s="58">
        <v>111</v>
      </c>
      <c r="E5820" s="59">
        <v>0</v>
      </c>
    </row>
    <row r="5821" spans="1:5" ht="15" x14ac:dyDescent="0.35">
      <c r="A5821" s="58" t="s">
        <v>332</v>
      </c>
      <c r="B5821" s="58" t="s">
        <v>182</v>
      </c>
      <c r="C5821" s="58">
        <v>9</v>
      </c>
      <c r="D5821" s="58">
        <v>112</v>
      </c>
      <c r="E5821" s="59">
        <v>0</v>
      </c>
    </row>
    <row r="5822" spans="1:5" ht="15" x14ac:dyDescent="0.35">
      <c r="A5822" s="58" t="s">
        <v>332</v>
      </c>
      <c r="B5822" s="58" t="s">
        <v>182</v>
      </c>
      <c r="C5822" s="58">
        <v>10</v>
      </c>
      <c r="D5822" s="58">
        <v>113</v>
      </c>
      <c r="E5822" s="59">
        <v>0</v>
      </c>
    </row>
    <row r="5823" spans="1:5" ht="15" x14ac:dyDescent="0.35">
      <c r="A5823" s="58" t="s">
        <v>332</v>
      </c>
      <c r="B5823" s="58" t="s">
        <v>182</v>
      </c>
      <c r="C5823" s="58">
        <v>11</v>
      </c>
      <c r="D5823" s="58">
        <v>114</v>
      </c>
      <c r="E5823" s="59">
        <v>0</v>
      </c>
    </row>
    <row r="5824" spans="1:5" ht="15" x14ac:dyDescent="0.35">
      <c r="A5824" s="58" t="s">
        <v>332</v>
      </c>
      <c r="B5824" s="58" t="s">
        <v>182</v>
      </c>
      <c r="C5824" s="58">
        <v>12</v>
      </c>
      <c r="D5824" s="58">
        <v>115</v>
      </c>
      <c r="E5824" s="59">
        <v>0</v>
      </c>
    </row>
    <row r="5825" spans="1:5" ht="15" x14ac:dyDescent="0.35">
      <c r="A5825" s="58" t="s">
        <v>332</v>
      </c>
      <c r="B5825" s="58" t="s">
        <v>176</v>
      </c>
      <c r="C5825" s="58">
        <v>1</v>
      </c>
      <c r="D5825" s="58">
        <v>104</v>
      </c>
      <c r="E5825" s="59">
        <v>218.75</v>
      </c>
    </row>
    <row r="5826" spans="1:5" ht="15" x14ac:dyDescent="0.35">
      <c r="A5826" s="58" t="s">
        <v>332</v>
      </c>
      <c r="B5826" s="58" t="s">
        <v>176</v>
      </c>
      <c r="C5826" s="58">
        <v>2</v>
      </c>
      <c r="D5826" s="58">
        <v>105</v>
      </c>
      <c r="E5826" s="59">
        <v>218.75</v>
      </c>
    </row>
    <row r="5827" spans="1:5" ht="15" x14ac:dyDescent="0.35">
      <c r="A5827" s="58" t="s">
        <v>332</v>
      </c>
      <c r="B5827" s="58" t="s">
        <v>176</v>
      </c>
      <c r="C5827" s="58">
        <v>3</v>
      </c>
      <c r="D5827" s="58">
        <v>106</v>
      </c>
      <c r="E5827" s="59">
        <v>218.75</v>
      </c>
    </row>
    <row r="5828" spans="1:5" ht="15" x14ac:dyDescent="0.35">
      <c r="A5828" s="58" t="s">
        <v>332</v>
      </c>
      <c r="B5828" s="58" t="s">
        <v>176</v>
      </c>
      <c r="C5828" s="58">
        <v>4</v>
      </c>
      <c r="D5828" s="58">
        <v>107</v>
      </c>
      <c r="E5828" s="59">
        <v>218.75</v>
      </c>
    </row>
    <row r="5829" spans="1:5" ht="15" x14ac:dyDescent="0.35">
      <c r="A5829" s="58" t="s">
        <v>332</v>
      </c>
      <c r="B5829" s="58" t="s">
        <v>176</v>
      </c>
      <c r="C5829" s="58">
        <v>5</v>
      </c>
      <c r="D5829" s="58">
        <v>108</v>
      </c>
      <c r="E5829" s="59">
        <v>218.75</v>
      </c>
    </row>
    <row r="5830" spans="1:5" ht="15" x14ac:dyDescent="0.35">
      <c r="A5830" s="58" t="s">
        <v>332</v>
      </c>
      <c r="B5830" s="58" t="s">
        <v>176</v>
      </c>
      <c r="C5830" s="58">
        <v>6</v>
      </c>
      <c r="D5830" s="58">
        <v>109</v>
      </c>
      <c r="E5830" s="59">
        <v>218.75</v>
      </c>
    </row>
    <row r="5831" spans="1:5" ht="15" x14ac:dyDescent="0.35">
      <c r="A5831" s="58" t="s">
        <v>332</v>
      </c>
      <c r="B5831" s="58" t="s">
        <v>176</v>
      </c>
      <c r="C5831" s="58">
        <v>7</v>
      </c>
      <c r="D5831" s="58">
        <v>110</v>
      </c>
      <c r="E5831" s="59">
        <v>218.75</v>
      </c>
    </row>
    <row r="5832" spans="1:5" ht="15" x14ac:dyDescent="0.35">
      <c r="A5832" s="58" t="s">
        <v>332</v>
      </c>
      <c r="B5832" s="58" t="s">
        <v>176</v>
      </c>
      <c r="C5832" s="58">
        <v>8</v>
      </c>
      <c r="D5832" s="58">
        <v>111</v>
      </c>
      <c r="E5832" s="59">
        <v>218.75</v>
      </c>
    </row>
    <row r="5833" spans="1:5" ht="15" x14ac:dyDescent="0.35">
      <c r="A5833" s="58" t="s">
        <v>332</v>
      </c>
      <c r="B5833" s="58" t="s">
        <v>176</v>
      </c>
      <c r="C5833" s="58">
        <v>9</v>
      </c>
      <c r="D5833" s="58">
        <v>112</v>
      </c>
      <c r="E5833" s="59">
        <v>218.75</v>
      </c>
    </row>
    <row r="5834" spans="1:5" ht="15" x14ac:dyDescent="0.35">
      <c r="A5834" s="58" t="s">
        <v>332</v>
      </c>
      <c r="B5834" s="58" t="s">
        <v>176</v>
      </c>
      <c r="C5834" s="58">
        <v>10</v>
      </c>
      <c r="D5834" s="58">
        <v>113</v>
      </c>
      <c r="E5834" s="59">
        <v>218.75</v>
      </c>
    </row>
    <row r="5835" spans="1:5" ht="15" x14ac:dyDescent="0.35">
      <c r="A5835" s="58" t="s">
        <v>332</v>
      </c>
      <c r="B5835" s="58" t="s">
        <v>176</v>
      </c>
      <c r="C5835" s="58">
        <v>11</v>
      </c>
      <c r="D5835" s="58">
        <v>114</v>
      </c>
      <c r="E5835" s="59">
        <v>218.75</v>
      </c>
    </row>
    <row r="5836" spans="1:5" ht="15" x14ac:dyDescent="0.35">
      <c r="A5836" s="58" t="s">
        <v>332</v>
      </c>
      <c r="B5836" s="58" t="s">
        <v>176</v>
      </c>
      <c r="C5836" s="58">
        <v>12</v>
      </c>
      <c r="D5836" s="58">
        <v>115</v>
      </c>
      <c r="E5836" s="59">
        <v>218.75</v>
      </c>
    </row>
    <row r="5837" spans="1:5" ht="15" x14ac:dyDescent="0.35">
      <c r="A5837" s="58" t="s">
        <v>332</v>
      </c>
      <c r="B5837" s="58" t="s">
        <v>172</v>
      </c>
      <c r="C5837" s="58">
        <v>1</v>
      </c>
      <c r="D5837" s="58">
        <v>104</v>
      </c>
      <c r="E5837" s="59">
        <v>526</v>
      </c>
    </row>
    <row r="5838" spans="1:5" ht="15" x14ac:dyDescent="0.35">
      <c r="A5838" s="58" t="s">
        <v>332</v>
      </c>
      <c r="B5838" s="58" t="s">
        <v>172</v>
      </c>
      <c r="C5838" s="58">
        <v>2</v>
      </c>
      <c r="D5838" s="58">
        <v>105</v>
      </c>
      <c r="E5838" s="59">
        <v>526</v>
      </c>
    </row>
    <row r="5839" spans="1:5" ht="15" x14ac:dyDescent="0.35">
      <c r="A5839" s="58" t="s">
        <v>332</v>
      </c>
      <c r="B5839" s="58" t="s">
        <v>172</v>
      </c>
      <c r="C5839" s="58">
        <v>3</v>
      </c>
      <c r="D5839" s="58">
        <v>106</v>
      </c>
      <c r="E5839" s="59">
        <v>526</v>
      </c>
    </row>
    <row r="5840" spans="1:5" ht="15" x14ac:dyDescent="0.35">
      <c r="A5840" s="58" t="s">
        <v>332</v>
      </c>
      <c r="B5840" s="58" t="s">
        <v>172</v>
      </c>
      <c r="C5840" s="58">
        <v>4</v>
      </c>
      <c r="D5840" s="58">
        <v>107</v>
      </c>
      <c r="E5840" s="59">
        <v>526</v>
      </c>
    </row>
    <row r="5841" spans="1:5" ht="15" x14ac:dyDescent="0.35">
      <c r="A5841" s="58" t="s">
        <v>332</v>
      </c>
      <c r="B5841" s="58" t="s">
        <v>172</v>
      </c>
      <c r="C5841" s="58">
        <v>5</v>
      </c>
      <c r="D5841" s="58">
        <v>108</v>
      </c>
      <c r="E5841" s="59">
        <v>526</v>
      </c>
    </row>
    <row r="5842" spans="1:5" ht="15" x14ac:dyDescent="0.35">
      <c r="A5842" s="58" t="s">
        <v>332</v>
      </c>
      <c r="B5842" s="58" t="s">
        <v>172</v>
      </c>
      <c r="C5842" s="58">
        <v>6</v>
      </c>
      <c r="D5842" s="58">
        <v>109</v>
      </c>
      <c r="E5842" s="59">
        <v>526</v>
      </c>
    </row>
    <row r="5843" spans="1:5" ht="15" x14ac:dyDescent="0.35">
      <c r="A5843" s="58" t="s">
        <v>332</v>
      </c>
      <c r="B5843" s="58" t="s">
        <v>172</v>
      </c>
      <c r="C5843" s="58">
        <v>7</v>
      </c>
      <c r="D5843" s="58">
        <v>110</v>
      </c>
      <c r="E5843" s="59">
        <v>526</v>
      </c>
    </row>
    <row r="5844" spans="1:5" ht="15" x14ac:dyDescent="0.35">
      <c r="A5844" s="58" t="s">
        <v>332</v>
      </c>
      <c r="B5844" s="58" t="s">
        <v>172</v>
      </c>
      <c r="C5844" s="58">
        <v>8</v>
      </c>
      <c r="D5844" s="58">
        <v>111</v>
      </c>
      <c r="E5844" s="59">
        <v>526</v>
      </c>
    </row>
    <row r="5845" spans="1:5" ht="15" x14ac:dyDescent="0.35">
      <c r="A5845" s="58" t="s">
        <v>332</v>
      </c>
      <c r="B5845" s="58" t="s">
        <v>172</v>
      </c>
      <c r="C5845" s="58">
        <v>9</v>
      </c>
      <c r="D5845" s="58">
        <v>112</v>
      </c>
      <c r="E5845" s="59">
        <v>526</v>
      </c>
    </row>
    <row r="5846" spans="1:5" ht="15" x14ac:dyDescent="0.35">
      <c r="A5846" s="58" t="s">
        <v>332</v>
      </c>
      <c r="B5846" s="58" t="s">
        <v>172</v>
      </c>
      <c r="C5846" s="58">
        <v>10</v>
      </c>
      <c r="D5846" s="58">
        <v>113</v>
      </c>
      <c r="E5846" s="59">
        <v>526</v>
      </c>
    </row>
    <row r="5847" spans="1:5" ht="15" x14ac:dyDescent="0.35">
      <c r="A5847" s="58" t="s">
        <v>332</v>
      </c>
      <c r="B5847" s="58" t="s">
        <v>172</v>
      </c>
      <c r="C5847" s="58">
        <v>11</v>
      </c>
      <c r="D5847" s="58">
        <v>114</v>
      </c>
      <c r="E5847" s="59">
        <v>526</v>
      </c>
    </row>
    <row r="5848" spans="1:5" ht="15" x14ac:dyDescent="0.35">
      <c r="A5848" s="58" t="s">
        <v>332</v>
      </c>
      <c r="B5848" s="58" t="s">
        <v>172</v>
      </c>
      <c r="C5848" s="58">
        <v>12</v>
      </c>
      <c r="D5848" s="58">
        <v>115</v>
      </c>
      <c r="E5848" s="59">
        <v>526</v>
      </c>
    </row>
    <row r="5849" spans="1:5" ht="15" x14ac:dyDescent="0.35">
      <c r="A5849" s="58" t="s">
        <v>332</v>
      </c>
      <c r="B5849" s="58" t="s">
        <v>180</v>
      </c>
      <c r="C5849" s="58">
        <v>1</v>
      </c>
      <c r="D5849" s="58">
        <v>104</v>
      </c>
      <c r="E5849" s="59">
        <v>329.27719999999999</v>
      </c>
    </row>
    <row r="5850" spans="1:5" ht="15" x14ac:dyDescent="0.35">
      <c r="A5850" s="58" t="s">
        <v>332</v>
      </c>
      <c r="B5850" s="58" t="s">
        <v>180</v>
      </c>
      <c r="C5850" s="58">
        <v>2</v>
      </c>
      <c r="D5850" s="58">
        <v>105</v>
      </c>
      <c r="E5850" s="59">
        <v>329.27719999999999</v>
      </c>
    </row>
    <row r="5851" spans="1:5" ht="15" x14ac:dyDescent="0.35">
      <c r="A5851" s="58" t="s">
        <v>332</v>
      </c>
      <c r="B5851" s="58" t="s">
        <v>180</v>
      </c>
      <c r="C5851" s="58">
        <v>3</v>
      </c>
      <c r="D5851" s="58">
        <v>106</v>
      </c>
      <c r="E5851" s="59">
        <v>329.27719999999999</v>
      </c>
    </row>
    <row r="5852" spans="1:5" ht="15" x14ac:dyDescent="0.35">
      <c r="A5852" s="58" t="s">
        <v>332</v>
      </c>
      <c r="B5852" s="58" t="s">
        <v>180</v>
      </c>
      <c r="C5852" s="58">
        <v>4</v>
      </c>
      <c r="D5852" s="58">
        <v>107</v>
      </c>
      <c r="E5852" s="59">
        <v>329.27719999999999</v>
      </c>
    </row>
    <row r="5853" spans="1:5" ht="15" x14ac:dyDescent="0.35">
      <c r="A5853" s="58" t="s">
        <v>332</v>
      </c>
      <c r="B5853" s="58" t="s">
        <v>180</v>
      </c>
      <c r="C5853" s="58">
        <v>5</v>
      </c>
      <c r="D5853" s="58">
        <v>108</v>
      </c>
      <c r="E5853" s="59">
        <v>329.27719999999999</v>
      </c>
    </row>
    <row r="5854" spans="1:5" ht="15" x14ac:dyDescent="0.35">
      <c r="A5854" s="58" t="s">
        <v>332</v>
      </c>
      <c r="B5854" s="58" t="s">
        <v>180</v>
      </c>
      <c r="C5854" s="58">
        <v>6</v>
      </c>
      <c r="D5854" s="58">
        <v>109</v>
      </c>
      <c r="E5854" s="59">
        <v>329.27719999999999</v>
      </c>
    </row>
    <row r="5855" spans="1:5" ht="15" x14ac:dyDescent="0.35">
      <c r="A5855" s="58" t="s">
        <v>332</v>
      </c>
      <c r="B5855" s="58" t="s">
        <v>180</v>
      </c>
      <c r="C5855" s="58">
        <v>7</v>
      </c>
      <c r="D5855" s="58">
        <v>110</v>
      </c>
      <c r="E5855" s="59">
        <v>329.27719999999999</v>
      </c>
    </row>
    <row r="5856" spans="1:5" ht="15" x14ac:dyDescent="0.35">
      <c r="A5856" s="58" t="s">
        <v>332</v>
      </c>
      <c r="B5856" s="58" t="s">
        <v>180</v>
      </c>
      <c r="C5856" s="58">
        <v>8</v>
      </c>
      <c r="D5856" s="58">
        <v>111</v>
      </c>
      <c r="E5856" s="59">
        <v>329.27719999999999</v>
      </c>
    </row>
    <row r="5857" spans="1:5" ht="15" x14ac:dyDescent="0.35">
      <c r="A5857" s="58" t="s">
        <v>332</v>
      </c>
      <c r="B5857" s="58" t="s">
        <v>180</v>
      </c>
      <c r="C5857" s="58">
        <v>9</v>
      </c>
      <c r="D5857" s="58">
        <v>112</v>
      </c>
      <c r="E5857" s="59">
        <v>329.27719999999999</v>
      </c>
    </row>
    <row r="5858" spans="1:5" ht="15" x14ac:dyDescent="0.35">
      <c r="A5858" s="58" t="s">
        <v>332</v>
      </c>
      <c r="B5858" s="58" t="s">
        <v>180</v>
      </c>
      <c r="C5858" s="58">
        <v>10</v>
      </c>
      <c r="D5858" s="58">
        <v>113</v>
      </c>
      <c r="E5858" s="59">
        <v>329.27719999999999</v>
      </c>
    </row>
    <row r="5859" spans="1:5" ht="15" x14ac:dyDescent="0.35">
      <c r="A5859" s="58" t="s">
        <v>332</v>
      </c>
      <c r="B5859" s="58" t="s">
        <v>180</v>
      </c>
      <c r="C5859" s="58">
        <v>11</v>
      </c>
      <c r="D5859" s="58">
        <v>114</v>
      </c>
      <c r="E5859" s="59">
        <v>329.27719999999999</v>
      </c>
    </row>
    <row r="5860" spans="1:5" ht="15" x14ac:dyDescent="0.35">
      <c r="A5860" s="58" t="s">
        <v>332</v>
      </c>
      <c r="B5860" s="58" t="s">
        <v>180</v>
      </c>
      <c r="C5860" s="58">
        <v>12</v>
      </c>
      <c r="D5860" s="58">
        <v>115</v>
      </c>
      <c r="E5860" s="59">
        <v>329.27719999999999</v>
      </c>
    </row>
    <row r="5861" spans="1:5" ht="15" x14ac:dyDescent="0.35">
      <c r="A5861" s="58" t="s">
        <v>252</v>
      </c>
      <c r="B5861" s="58" t="s">
        <v>182</v>
      </c>
      <c r="C5861" s="58">
        <v>1</v>
      </c>
      <c r="D5861" s="58">
        <v>104</v>
      </c>
      <c r="E5861" s="59">
        <v>459.09210000000002</v>
      </c>
    </row>
    <row r="5862" spans="1:5" ht="15" x14ac:dyDescent="0.35">
      <c r="A5862" s="58" t="s">
        <v>252</v>
      </c>
      <c r="B5862" s="58" t="s">
        <v>182</v>
      </c>
      <c r="C5862" s="58">
        <v>2</v>
      </c>
      <c r="D5862" s="58">
        <v>105</v>
      </c>
      <c r="E5862" s="59">
        <v>185.02549999999999</v>
      </c>
    </row>
    <row r="5863" spans="1:5" ht="15" x14ac:dyDescent="0.35">
      <c r="A5863" s="58" t="s">
        <v>252</v>
      </c>
      <c r="B5863" s="58" t="s">
        <v>182</v>
      </c>
      <c r="C5863" s="58">
        <v>3</v>
      </c>
      <c r="D5863" s="58">
        <v>106</v>
      </c>
      <c r="E5863" s="59">
        <v>176.75880000000001</v>
      </c>
    </row>
    <row r="5864" spans="1:5" ht="15" x14ac:dyDescent="0.35">
      <c r="A5864" s="58" t="s">
        <v>252</v>
      </c>
      <c r="B5864" s="58" t="s">
        <v>182</v>
      </c>
      <c r="C5864" s="58">
        <v>4</v>
      </c>
      <c r="D5864" s="58">
        <v>107</v>
      </c>
      <c r="E5864" s="59">
        <v>167.56829999999999</v>
      </c>
    </row>
    <row r="5865" spans="1:5" ht="15" x14ac:dyDescent="0.35">
      <c r="A5865" s="58" t="s">
        <v>252</v>
      </c>
      <c r="B5865" s="58" t="s">
        <v>182</v>
      </c>
      <c r="C5865" s="58">
        <v>5</v>
      </c>
      <c r="D5865" s="58">
        <v>108</v>
      </c>
      <c r="E5865" s="59">
        <v>160.6755</v>
      </c>
    </row>
    <row r="5866" spans="1:5" ht="15" x14ac:dyDescent="0.35">
      <c r="A5866" s="58" t="s">
        <v>252</v>
      </c>
      <c r="B5866" s="58" t="s">
        <v>182</v>
      </c>
      <c r="C5866" s="58">
        <v>6</v>
      </c>
      <c r="D5866" s="58">
        <v>109</v>
      </c>
      <c r="E5866" s="59">
        <v>157.98099999999999</v>
      </c>
    </row>
    <row r="5867" spans="1:5" ht="15" x14ac:dyDescent="0.35">
      <c r="A5867" s="58" t="s">
        <v>252</v>
      </c>
      <c r="B5867" s="58" t="s">
        <v>182</v>
      </c>
      <c r="C5867" s="58">
        <v>7</v>
      </c>
      <c r="D5867" s="58">
        <v>110</v>
      </c>
      <c r="E5867" s="59">
        <v>138.31440000000001</v>
      </c>
    </row>
    <row r="5868" spans="1:5" ht="15" x14ac:dyDescent="0.35">
      <c r="A5868" s="58" t="s">
        <v>252</v>
      </c>
      <c r="B5868" s="58" t="s">
        <v>182</v>
      </c>
      <c r="C5868" s="58">
        <v>8</v>
      </c>
      <c r="D5868" s="58">
        <v>111</v>
      </c>
      <c r="E5868" s="59">
        <v>119.31440000000001</v>
      </c>
    </row>
    <row r="5869" spans="1:5" ht="15" x14ac:dyDescent="0.35">
      <c r="A5869" s="58" t="s">
        <v>252</v>
      </c>
      <c r="B5869" s="58" t="s">
        <v>182</v>
      </c>
      <c r="C5869" s="58">
        <v>9</v>
      </c>
      <c r="D5869" s="58">
        <v>112</v>
      </c>
      <c r="E5869" s="59">
        <v>119.31440000000001</v>
      </c>
    </row>
    <row r="5870" spans="1:5" ht="15" x14ac:dyDescent="0.35">
      <c r="A5870" s="58" t="s">
        <v>252</v>
      </c>
      <c r="B5870" s="58" t="s">
        <v>182</v>
      </c>
      <c r="C5870" s="58">
        <v>10</v>
      </c>
      <c r="D5870" s="58">
        <v>113</v>
      </c>
      <c r="E5870" s="59">
        <v>119.53660000000001</v>
      </c>
    </row>
    <row r="5871" spans="1:5" ht="15" x14ac:dyDescent="0.35">
      <c r="A5871" s="58" t="s">
        <v>252</v>
      </c>
      <c r="B5871" s="58" t="s">
        <v>182</v>
      </c>
      <c r="C5871" s="58">
        <v>11</v>
      </c>
      <c r="D5871" s="58">
        <v>114</v>
      </c>
      <c r="E5871" s="59">
        <v>117.8699</v>
      </c>
    </row>
    <row r="5872" spans="1:5" ht="15" x14ac:dyDescent="0.35">
      <c r="A5872" s="58" t="s">
        <v>252</v>
      </c>
      <c r="B5872" s="58" t="s">
        <v>182</v>
      </c>
      <c r="C5872" s="58">
        <v>12</v>
      </c>
      <c r="D5872" s="58">
        <v>115</v>
      </c>
      <c r="E5872" s="59">
        <v>115.31440000000001</v>
      </c>
    </row>
    <row r="5873" spans="1:5" ht="15" x14ac:dyDescent="0.35">
      <c r="A5873" s="58" t="s">
        <v>252</v>
      </c>
      <c r="B5873" s="58" t="s">
        <v>176</v>
      </c>
      <c r="C5873" s="58">
        <v>1</v>
      </c>
      <c r="D5873" s="58">
        <v>104</v>
      </c>
      <c r="E5873" s="59">
        <v>341.875</v>
      </c>
    </row>
    <row r="5874" spans="1:5" ht="15" x14ac:dyDescent="0.35">
      <c r="A5874" s="58" t="s">
        <v>252</v>
      </c>
      <c r="B5874" s="58" t="s">
        <v>176</v>
      </c>
      <c r="C5874" s="58">
        <v>2</v>
      </c>
      <c r="D5874" s="58">
        <v>105</v>
      </c>
      <c r="E5874" s="59">
        <v>341.875</v>
      </c>
    </row>
    <row r="5875" spans="1:5" ht="15" x14ac:dyDescent="0.35">
      <c r="A5875" s="58" t="s">
        <v>252</v>
      </c>
      <c r="B5875" s="58" t="s">
        <v>176</v>
      </c>
      <c r="C5875" s="58">
        <v>3</v>
      </c>
      <c r="D5875" s="58">
        <v>106</v>
      </c>
      <c r="E5875" s="59">
        <v>341.875</v>
      </c>
    </row>
    <row r="5876" spans="1:5" ht="15" x14ac:dyDescent="0.35">
      <c r="A5876" s="58" t="s">
        <v>252</v>
      </c>
      <c r="B5876" s="58" t="s">
        <v>176</v>
      </c>
      <c r="C5876" s="58">
        <v>4</v>
      </c>
      <c r="D5876" s="58">
        <v>107</v>
      </c>
      <c r="E5876" s="59">
        <v>341.875</v>
      </c>
    </row>
    <row r="5877" spans="1:5" ht="15" x14ac:dyDescent="0.35">
      <c r="A5877" s="58" t="s">
        <v>252</v>
      </c>
      <c r="B5877" s="58" t="s">
        <v>176</v>
      </c>
      <c r="C5877" s="58">
        <v>5</v>
      </c>
      <c r="D5877" s="58">
        <v>108</v>
      </c>
      <c r="E5877" s="59">
        <v>341.875</v>
      </c>
    </row>
    <row r="5878" spans="1:5" ht="15" x14ac:dyDescent="0.35">
      <c r="A5878" s="58" t="s">
        <v>252</v>
      </c>
      <c r="B5878" s="58" t="s">
        <v>176</v>
      </c>
      <c r="C5878" s="58">
        <v>6</v>
      </c>
      <c r="D5878" s="58">
        <v>109</v>
      </c>
      <c r="E5878" s="59">
        <v>341.875</v>
      </c>
    </row>
    <row r="5879" spans="1:5" ht="15" x14ac:dyDescent="0.35">
      <c r="A5879" s="58" t="s">
        <v>252</v>
      </c>
      <c r="B5879" s="58" t="s">
        <v>176</v>
      </c>
      <c r="C5879" s="58">
        <v>7</v>
      </c>
      <c r="D5879" s="58">
        <v>110</v>
      </c>
      <c r="E5879" s="59">
        <v>341.875</v>
      </c>
    </row>
    <row r="5880" spans="1:5" ht="15" x14ac:dyDescent="0.35">
      <c r="A5880" s="58" t="s">
        <v>252</v>
      </c>
      <c r="B5880" s="58" t="s">
        <v>176</v>
      </c>
      <c r="C5880" s="58">
        <v>8</v>
      </c>
      <c r="D5880" s="58">
        <v>111</v>
      </c>
      <c r="E5880" s="59">
        <v>341.875</v>
      </c>
    </row>
    <row r="5881" spans="1:5" ht="15" x14ac:dyDescent="0.35">
      <c r="A5881" s="58" t="s">
        <v>252</v>
      </c>
      <c r="B5881" s="58" t="s">
        <v>176</v>
      </c>
      <c r="C5881" s="58">
        <v>9</v>
      </c>
      <c r="D5881" s="58">
        <v>112</v>
      </c>
      <c r="E5881" s="59">
        <v>341.875</v>
      </c>
    </row>
    <row r="5882" spans="1:5" ht="15" x14ac:dyDescent="0.35">
      <c r="A5882" s="58" t="s">
        <v>252</v>
      </c>
      <c r="B5882" s="58" t="s">
        <v>176</v>
      </c>
      <c r="C5882" s="58">
        <v>10</v>
      </c>
      <c r="D5882" s="58">
        <v>113</v>
      </c>
      <c r="E5882" s="59">
        <v>341.875</v>
      </c>
    </row>
    <row r="5883" spans="1:5" ht="15" x14ac:dyDescent="0.35">
      <c r="A5883" s="58" t="s">
        <v>252</v>
      </c>
      <c r="B5883" s="58" t="s">
        <v>176</v>
      </c>
      <c r="C5883" s="58">
        <v>11</v>
      </c>
      <c r="D5883" s="58">
        <v>114</v>
      </c>
      <c r="E5883" s="59">
        <v>341.875</v>
      </c>
    </row>
    <row r="5884" spans="1:5" ht="15" x14ac:dyDescent="0.35">
      <c r="A5884" s="58" t="s">
        <v>252</v>
      </c>
      <c r="B5884" s="58" t="s">
        <v>176</v>
      </c>
      <c r="C5884" s="58">
        <v>12</v>
      </c>
      <c r="D5884" s="58">
        <v>115</v>
      </c>
      <c r="E5884" s="59">
        <v>341.875</v>
      </c>
    </row>
    <row r="5885" spans="1:5" ht="15" x14ac:dyDescent="0.35">
      <c r="A5885" s="58" t="s">
        <v>252</v>
      </c>
      <c r="B5885" s="58" t="s">
        <v>172</v>
      </c>
      <c r="C5885" s="58">
        <v>1</v>
      </c>
      <c r="D5885" s="58">
        <v>104</v>
      </c>
      <c r="E5885" s="59">
        <v>959</v>
      </c>
    </row>
    <row r="5886" spans="1:5" ht="15" x14ac:dyDescent="0.35">
      <c r="A5886" s="58" t="s">
        <v>252</v>
      </c>
      <c r="B5886" s="58" t="s">
        <v>172</v>
      </c>
      <c r="C5886" s="58">
        <v>2</v>
      </c>
      <c r="D5886" s="58">
        <v>105</v>
      </c>
      <c r="E5886" s="59">
        <v>959</v>
      </c>
    </row>
    <row r="5887" spans="1:5" ht="15" x14ac:dyDescent="0.35">
      <c r="A5887" s="58" t="s">
        <v>252</v>
      </c>
      <c r="B5887" s="58" t="s">
        <v>172</v>
      </c>
      <c r="C5887" s="58">
        <v>3</v>
      </c>
      <c r="D5887" s="58">
        <v>106</v>
      </c>
      <c r="E5887" s="59">
        <v>959</v>
      </c>
    </row>
    <row r="5888" spans="1:5" ht="15" x14ac:dyDescent="0.35">
      <c r="A5888" s="58" t="s">
        <v>252</v>
      </c>
      <c r="B5888" s="58" t="s">
        <v>172</v>
      </c>
      <c r="C5888" s="58">
        <v>4</v>
      </c>
      <c r="D5888" s="58">
        <v>107</v>
      </c>
      <c r="E5888" s="59">
        <v>959</v>
      </c>
    </row>
    <row r="5889" spans="1:5" ht="15" x14ac:dyDescent="0.35">
      <c r="A5889" s="58" t="s">
        <v>252</v>
      </c>
      <c r="B5889" s="58" t="s">
        <v>172</v>
      </c>
      <c r="C5889" s="58">
        <v>5</v>
      </c>
      <c r="D5889" s="58">
        <v>108</v>
      </c>
      <c r="E5889" s="59">
        <v>959</v>
      </c>
    </row>
    <row r="5890" spans="1:5" ht="15" x14ac:dyDescent="0.35">
      <c r="A5890" s="58" t="s">
        <v>252</v>
      </c>
      <c r="B5890" s="58" t="s">
        <v>172</v>
      </c>
      <c r="C5890" s="58">
        <v>6</v>
      </c>
      <c r="D5890" s="58">
        <v>109</v>
      </c>
      <c r="E5890" s="59">
        <v>959</v>
      </c>
    </row>
    <row r="5891" spans="1:5" ht="15" x14ac:dyDescent="0.35">
      <c r="A5891" s="58" t="s">
        <v>252</v>
      </c>
      <c r="B5891" s="58" t="s">
        <v>172</v>
      </c>
      <c r="C5891" s="58">
        <v>7</v>
      </c>
      <c r="D5891" s="58">
        <v>110</v>
      </c>
      <c r="E5891" s="59">
        <v>959</v>
      </c>
    </row>
    <row r="5892" spans="1:5" ht="15" x14ac:dyDescent="0.35">
      <c r="A5892" s="58" t="s">
        <v>252</v>
      </c>
      <c r="B5892" s="58" t="s">
        <v>172</v>
      </c>
      <c r="C5892" s="58">
        <v>8</v>
      </c>
      <c r="D5892" s="58">
        <v>111</v>
      </c>
      <c r="E5892" s="59">
        <v>959</v>
      </c>
    </row>
    <row r="5893" spans="1:5" ht="15" x14ac:dyDescent="0.35">
      <c r="A5893" s="58" t="s">
        <v>252</v>
      </c>
      <c r="B5893" s="58" t="s">
        <v>172</v>
      </c>
      <c r="C5893" s="58">
        <v>9</v>
      </c>
      <c r="D5893" s="58">
        <v>112</v>
      </c>
      <c r="E5893" s="59">
        <v>959</v>
      </c>
    </row>
    <row r="5894" spans="1:5" ht="15" x14ac:dyDescent="0.35">
      <c r="A5894" s="58" t="s">
        <v>252</v>
      </c>
      <c r="B5894" s="58" t="s">
        <v>172</v>
      </c>
      <c r="C5894" s="58">
        <v>10</v>
      </c>
      <c r="D5894" s="58">
        <v>113</v>
      </c>
      <c r="E5894" s="59">
        <v>959</v>
      </c>
    </row>
    <row r="5895" spans="1:5" ht="15" x14ac:dyDescent="0.35">
      <c r="A5895" s="58" t="s">
        <v>252</v>
      </c>
      <c r="B5895" s="58" t="s">
        <v>172</v>
      </c>
      <c r="C5895" s="58">
        <v>11</v>
      </c>
      <c r="D5895" s="58">
        <v>114</v>
      </c>
      <c r="E5895" s="59">
        <v>959</v>
      </c>
    </row>
    <row r="5896" spans="1:5" ht="15" x14ac:dyDescent="0.35">
      <c r="A5896" s="58" t="s">
        <v>252</v>
      </c>
      <c r="B5896" s="58" t="s">
        <v>172</v>
      </c>
      <c r="C5896" s="58">
        <v>12</v>
      </c>
      <c r="D5896" s="58">
        <v>115</v>
      </c>
      <c r="E5896" s="59">
        <v>959</v>
      </c>
    </row>
    <row r="5897" spans="1:5" ht="15" x14ac:dyDescent="0.35">
      <c r="A5897" s="58" t="s">
        <v>252</v>
      </c>
      <c r="B5897" s="58" t="s">
        <v>180</v>
      </c>
      <c r="C5897" s="58">
        <v>1</v>
      </c>
      <c r="D5897" s="58">
        <v>104</v>
      </c>
      <c r="E5897" s="59">
        <v>460.61110000000002</v>
      </c>
    </row>
    <row r="5898" spans="1:5" ht="15" x14ac:dyDescent="0.35">
      <c r="A5898" s="58" t="s">
        <v>252</v>
      </c>
      <c r="B5898" s="58" t="s">
        <v>180</v>
      </c>
      <c r="C5898" s="58">
        <v>2</v>
      </c>
      <c r="D5898" s="58">
        <v>105</v>
      </c>
      <c r="E5898" s="59">
        <v>460.61110000000002</v>
      </c>
    </row>
    <row r="5899" spans="1:5" ht="15" x14ac:dyDescent="0.35">
      <c r="A5899" s="58" t="s">
        <v>252</v>
      </c>
      <c r="B5899" s="58" t="s">
        <v>180</v>
      </c>
      <c r="C5899" s="58">
        <v>3</v>
      </c>
      <c r="D5899" s="58">
        <v>106</v>
      </c>
      <c r="E5899" s="59">
        <v>460.61110000000002</v>
      </c>
    </row>
    <row r="5900" spans="1:5" ht="15" x14ac:dyDescent="0.35">
      <c r="A5900" s="58" t="s">
        <v>252</v>
      </c>
      <c r="B5900" s="58" t="s">
        <v>180</v>
      </c>
      <c r="C5900" s="58">
        <v>4</v>
      </c>
      <c r="D5900" s="58">
        <v>107</v>
      </c>
      <c r="E5900" s="59">
        <v>460.61110000000002</v>
      </c>
    </row>
    <row r="5901" spans="1:5" ht="15" x14ac:dyDescent="0.35">
      <c r="A5901" s="58" t="s">
        <v>252</v>
      </c>
      <c r="B5901" s="58" t="s">
        <v>180</v>
      </c>
      <c r="C5901" s="58">
        <v>5</v>
      </c>
      <c r="D5901" s="58">
        <v>108</v>
      </c>
      <c r="E5901" s="59">
        <v>460.61110000000002</v>
      </c>
    </row>
    <row r="5902" spans="1:5" ht="15" x14ac:dyDescent="0.35">
      <c r="A5902" s="58" t="s">
        <v>252</v>
      </c>
      <c r="B5902" s="58" t="s">
        <v>180</v>
      </c>
      <c r="C5902" s="58">
        <v>6</v>
      </c>
      <c r="D5902" s="58">
        <v>109</v>
      </c>
      <c r="E5902" s="59">
        <v>460.61110000000002</v>
      </c>
    </row>
    <row r="5903" spans="1:5" ht="15" x14ac:dyDescent="0.35">
      <c r="A5903" s="58" t="s">
        <v>252</v>
      </c>
      <c r="B5903" s="58" t="s">
        <v>180</v>
      </c>
      <c r="C5903" s="58">
        <v>7</v>
      </c>
      <c r="D5903" s="58">
        <v>110</v>
      </c>
      <c r="E5903" s="59">
        <v>460.61110000000002</v>
      </c>
    </row>
    <row r="5904" spans="1:5" ht="15" x14ac:dyDescent="0.35">
      <c r="A5904" s="58" t="s">
        <v>252</v>
      </c>
      <c r="B5904" s="58" t="s">
        <v>180</v>
      </c>
      <c r="C5904" s="58">
        <v>8</v>
      </c>
      <c r="D5904" s="58">
        <v>111</v>
      </c>
      <c r="E5904" s="59">
        <v>460.61110000000002</v>
      </c>
    </row>
    <row r="5905" spans="1:5" ht="15" x14ac:dyDescent="0.35">
      <c r="A5905" s="58" t="s">
        <v>252</v>
      </c>
      <c r="B5905" s="58" t="s">
        <v>180</v>
      </c>
      <c r="C5905" s="58">
        <v>9</v>
      </c>
      <c r="D5905" s="58">
        <v>112</v>
      </c>
      <c r="E5905" s="59">
        <v>460.61110000000002</v>
      </c>
    </row>
    <row r="5906" spans="1:5" ht="15" x14ac:dyDescent="0.35">
      <c r="A5906" s="58" t="s">
        <v>252</v>
      </c>
      <c r="B5906" s="58" t="s">
        <v>180</v>
      </c>
      <c r="C5906" s="58">
        <v>10</v>
      </c>
      <c r="D5906" s="58">
        <v>113</v>
      </c>
      <c r="E5906" s="59">
        <v>460.61110000000002</v>
      </c>
    </row>
    <row r="5907" spans="1:5" ht="15" x14ac:dyDescent="0.35">
      <c r="A5907" s="58" t="s">
        <v>252</v>
      </c>
      <c r="B5907" s="58" t="s">
        <v>180</v>
      </c>
      <c r="C5907" s="58">
        <v>11</v>
      </c>
      <c r="D5907" s="58">
        <v>114</v>
      </c>
      <c r="E5907" s="59">
        <v>460.61110000000002</v>
      </c>
    </row>
    <row r="5908" spans="1:5" ht="15" x14ac:dyDescent="0.35">
      <c r="A5908" s="58" t="s">
        <v>252</v>
      </c>
      <c r="B5908" s="58" t="s">
        <v>180</v>
      </c>
      <c r="C5908" s="58">
        <v>12</v>
      </c>
      <c r="D5908" s="58">
        <v>115</v>
      </c>
      <c r="E5908" s="59">
        <v>460.61110000000002</v>
      </c>
    </row>
    <row r="5909" spans="1:5" ht="15" x14ac:dyDescent="0.35">
      <c r="A5909" s="58" t="s">
        <v>294</v>
      </c>
      <c r="B5909" s="58" t="s">
        <v>182</v>
      </c>
      <c r="C5909" s="58">
        <v>1</v>
      </c>
      <c r="D5909" s="58">
        <v>104</v>
      </c>
      <c r="E5909" s="59">
        <v>166.8776</v>
      </c>
    </row>
    <row r="5910" spans="1:5" ht="15" x14ac:dyDescent="0.35">
      <c r="A5910" s="58" t="s">
        <v>294</v>
      </c>
      <c r="B5910" s="58" t="s">
        <v>182</v>
      </c>
      <c r="C5910" s="58">
        <v>2</v>
      </c>
      <c r="D5910" s="58">
        <v>105</v>
      </c>
      <c r="E5910" s="59">
        <v>152.25540000000001</v>
      </c>
    </row>
    <row r="5911" spans="1:5" ht="15" x14ac:dyDescent="0.35">
      <c r="A5911" s="58" t="s">
        <v>294</v>
      </c>
      <c r="B5911" s="58" t="s">
        <v>182</v>
      </c>
      <c r="C5911" s="58">
        <v>3</v>
      </c>
      <c r="D5911" s="58">
        <v>106</v>
      </c>
      <c r="E5911" s="59">
        <v>186.98869999999999</v>
      </c>
    </row>
    <row r="5912" spans="1:5" ht="15" x14ac:dyDescent="0.35">
      <c r="A5912" s="58" t="s">
        <v>294</v>
      </c>
      <c r="B5912" s="58" t="s">
        <v>182</v>
      </c>
      <c r="C5912" s="58">
        <v>4</v>
      </c>
      <c r="D5912" s="58">
        <v>107</v>
      </c>
      <c r="E5912" s="59">
        <v>193.79820000000001</v>
      </c>
    </row>
    <row r="5913" spans="1:5" ht="15" x14ac:dyDescent="0.35">
      <c r="A5913" s="58" t="s">
        <v>294</v>
      </c>
      <c r="B5913" s="58" t="s">
        <v>182</v>
      </c>
      <c r="C5913" s="58">
        <v>5</v>
      </c>
      <c r="D5913" s="58">
        <v>108</v>
      </c>
      <c r="E5913" s="59">
        <v>170.15539999999999</v>
      </c>
    </row>
    <row r="5914" spans="1:5" ht="15" x14ac:dyDescent="0.35">
      <c r="A5914" s="58" t="s">
        <v>294</v>
      </c>
      <c r="B5914" s="58" t="s">
        <v>182</v>
      </c>
      <c r="C5914" s="58">
        <v>6</v>
      </c>
      <c r="D5914" s="58">
        <v>109</v>
      </c>
      <c r="E5914" s="59">
        <v>151.65539999999999</v>
      </c>
    </row>
    <row r="5915" spans="1:5" ht="15" x14ac:dyDescent="0.35">
      <c r="A5915" s="58" t="s">
        <v>294</v>
      </c>
      <c r="B5915" s="58" t="s">
        <v>182</v>
      </c>
      <c r="C5915" s="58">
        <v>7</v>
      </c>
      <c r="D5915" s="58">
        <v>110</v>
      </c>
      <c r="E5915" s="59">
        <v>117.8776</v>
      </c>
    </row>
    <row r="5916" spans="1:5" ht="15" x14ac:dyDescent="0.35">
      <c r="A5916" s="58" t="s">
        <v>294</v>
      </c>
      <c r="B5916" s="58" t="s">
        <v>182</v>
      </c>
      <c r="C5916" s="58">
        <v>8</v>
      </c>
      <c r="D5916" s="58">
        <v>111</v>
      </c>
      <c r="E5916" s="59">
        <v>91.877600000000001</v>
      </c>
    </row>
    <row r="5917" spans="1:5" ht="15" x14ac:dyDescent="0.35">
      <c r="A5917" s="58" t="s">
        <v>294</v>
      </c>
      <c r="B5917" s="58" t="s">
        <v>182</v>
      </c>
      <c r="C5917" s="58">
        <v>9</v>
      </c>
      <c r="D5917" s="58">
        <v>112</v>
      </c>
      <c r="E5917" s="59">
        <v>89.099800000000002</v>
      </c>
    </row>
    <row r="5918" spans="1:5" ht="15" x14ac:dyDescent="0.35">
      <c r="A5918" s="58" t="s">
        <v>294</v>
      </c>
      <c r="B5918" s="58" t="s">
        <v>182</v>
      </c>
      <c r="C5918" s="58">
        <v>10</v>
      </c>
      <c r="D5918" s="58">
        <v>113</v>
      </c>
      <c r="E5918" s="59">
        <v>89.099800000000002</v>
      </c>
    </row>
    <row r="5919" spans="1:5" ht="15" x14ac:dyDescent="0.35">
      <c r="A5919" s="58" t="s">
        <v>294</v>
      </c>
      <c r="B5919" s="58" t="s">
        <v>182</v>
      </c>
      <c r="C5919" s="58">
        <v>11</v>
      </c>
      <c r="D5919" s="58">
        <v>114</v>
      </c>
      <c r="E5919" s="59">
        <v>69.099800000000002</v>
      </c>
    </row>
    <row r="5920" spans="1:5" ht="15" x14ac:dyDescent="0.35">
      <c r="A5920" s="58" t="s">
        <v>294</v>
      </c>
      <c r="B5920" s="58" t="s">
        <v>182</v>
      </c>
      <c r="C5920" s="58">
        <v>12</v>
      </c>
      <c r="D5920" s="58">
        <v>115</v>
      </c>
      <c r="E5920" s="59">
        <v>29.4331</v>
      </c>
    </row>
    <row r="5921" spans="1:5" ht="15" x14ac:dyDescent="0.35">
      <c r="A5921" s="58" t="s">
        <v>294</v>
      </c>
      <c r="B5921" s="58" t="s">
        <v>176</v>
      </c>
      <c r="C5921" s="58">
        <v>1</v>
      </c>
      <c r="D5921" s="58">
        <v>104</v>
      </c>
      <c r="E5921" s="59">
        <v>195.625</v>
      </c>
    </row>
    <row r="5922" spans="1:5" ht="15" x14ac:dyDescent="0.35">
      <c r="A5922" s="58" t="s">
        <v>294</v>
      </c>
      <c r="B5922" s="58" t="s">
        <v>176</v>
      </c>
      <c r="C5922" s="58">
        <v>2</v>
      </c>
      <c r="D5922" s="58">
        <v>105</v>
      </c>
      <c r="E5922" s="59">
        <v>195.625</v>
      </c>
    </row>
    <row r="5923" spans="1:5" ht="15" x14ac:dyDescent="0.35">
      <c r="A5923" s="58" t="s">
        <v>294</v>
      </c>
      <c r="B5923" s="58" t="s">
        <v>176</v>
      </c>
      <c r="C5923" s="58">
        <v>3</v>
      </c>
      <c r="D5923" s="58">
        <v>106</v>
      </c>
      <c r="E5923" s="59">
        <v>195.625</v>
      </c>
    </row>
    <row r="5924" spans="1:5" ht="15" x14ac:dyDescent="0.35">
      <c r="A5924" s="58" t="s">
        <v>294</v>
      </c>
      <c r="B5924" s="58" t="s">
        <v>176</v>
      </c>
      <c r="C5924" s="58">
        <v>4</v>
      </c>
      <c r="D5924" s="58">
        <v>107</v>
      </c>
      <c r="E5924" s="59">
        <v>195.625</v>
      </c>
    </row>
    <row r="5925" spans="1:5" ht="15" x14ac:dyDescent="0.35">
      <c r="A5925" s="58" t="s">
        <v>294</v>
      </c>
      <c r="B5925" s="58" t="s">
        <v>176</v>
      </c>
      <c r="C5925" s="58">
        <v>5</v>
      </c>
      <c r="D5925" s="58">
        <v>108</v>
      </c>
      <c r="E5925" s="59">
        <v>195.625</v>
      </c>
    </row>
    <row r="5926" spans="1:5" ht="15" x14ac:dyDescent="0.35">
      <c r="A5926" s="58" t="s">
        <v>294</v>
      </c>
      <c r="B5926" s="58" t="s">
        <v>176</v>
      </c>
      <c r="C5926" s="58">
        <v>6</v>
      </c>
      <c r="D5926" s="58">
        <v>109</v>
      </c>
      <c r="E5926" s="59">
        <v>195.625</v>
      </c>
    </row>
    <row r="5927" spans="1:5" ht="15" x14ac:dyDescent="0.35">
      <c r="A5927" s="58" t="s">
        <v>294</v>
      </c>
      <c r="B5927" s="58" t="s">
        <v>176</v>
      </c>
      <c r="C5927" s="58">
        <v>7</v>
      </c>
      <c r="D5927" s="58">
        <v>110</v>
      </c>
      <c r="E5927" s="59">
        <v>195.625</v>
      </c>
    </row>
    <row r="5928" spans="1:5" ht="15" x14ac:dyDescent="0.35">
      <c r="A5928" s="58" t="s">
        <v>294</v>
      </c>
      <c r="B5928" s="58" t="s">
        <v>176</v>
      </c>
      <c r="C5928" s="58">
        <v>8</v>
      </c>
      <c r="D5928" s="58">
        <v>111</v>
      </c>
      <c r="E5928" s="59">
        <v>195.625</v>
      </c>
    </row>
    <row r="5929" spans="1:5" ht="15" x14ac:dyDescent="0.35">
      <c r="A5929" s="58" t="s">
        <v>294</v>
      </c>
      <c r="B5929" s="58" t="s">
        <v>176</v>
      </c>
      <c r="C5929" s="58">
        <v>9</v>
      </c>
      <c r="D5929" s="58">
        <v>112</v>
      </c>
      <c r="E5929" s="59">
        <v>195.625</v>
      </c>
    </row>
    <row r="5930" spans="1:5" ht="15" x14ac:dyDescent="0.35">
      <c r="A5930" s="58" t="s">
        <v>294</v>
      </c>
      <c r="B5930" s="58" t="s">
        <v>176</v>
      </c>
      <c r="C5930" s="58">
        <v>10</v>
      </c>
      <c r="D5930" s="58">
        <v>113</v>
      </c>
      <c r="E5930" s="59">
        <v>195.625</v>
      </c>
    </row>
    <row r="5931" spans="1:5" ht="15" x14ac:dyDescent="0.35">
      <c r="A5931" s="58" t="s">
        <v>294</v>
      </c>
      <c r="B5931" s="58" t="s">
        <v>176</v>
      </c>
      <c r="C5931" s="58">
        <v>11</v>
      </c>
      <c r="D5931" s="58">
        <v>114</v>
      </c>
      <c r="E5931" s="59">
        <v>195.625</v>
      </c>
    </row>
    <row r="5932" spans="1:5" ht="15" x14ac:dyDescent="0.35">
      <c r="A5932" s="58" t="s">
        <v>294</v>
      </c>
      <c r="B5932" s="58" t="s">
        <v>176</v>
      </c>
      <c r="C5932" s="58">
        <v>12</v>
      </c>
      <c r="D5932" s="58">
        <v>115</v>
      </c>
      <c r="E5932" s="59">
        <v>195.625</v>
      </c>
    </row>
    <row r="5933" spans="1:5" ht="15" x14ac:dyDescent="0.35">
      <c r="A5933" s="58" t="s">
        <v>294</v>
      </c>
      <c r="B5933" s="58" t="s">
        <v>172</v>
      </c>
      <c r="C5933" s="58">
        <v>1</v>
      </c>
      <c r="D5933" s="58">
        <v>104</v>
      </c>
      <c r="E5933" s="59">
        <v>136</v>
      </c>
    </row>
    <row r="5934" spans="1:5" ht="15" x14ac:dyDescent="0.35">
      <c r="A5934" s="58" t="s">
        <v>294</v>
      </c>
      <c r="B5934" s="58" t="s">
        <v>172</v>
      </c>
      <c r="C5934" s="58">
        <v>2</v>
      </c>
      <c r="D5934" s="58">
        <v>105</v>
      </c>
      <c r="E5934" s="59">
        <v>136</v>
      </c>
    </row>
    <row r="5935" spans="1:5" ht="15" x14ac:dyDescent="0.35">
      <c r="A5935" s="58" t="s">
        <v>294</v>
      </c>
      <c r="B5935" s="58" t="s">
        <v>172</v>
      </c>
      <c r="C5935" s="58">
        <v>3</v>
      </c>
      <c r="D5935" s="58">
        <v>106</v>
      </c>
      <c r="E5935" s="59">
        <v>136</v>
      </c>
    </row>
    <row r="5936" spans="1:5" ht="15" x14ac:dyDescent="0.35">
      <c r="A5936" s="58" t="s">
        <v>294</v>
      </c>
      <c r="B5936" s="58" t="s">
        <v>172</v>
      </c>
      <c r="C5936" s="58">
        <v>4</v>
      </c>
      <c r="D5936" s="58">
        <v>107</v>
      </c>
      <c r="E5936" s="59">
        <v>136</v>
      </c>
    </row>
    <row r="5937" spans="1:5" ht="15" x14ac:dyDescent="0.35">
      <c r="A5937" s="58" t="s">
        <v>294</v>
      </c>
      <c r="B5937" s="58" t="s">
        <v>172</v>
      </c>
      <c r="C5937" s="58">
        <v>5</v>
      </c>
      <c r="D5937" s="58">
        <v>108</v>
      </c>
      <c r="E5937" s="59">
        <v>136</v>
      </c>
    </row>
    <row r="5938" spans="1:5" ht="15" x14ac:dyDescent="0.35">
      <c r="A5938" s="58" t="s">
        <v>294</v>
      </c>
      <c r="B5938" s="58" t="s">
        <v>172</v>
      </c>
      <c r="C5938" s="58">
        <v>6</v>
      </c>
      <c r="D5938" s="58">
        <v>109</v>
      </c>
      <c r="E5938" s="59">
        <v>136</v>
      </c>
    </row>
    <row r="5939" spans="1:5" ht="15" x14ac:dyDescent="0.35">
      <c r="A5939" s="58" t="s">
        <v>294</v>
      </c>
      <c r="B5939" s="58" t="s">
        <v>172</v>
      </c>
      <c r="C5939" s="58">
        <v>7</v>
      </c>
      <c r="D5939" s="58">
        <v>110</v>
      </c>
      <c r="E5939" s="59">
        <v>136</v>
      </c>
    </row>
    <row r="5940" spans="1:5" ht="15" x14ac:dyDescent="0.35">
      <c r="A5940" s="58" t="s">
        <v>294</v>
      </c>
      <c r="B5940" s="58" t="s">
        <v>172</v>
      </c>
      <c r="C5940" s="58">
        <v>8</v>
      </c>
      <c r="D5940" s="58">
        <v>111</v>
      </c>
      <c r="E5940" s="59">
        <v>136</v>
      </c>
    </row>
    <row r="5941" spans="1:5" ht="15" x14ac:dyDescent="0.35">
      <c r="A5941" s="58" t="s">
        <v>294</v>
      </c>
      <c r="B5941" s="58" t="s">
        <v>172</v>
      </c>
      <c r="C5941" s="58">
        <v>9</v>
      </c>
      <c r="D5941" s="58">
        <v>112</v>
      </c>
      <c r="E5941" s="59">
        <v>136</v>
      </c>
    </row>
    <row r="5942" spans="1:5" ht="15" x14ac:dyDescent="0.35">
      <c r="A5942" s="58" t="s">
        <v>294</v>
      </c>
      <c r="B5942" s="58" t="s">
        <v>172</v>
      </c>
      <c r="C5942" s="58">
        <v>10</v>
      </c>
      <c r="D5942" s="58">
        <v>113</v>
      </c>
      <c r="E5942" s="59">
        <v>136</v>
      </c>
    </row>
    <row r="5943" spans="1:5" ht="15" x14ac:dyDescent="0.35">
      <c r="A5943" s="58" t="s">
        <v>294</v>
      </c>
      <c r="B5943" s="58" t="s">
        <v>172</v>
      </c>
      <c r="C5943" s="58">
        <v>11</v>
      </c>
      <c r="D5943" s="58">
        <v>114</v>
      </c>
      <c r="E5943" s="59">
        <v>136</v>
      </c>
    </row>
    <row r="5944" spans="1:5" ht="15" x14ac:dyDescent="0.35">
      <c r="A5944" s="58" t="s">
        <v>294</v>
      </c>
      <c r="B5944" s="58" t="s">
        <v>172</v>
      </c>
      <c r="C5944" s="58">
        <v>12</v>
      </c>
      <c r="D5944" s="58">
        <v>115</v>
      </c>
      <c r="E5944" s="59">
        <v>136</v>
      </c>
    </row>
    <row r="5945" spans="1:5" ht="15" x14ac:dyDescent="0.35">
      <c r="A5945" s="58" t="s">
        <v>294</v>
      </c>
      <c r="B5945" s="58" t="s">
        <v>180</v>
      </c>
      <c r="C5945" s="58">
        <v>1</v>
      </c>
      <c r="D5945" s="58">
        <v>104</v>
      </c>
      <c r="E5945" s="59">
        <v>146.6927</v>
      </c>
    </row>
    <row r="5946" spans="1:5" ht="15" x14ac:dyDescent="0.35">
      <c r="A5946" s="58" t="s">
        <v>294</v>
      </c>
      <c r="B5946" s="58" t="s">
        <v>180</v>
      </c>
      <c r="C5946" s="58">
        <v>2</v>
      </c>
      <c r="D5946" s="58">
        <v>105</v>
      </c>
      <c r="E5946" s="59">
        <v>146.6927</v>
      </c>
    </row>
    <row r="5947" spans="1:5" ht="15" x14ac:dyDescent="0.35">
      <c r="A5947" s="58" t="s">
        <v>294</v>
      </c>
      <c r="B5947" s="58" t="s">
        <v>180</v>
      </c>
      <c r="C5947" s="58">
        <v>3</v>
      </c>
      <c r="D5947" s="58">
        <v>106</v>
      </c>
      <c r="E5947" s="59">
        <v>146.6927</v>
      </c>
    </row>
    <row r="5948" spans="1:5" ht="15" x14ac:dyDescent="0.35">
      <c r="A5948" s="58" t="s">
        <v>294</v>
      </c>
      <c r="B5948" s="58" t="s">
        <v>180</v>
      </c>
      <c r="C5948" s="58">
        <v>4</v>
      </c>
      <c r="D5948" s="58">
        <v>107</v>
      </c>
      <c r="E5948" s="59">
        <v>146.6927</v>
      </c>
    </row>
    <row r="5949" spans="1:5" ht="15" x14ac:dyDescent="0.35">
      <c r="A5949" s="58" t="s">
        <v>294</v>
      </c>
      <c r="B5949" s="58" t="s">
        <v>180</v>
      </c>
      <c r="C5949" s="58">
        <v>5</v>
      </c>
      <c r="D5949" s="58">
        <v>108</v>
      </c>
      <c r="E5949" s="59">
        <v>146.6927</v>
      </c>
    </row>
    <row r="5950" spans="1:5" ht="15" x14ac:dyDescent="0.35">
      <c r="A5950" s="58" t="s">
        <v>294</v>
      </c>
      <c r="B5950" s="58" t="s">
        <v>180</v>
      </c>
      <c r="C5950" s="58">
        <v>6</v>
      </c>
      <c r="D5950" s="58">
        <v>109</v>
      </c>
      <c r="E5950" s="59">
        <v>146.6927</v>
      </c>
    </row>
    <row r="5951" spans="1:5" ht="15" x14ac:dyDescent="0.35">
      <c r="A5951" s="58" t="s">
        <v>294</v>
      </c>
      <c r="B5951" s="58" t="s">
        <v>180</v>
      </c>
      <c r="C5951" s="58">
        <v>7</v>
      </c>
      <c r="D5951" s="58">
        <v>110</v>
      </c>
      <c r="E5951" s="59">
        <v>146.6927</v>
      </c>
    </row>
    <row r="5952" spans="1:5" ht="15" x14ac:dyDescent="0.35">
      <c r="A5952" s="58" t="s">
        <v>294</v>
      </c>
      <c r="B5952" s="58" t="s">
        <v>180</v>
      </c>
      <c r="C5952" s="58">
        <v>8</v>
      </c>
      <c r="D5952" s="58">
        <v>111</v>
      </c>
      <c r="E5952" s="59">
        <v>146.6927</v>
      </c>
    </row>
    <row r="5953" spans="1:5" ht="15" x14ac:dyDescent="0.35">
      <c r="A5953" s="58" t="s">
        <v>294</v>
      </c>
      <c r="B5953" s="58" t="s">
        <v>180</v>
      </c>
      <c r="C5953" s="58">
        <v>9</v>
      </c>
      <c r="D5953" s="58">
        <v>112</v>
      </c>
      <c r="E5953" s="59">
        <v>146.6927</v>
      </c>
    </row>
    <row r="5954" spans="1:5" ht="15" x14ac:dyDescent="0.35">
      <c r="A5954" s="58" t="s">
        <v>294</v>
      </c>
      <c r="B5954" s="58" t="s">
        <v>180</v>
      </c>
      <c r="C5954" s="58">
        <v>10</v>
      </c>
      <c r="D5954" s="58">
        <v>113</v>
      </c>
      <c r="E5954" s="59">
        <v>146.6927</v>
      </c>
    </row>
    <row r="5955" spans="1:5" ht="15" x14ac:dyDescent="0.35">
      <c r="A5955" s="58" t="s">
        <v>294</v>
      </c>
      <c r="B5955" s="58" t="s">
        <v>180</v>
      </c>
      <c r="C5955" s="58">
        <v>11</v>
      </c>
      <c r="D5955" s="58">
        <v>114</v>
      </c>
      <c r="E5955" s="59">
        <v>146.6927</v>
      </c>
    </row>
    <row r="5956" spans="1:5" ht="15" x14ac:dyDescent="0.35">
      <c r="A5956" s="58" t="s">
        <v>294</v>
      </c>
      <c r="B5956" s="58" t="s">
        <v>180</v>
      </c>
      <c r="C5956" s="58">
        <v>12</v>
      </c>
      <c r="D5956" s="58">
        <v>115</v>
      </c>
      <c r="E5956" s="59">
        <v>146.6927</v>
      </c>
    </row>
    <row r="5957" spans="1:5" ht="15" x14ac:dyDescent="0.35">
      <c r="A5957" s="58" t="s">
        <v>346</v>
      </c>
      <c r="B5957" s="58" t="s">
        <v>182</v>
      </c>
      <c r="C5957" s="58">
        <v>1</v>
      </c>
      <c r="D5957" s="58">
        <v>104</v>
      </c>
      <c r="E5957" s="59">
        <v>64.510599999999997</v>
      </c>
    </row>
    <row r="5958" spans="1:5" ht="15" x14ac:dyDescent="0.35">
      <c r="A5958" s="58" t="s">
        <v>346</v>
      </c>
      <c r="B5958" s="58" t="s">
        <v>182</v>
      </c>
      <c r="C5958" s="58">
        <v>2</v>
      </c>
      <c r="D5958" s="58">
        <v>105</v>
      </c>
      <c r="E5958" s="59">
        <v>37.3551</v>
      </c>
    </row>
    <row r="5959" spans="1:5" ht="15" x14ac:dyDescent="0.35">
      <c r="A5959" s="58" t="s">
        <v>346</v>
      </c>
      <c r="B5959" s="58" t="s">
        <v>182</v>
      </c>
      <c r="C5959" s="58">
        <v>3</v>
      </c>
      <c r="D5959" s="58">
        <v>106</v>
      </c>
      <c r="E5959" s="59">
        <v>46.455100000000002</v>
      </c>
    </row>
    <row r="5960" spans="1:5" ht="15" x14ac:dyDescent="0.35">
      <c r="A5960" s="58" t="s">
        <v>346</v>
      </c>
      <c r="B5960" s="58" t="s">
        <v>182</v>
      </c>
      <c r="C5960" s="58">
        <v>4</v>
      </c>
      <c r="D5960" s="58">
        <v>107</v>
      </c>
      <c r="E5960" s="59">
        <v>43.812199999999997</v>
      </c>
    </row>
    <row r="5961" spans="1:5" ht="15" x14ac:dyDescent="0.35">
      <c r="A5961" s="58" t="s">
        <v>346</v>
      </c>
      <c r="B5961" s="58" t="s">
        <v>182</v>
      </c>
      <c r="C5961" s="58">
        <v>5</v>
      </c>
      <c r="D5961" s="58">
        <v>108</v>
      </c>
      <c r="E5961" s="59">
        <v>40.205100000000002</v>
      </c>
    </row>
    <row r="5962" spans="1:5" ht="15" x14ac:dyDescent="0.35">
      <c r="A5962" s="58" t="s">
        <v>346</v>
      </c>
      <c r="B5962" s="58" t="s">
        <v>182</v>
      </c>
      <c r="C5962" s="58">
        <v>6</v>
      </c>
      <c r="D5962" s="58">
        <v>109</v>
      </c>
      <c r="E5962" s="59">
        <v>40.510599999999997</v>
      </c>
    </row>
    <row r="5963" spans="1:5" ht="15" x14ac:dyDescent="0.35">
      <c r="A5963" s="58" t="s">
        <v>346</v>
      </c>
      <c r="B5963" s="58" t="s">
        <v>182</v>
      </c>
      <c r="C5963" s="58">
        <v>7</v>
      </c>
      <c r="D5963" s="58">
        <v>110</v>
      </c>
      <c r="E5963" s="59">
        <v>35.621699999999997</v>
      </c>
    </row>
    <row r="5964" spans="1:5" ht="15" x14ac:dyDescent="0.35">
      <c r="A5964" s="58" t="s">
        <v>346</v>
      </c>
      <c r="B5964" s="58" t="s">
        <v>182</v>
      </c>
      <c r="C5964" s="58">
        <v>8</v>
      </c>
      <c r="D5964" s="58">
        <v>111</v>
      </c>
      <c r="E5964" s="59">
        <v>30.5106</v>
      </c>
    </row>
    <row r="5965" spans="1:5" ht="15" x14ac:dyDescent="0.35">
      <c r="A5965" s="58" t="s">
        <v>346</v>
      </c>
      <c r="B5965" s="58" t="s">
        <v>182</v>
      </c>
      <c r="C5965" s="58">
        <v>9</v>
      </c>
      <c r="D5965" s="58">
        <v>112</v>
      </c>
      <c r="E5965" s="59">
        <v>28.955100000000002</v>
      </c>
    </row>
    <row r="5966" spans="1:5" ht="15" x14ac:dyDescent="0.35">
      <c r="A5966" s="58" t="s">
        <v>346</v>
      </c>
      <c r="B5966" s="58" t="s">
        <v>182</v>
      </c>
      <c r="C5966" s="58">
        <v>10</v>
      </c>
      <c r="D5966" s="58">
        <v>113</v>
      </c>
      <c r="E5966" s="59">
        <v>29.066199999999998</v>
      </c>
    </row>
    <row r="5967" spans="1:5" ht="15" x14ac:dyDescent="0.35">
      <c r="A5967" s="58" t="s">
        <v>346</v>
      </c>
      <c r="B5967" s="58" t="s">
        <v>182</v>
      </c>
      <c r="C5967" s="58">
        <v>11</v>
      </c>
      <c r="D5967" s="58">
        <v>114</v>
      </c>
      <c r="E5967" s="59">
        <v>25.955100000000002</v>
      </c>
    </row>
    <row r="5968" spans="1:5" ht="15" x14ac:dyDescent="0.35">
      <c r="A5968" s="58" t="s">
        <v>346</v>
      </c>
      <c r="B5968" s="58" t="s">
        <v>182</v>
      </c>
      <c r="C5968" s="58">
        <v>12</v>
      </c>
      <c r="D5968" s="58">
        <v>115</v>
      </c>
      <c r="E5968" s="59">
        <v>14.732900000000001</v>
      </c>
    </row>
    <row r="5969" spans="1:5" ht="15" x14ac:dyDescent="0.35">
      <c r="A5969" s="58" t="s">
        <v>346</v>
      </c>
      <c r="B5969" s="58" t="s">
        <v>176</v>
      </c>
      <c r="C5969" s="58">
        <v>1</v>
      </c>
      <c r="D5969" s="58">
        <v>104</v>
      </c>
      <c r="E5969" s="59">
        <v>50.375</v>
      </c>
    </row>
    <row r="5970" spans="1:5" ht="15" x14ac:dyDescent="0.35">
      <c r="A5970" s="58" t="s">
        <v>346</v>
      </c>
      <c r="B5970" s="58" t="s">
        <v>176</v>
      </c>
      <c r="C5970" s="58">
        <v>2</v>
      </c>
      <c r="D5970" s="58">
        <v>105</v>
      </c>
      <c r="E5970" s="59">
        <v>50.375</v>
      </c>
    </row>
    <row r="5971" spans="1:5" ht="15" x14ac:dyDescent="0.35">
      <c r="A5971" s="58" t="s">
        <v>346</v>
      </c>
      <c r="B5971" s="58" t="s">
        <v>176</v>
      </c>
      <c r="C5971" s="58">
        <v>3</v>
      </c>
      <c r="D5971" s="58">
        <v>106</v>
      </c>
      <c r="E5971" s="59">
        <v>50.375</v>
      </c>
    </row>
    <row r="5972" spans="1:5" ht="15" x14ac:dyDescent="0.35">
      <c r="A5972" s="58" t="s">
        <v>346</v>
      </c>
      <c r="B5972" s="58" t="s">
        <v>176</v>
      </c>
      <c r="C5972" s="58">
        <v>4</v>
      </c>
      <c r="D5972" s="58">
        <v>107</v>
      </c>
      <c r="E5972" s="59">
        <v>50.375</v>
      </c>
    </row>
    <row r="5973" spans="1:5" ht="15" x14ac:dyDescent="0.35">
      <c r="A5973" s="58" t="s">
        <v>346</v>
      </c>
      <c r="B5973" s="58" t="s">
        <v>176</v>
      </c>
      <c r="C5973" s="58">
        <v>5</v>
      </c>
      <c r="D5973" s="58">
        <v>108</v>
      </c>
      <c r="E5973" s="59">
        <v>50.375</v>
      </c>
    </row>
    <row r="5974" spans="1:5" ht="15" x14ac:dyDescent="0.35">
      <c r="A5974" s="58" t="s">
        <v>346</v>
      </c>
      <c r="B5974" s="58" t="s">
        <v>176</v>
      </c>
      <c r="C5974" s="58">
        <v>6</v>
      </c>
      <c r="D5974" s="58">
        <v>109</v>
      </c>
      <c r="E5974" s="59">
        <v>50.375</v>
      </c>
    </row>
    <row r="5975" spans="1:5" ht="15" x14ac:dyDescent="0.35">
      <c r="A5975" s="58" t="s">
        <v>346</v>
      </c>
      <c r="B5975" s="58" t="s">
        <v>176</v>
      </c>
      <c r="C5975" s="58">
        <v>7</v>
      </c>
      <c r="D5975" s="58">
        <v>110</v>
      </c>
      <c r="E5975" s="59">
        <v>50.375</v>
      </c>
    </row>
    <row r="5976" spans="1:5" ht="15" x14ac:dyDescent="0.35">
      <c r="A5976" s="58" t="s">
        <v>346</v>
      </c>
      <c r="B5976" s="58" t="s">
        <v>176</v>
      </c>
      <c r="C5976" s="58">
        <v>8</v>
      </c>
      <c r="D5976" s="58">
        <v>111</v>
      </c>
      <c r="E5976" s="59">
        <v>50.375</v>
      </c>
    </row>
    <row r="5977" spans="1:5" ht="15" x14ac:dyDescent="0.35">
      <c r="A5977" s="58" t="s">
        <v>346</v>
      </c>
      <c r="B5977" s="58" t="s">
        <v>176</v>
      </c>
      <c r="C5977" s="58">
        <v>9</v>
      </c>
      <c r="D5977" s="58">
        <v>112</v>
      </c>
      <c r="E5977" s="59">
        <v>50.375</v>
      </c>
    </row>
    <row r="5978" spans="1:5" ht="15" x14ac:dyDescent="0.35">
      <c r="A5978" s="58" t="s">
        <v>346</v>
      </c>
      <c r="B5978" s="58" t="s">
        <v>176</v>
      </c>
      <c r="C5978" s="58">
        <v>10</v>
      </c>
      <c r="D5978" s="58">
        <v>113</v>
      </c>
      <c r="E5978" s="59">
        <v>50.375</v>
      </c>
    </row>
    <row r="5979" spans="1:5" ht="15" x14ac:dyDescent="0.35">
      <c r="A5979" s="58" t="s">
        <v>346</v>
      </c>
      <c r="B5979" s="58" t="s">
        <v>176</v>
      </c>
      <c r="C5979" s="58">
        <v>11</v>
      </c>
      <c r="D5979" s="58">
        <v>114</v>
      </c>
      <c r="E5979" s="59">
        <v>50.375</v>
      </c>
    </row>
    <row r="5980" spans="1:5" ht="15" x14ac:dyDescent="0.35">
      <c r="A5980" s="58" t="s">
        <v>346</v>
      </c>
      <c r="B5980" s="58" t="s">
        <v>176</v>
      </c>
      <c r="C5980" s="58">
        <v>12</v>
      </c>
      <c r="D5980" s="58">
        <v>115</v>
      </c>
      <c r="E5980" s="59">
        <v>50.375</v>
      </c>
    </row>
    <row r="5981" spans="1:5" ht="15" x14ac:dyDescent="0.35">
      <c r="A5981" s="58" t="s">
        <v>346</v>
      </c>
      <c r="B5981" s="58" t="s">
        <v>172</v>
      </c>
      <c r="C5981" s="58">
        <v>1</v>
      </c>
      <c r="D5981" s="58">
        <v>104</v>
      </c>
      <c r="E5981" s="59">
        <v>92</v>
      </c>
    </row>
    <row r="5982" spans="1:5" ht="15" x14ac:dyDescent="0.35">
      <c r="A5982" s="58" t="s">
        <v>346</v>
      </c>
      <c r="B5982" s="58" t="s">
        <v>172</v>
      </c>
      <c r="C5982" s="58">
        <v>2</v>
      </c>
      <c r="D5982" s="58">
        <v>105</v>
      </c>
      <c r="E5982" s="59">
        <v>92</v>
      </c>
    </row>
    <row r="5983" spans="1:5" ht="15" x14ac:dyDescent="0.35">
      <c r="A5983" s="58" t="s">
        <v>346</v>
      </c>
      <c r="B5983" s="58" t="s">
        <v>172</v>
      </c>
      <c r="C5983" s="58">
        <v>3</v>
      </c>
      <c r="D5983" s="58">
        <v>106</v>
      </c>
      <c r="E5983" s="59">
        <v>92</v>
      </c>
    </row>
    <row r="5984" spans="1:5" ht="15" x14ac:dyDescent="0.35">
      <c r="A5984" s="58" t="s">
        <v>346</v>
      </c>
      <c r="B5984" s="58" t="s">
        <v>172</v>
      </c>
      <c r="C5984" s="58">
        <v>4</v>
      </c>
      <c r="D5984" s="58">
        <v>107</v>
      </c>
      <c r="E5984" s="59">
        <v>92</v>
      </c>
    </row>
    <row r="5985" spans="1:5" ht="15" x14ac:dyDescent="0.35">
      <c r="A5985" s="58" t="s">
        <v>346</v>
      </c>
      <c r="B5985" s="58" t="s">
        <v>172</v>
      </c>
      <c r="C5985" s="58">
        <v>5</v>
      </c>
      <c r="D5985" s="58">
        <v>108</v>
      </c>
      <c r="E5985" s="59">
        <v>92</v>
      </c>
    </row>
    <row r="5986" spans="1:5" ht="15" x14ac:dyDescent="0.35">
      <c r="A5986" s="58" t="s">
        <v>346</v>
      </c>
      <c r="B5986" s="58" t="s">
        <v>172</v>
      </c>
      <c r="C5986" s="58">
        <v>6</v>
      </c>
      <c r="D5986" s="58">
        <v>109</v>
      </c>
      <c r="E5986" s="59">
        <v>92</v>
      </c>
    </row>
    <row r="5987" spans="1:5" ht="15" x14ac:dyDescent="0.35">
      <c r="A5987" s="58" t="s">
        <v>346</v>
      </c>
      <c r="B5987" s="58" t="s">
        <v>172</v>
      </c>
      <c r="C5987" s="58">
        <v>7</v>
      </c>
      <c r="D5987" s="58">
        <v>110</v>
      </c>
      <c r="E5987" s="59">
        <v>92</v>
      </c>
    </row>
    <row r="5988" spans="1:5" ht="15" x14ac:dyDescent="0.35">
      <c r="A5988" s="58" t="s">
        <v>346</v>
      </c>
      <c r="B5988" s="58" t="s">
        <v>172</v>
      </c>
      <c r="C5988" s="58">
        <v>8</v>
      </c>
      <c r="D5988" s="58">
        <v>111</v>
      </c>
      <c r="E5988" s="59">
        <v>92</v>
      </c>
    </row>
    <row r="5989" spans="1:5" ht="15" x14ac:dyDescent="0.35">
      <c r="A5989" s="58" t="s">
        <v>346</v>
      </c>
      <c r="B5989" s="58" t="s">
        <v>172</v>
      </c>
      <c r="C5989" s="58">
        <v>9</v>
      </c>
      <c r="D5989" s="58">
        <v>112</v>
      </c>
      <c r="E5989" s="59">
        <v>92</v>
      </c>
    </row>
    <row r="5990" spans="1:5" ht="15" x14ac:dyDescent="0.35">
      <c r="A5990" s="58" t="s">
        <v>346</v>
      </c>
      <c r="B5990" s="58" t="s">
        <v>172</v>
      </c>
      <c r="C5990" s="58">
        <v>10</v>
      </c>
      <c r="D5990" s="58">
        <v>113</v>
      </c>
      <c r="E5990" s="59">
        <v>92</v>
      </c>
    </row>
    <row r="5991" spans="1:5" ht="15" x14ac:dyDescent="0.35">
      <c r="A5991" s="58" t="s">
        <v>346</v>
      </c>
      <c r="B5991" s="58" t="s">
        <v>172</v>
      </c>
      <c r="C5991" s="58">
        <v>11</v>
      </c>
      <c r="D5991" s="58">
        <v>114</v>
      </c>
      <c r="E5991" s="59">
        <v>92</v>
      </c>
    </row>
    <row r="5992" spans="1:5" ht="15" x14ac:dyDescent="0.35">
      <c r="A5992" s="58" t="s">
        <v>346</v>
      </c>
      <c r="B5992" s="58" t="s">
        <v>172</v>
      </c>
      <c r="C5992" s="58">
        <v>12</v>
      </c>
      <c r="D5992" s="58">
        <v>115</v>
      </c>
      <c r="E5992" s="59">
        <v>92</v>
      </c>
    </row>
    <row r="5993" spans="1:5" ht="15" x14ac:dyDescent="0.35">
      <c r="A5993" s="58" t="s">
        <v>346</v>
      </c>
      <c r="B5993" s="58" t="s">
        <v>180</v>
      </c>
      <c r="C5993" s="58">
        <v>1</v>
      </c>
      <c r="D5993" s="58">
        <v>104</v>
      </c>
      <c r="E5993" s="59">
        <v>59.231999999999999</v>
      </c>
    </row>
    <row r="5994" spans="1:5" ht="15" x14ac:dyDescent="0.35">
      <c r="A5994" s="58" t="s">
        <v>346</v>
      </c>
      <c r="B5994" s="58" t="s">
        <v>180</v>
      </c>
      <c r="C5994" s="58">
        <v>2</v>
      </c>
      <c r="D5994" s="58">
        <v>105</v>
      </c>
      <c r="E5994" s="59">
        <v>59.231999999999999</v>
      </c>
    </row>
    <row r="5995" spans="1:5" ht="15" x14ac:dyDescent="0.35">
      <c r="A5995" s="58" t="s">
        <v>346</v>
      </c>
      <c r="B5995" s="58" t="s">
        <v>180</v>
      </c>
      <c r="C5995" s="58">
        <v>3</v>
      </c>
      <c r="D5995" s="58">
        <v>106</v>
      </c>
      <c r="E5995" s="59">
        <v>59.231999999999999</v>
      </c>
    </row>
    <row r="5996" spans="1:5" ht="15" x14ac:dyDescent="0.35">
      <c r="A5996" s="58" t="s">
        <v>346</v>
      </c>
      <c r="B5996" s="58" t="s">
        <v>180</v>
      </c>
      <c r="C5996" s="58">
        <v>4</v>
      </c>
      <c r="D5996" s="58">
        <v>107</v>
      </c>
      <c r="E5996" s="59">
        <v>59.231999999999999</v>
      </c>
    </row>
    <row r="5997" spans="1:5" ht="15" x14ac:dyDescent="0.35">
      <c r="A5997" s="58" t="s">
        <v>346</v>
      </c>
      <c r="B5997" s="58" t="s">
        <v>180</v>
      </c>
      <c r="C5997" s="58">
        <v>5</v>
      </c>
      <c r="D5997" s="58">
        <v>108</v>
      </c>
      <c r="E5997" s="59">
        <v>59.231999999999999</v>
      </c>
    </row>
    <row r="5998" spans="1:5" ht="15" x14ac:dyDescent="0.35">
      <c r="A5998" s="58" t="s">
        <v>346</v>
      </c>
      <c r="B5998" s="58" t="s">
        <v>180</v>
      </c>
      <c r="C5998" s="58">
        <v>6</v>
      </c>
      <c r="D5998" s="58">
        <v>109</v>
      </c>
      <c r="E5998" s="59">
        <v>59.231999999999999</v>
      </c>
    </row>
    <row r="5999" spans="1:5" ht="15" x14ac:dyDescent="0.35">
      <c r="A5999" s="58" t="s">
        <v>346</v>
      </c>
      <c r="B5999" s="58" t="s">
        <v>180</v>
      </c>
      <c r="C5999" s="58">
        <v>7</v>
      </c>
      <c r="D5999" s="58">
        <v>110</v>
      </c>
      <c r="E5999" s="59">
        <v>59.231999999999999</v>
      </c>
    </row>
    <row r="6000" spans="1:5" ht="15" x14ac:dyDescent="0.35">
      <c r="A6000" s="58" t="s">
        <v>346</v>
      </c>
      <c r="B6000" s="58" t="s">
        <v>180</v>
      </c>
      <c r="C6000" s="58">
        <v>8</v>
      </c>
      <c r="D6000" s="58">
        <v>111</v>
      </c>
      <c r="E6000" s="59">
        <v>59.231999999999999</v>
      </c>
    </row>
    <row r="6001" spans="1:5" ht="15" x14ac:dyDescent="0.35">
      <c r="A6001" s="58" t="s">
        <v>346</v>
      </c>
      <c r="B6001" s="58" t="s">
        <v>180</v>
      </c>
      <c r="C6001" s="58">
        <v>9</v>
      </c>
      <c r="D6001" s="58">
        <v>112</v>
      </c>
      <c r="E6001" s="59">
        <v>59.231999999999999</v>
      </c>
    </row>
    <row r="6002" spans="1:5" ht="15" x14ac:dyDescent="0.35">
      <c r="A6002" s="58" t="s">
        <v>346</v>
      </c>
      <c r="B6002" s="58" t="s">
        <v>180</v>
      </c>
      <c r="C6002" s="58">
        <v>10</v>
      </c>
      <c r="D6002" s="58">
        <v>113</v>
      </c>
      <c r="E6002" s="59">
        <v>59.231999999999999</v>
      </c>
    </row>
    <row r="6003" spans="1:5" ht="15" x14ac:dyDescent="0.35">
      <c r="A6003" s="58" t="s">
        <v>346</v>
      </c>
      <c r="B6003" s="58" t="s">
        <v>180</v>
      </c>
      <c r="C6003" s="58">
        <v>11</v>
      </c>
      <c r="D6003" s="58">
        <v>114</v>
      </c>
      <c r="E6003" s="59">
        <v>59.231999999999999</v>
      </c>
    </row>
    <row r="6004" spans="1:5" ht="15" x14ac:dyDescent="0.35">
      <c r="A6004" s="58" t="s">
        <v>346</v>
      </c>
      <c r="B6004" s="58" t="s">
        <v>180</v>
      </c>
      <c r="C6004" s="58">
        <v>12</v>
      </c>
      <c r="D6004" s="58">
        <v>115</v>
      </c>
      <c r="E6004" s="59">
        <v>59.231999999999999</v>
      </c>
    </row>
    <row r="6005" spans="1:5" ht="15" x14ac:dyDescent="0.35">
      <c r="A6005" s="58" t="s">
        <v>258</v>
      </c>
      <c r="B6005" s="58" t="s">
        <v>182</v>
      </c>
      <c r="C6005" s="58">
        <v>1</v>
      </c>
      <c r="D6005" s="58">
        <v>104</v>
      </c>
      <c r="E6005" s="59">
        <v>203.88380000000001</v>
      </c>
    </row>
    <row r="6006" spans="1:5" ht="15" x14ac:dyDescent="0.35">
      <c r="A6006" s="58" t="s">
        <v>258</v>
      </c>
      <c r="B6006" s="58" t="s">
        <v>182</v>
      </c>
      <c r="C6006" s="58">
        <v>2</v>
      </c>
      <c r="D6006" s="58">
        <v>105</v>
      </c>
      <c r="E6006" s="59">
        <v>0</v>
      </c>
    </row>
    <row r="6007" spans="1:5" ht="15" x14ac:dyDescent="0.35">
      <c r="A6007" s="58" t="s">
        <v>258</v>
      </c>
      <c r="B6007" s="58" t="s">
        <v>182</v>
      </c>
      <c r="C6007" s="58">
        <v>3</v>
      </c>
      <c r="D6007" s="58">
        <v>106</v>
      </c>
      <c r="E6007" s="59">
        <v>0</v>
      </c>
    </row>
    <row r="6008" spans="1:5" ht="15" x14ac:dyDescent="0.35">
      <c r="A6008" s="58" t="s">
        <v>258</v>
      </c>
      <c r="B6008" s="58" t="s">
        <v>182</v>
      </c>
      <c r="C6008" s="58">
        <v>4</v>
      </c>
      <c r="D6008" s="58">
        <v>107</v>
      </c>
      <c r="E6008" s="59">
        <v>0</v>
      </c>
    </row>
    <row r="6009" spans="1:5" ht="15" x14ac:dyDescent="0.35">
      <c r="A6009" s="58" t="s">
        <v>258</v>
      </c>
      <c r="B6009" s="58" t="s">
        <v>182</v>
      </c>
      <c r="C6009" s="58">
        <v>5</v>
      </c>
      <c r="D6009" s="58">
        <v>108</v>
      </c>
      <c r="E6009" s="59">
        <v>0</v>
      </c>
    </row>
    <row r="6010" spans="1:5" ht="15" x14ac:dyDescent="0.35">
      <c r="A6010" s="58" t="s">
        <v>258</v>
      </c>
      <c r="B6010" s="58" t="s">
        <v>182</v>
      </c>
      <c r="C6010" s="58">
        <v>6</v>
      </c>
      <c r="D6010" s="58">
        <v>109</v>
      </c>
      <c r="E6010" s="59">
        <v>0</v>
      </c>
    </row>
    <row r="6011" spans="1:5" ht="15" x14ac:dyDescent="0.35">
      <c r="A6011" s="58" t="s">
        <v>258</v>
      </c>
      <c r="B6011" s="58" t="s">
        <v>182</v>
      </c>
      <c r="C6011" s="58">
        <v>7</v>
      </c>
      <c r="D6011" s="58">
        <v>110</v>
      </c>
      <c r="E6011" s="59">
        <v>0</v>
      </c>
    </row>
    <row r="6012" spans="1:5" ht="15" x14ac:dyDescent="0.35">
      <c r="A6012" s="58" t="s">
        <v>258</v>
      </c>
      <c r="B6012" s="58" t="s">
        <v>182</v>
      </c>
      <c r="C6012" s="58">
        <v>8</v>
      </c>
      <c r="D6012" s="58">
        <v>111</v>
      </c>
      <c r="E6012" s="59">
        <v>0</v>
      </c>
    </row>
    <row r="6013" spans="1:5" ht="15" x14ac:dyDescent="0.35">
      <c r="A6013" s="58" t="s">
        <v>258</v>
      </c>
      <c r="B6013" s="58" t="s">
        <v>182</v>
      </c>
      <c r="C6013" s="58">
        <v>9</v>
      </c>
      <c r="D6013" s="58">
        <v>112</v>
      </c>
      <c r="E6013" s="59">
        <v>0</v>
      </c>
    </row>
    <row r="6014" spans="1:5" ht="15" x14ac:dyDescent="0.35">
      <c r="A6014" s="58" t="s">
        <v>258</v>
      </c>
      <c r="B6014" s="58" t="s">
        <v>182</v>
      </c>
      <c r="C6014" s="58">
        <v>10</v>
      </c>
      <c r="D6014" s="58">
        <v>113</v>
      </c>
      <c r="E6014" s="59">
        <v>0</v>
      </c>
    </row>
    <row r="6015" spans="1:5" ht="15" x14ac:dyDescent="0.35">
      <c r="A6015" s="58" t="s">
        <v>258</v>
      </c>
      <c r="B6015" s="58" t="s">
        <v>182</v>
      </c>
      <c r="C6015" s="58">
        <v>11</v>
      </c>
      <c r="D6015" s="58">
        <v>114</v>
      </c>
      <c r="E6015" s="59">
        <v>0</v>
      </c>
    </row>
    <row r="6016" spans="1:5" ht="15" x14ac:dyDescent="0.35">
      <c r="A6016" s="58" t="s">
        <v>258</v>
      </c>
      <c r="B6016" s="58" t="s">
        <v>182</v>
      </c>
      <c r="C6016" s="58">
        <v>12</v>
      </c>
      <c r="D6016" s="58">
        <v>115</v>
      </c>
      <c r="E6016" s="59">
        <v>0</v>
      </c>
    </row>
    <row r="6017" spans="1:5" ht="15" x14ac:dyDescent="0.35">
      <c r="A6017" s="58" t="s">
        <v>258</v>
      </c>
      <c r="B6017" s="58" t="s">
        <v>176</v>
      </c>
      <c r="C6017" s="58">
        <v>1</v>
      </c>
      <c r="D6017" s="58">
        <v>104</v>
      </c>
      <c r="E6017" s="59">
        <v>77</v>
      </c>
    </row>
    <row r="6018" spans="1:5" ht="15" x14ac:dyDescent="0.35">
      <c r="A6018" s="58" t="s">
        <v>258</v>
      </c>
      <c r="B6018" s="58" t="s">
        <v>176</v>
      </c>
      <c r="C6018" s="58">
        <v>2</v>
      </c>
      <c r="D6018" s="58">
        <v>105</v>
      </c>
      <c r="E6018" s="59">
        <v>77</v>
      </c>
    </row>
    <row r="6019" spans="1:5" ht="15" x14ac:dyDescent="0.35">
      <c r="A6019" s="58" t="s">
        <v>258</v>
      </c>
      <c r="B6019" s="58" t="s">
        <v>176</v>
      </c>
      <c r="C6019" s="58">
        <v>3</v>
      </c>
      <c r="D6019" s="58">
        <v>106</v>
      </c>
      <c r="E6019" s="59">
        <v>77</v>
      </c>
    </row>
    <row r="6020" spans="1:5" ht="15" x14ac:dyDescent="0.35">
      <c r="A6020" s="58" t="s">
        <v>258</v>
      </c>
      <c r="B6020" s="58" t="s">
        <v>176</v>
      </c>
      <c r="C6020" s="58">
        <v>4</v>
      </c>
      <c r="D6020" s="58">
        <v>107</v>
      </c>
      <c r="E6020" s="59">
        <v>77</v>
      </c>
    </row>
    <row r="6021" spans="1:5" ht="15" x14ac:dyDescent="0.35">
      <c r="A6021" s="58" t="s">
        <v>258</v>
      </c>
      <c r="B6021" s="58" t="s">
        <v>176</v>
      </c>
      <c r="C6021" s="58">
        <v>5</v>
      </c>
      <c r="D6021" s="58">
        <v>108</v>
      </c>
      <c r="E6021" s="59">
        <v>77</v>
      </c>
    </row>
    <row r="6022" spans="1:5" ht="15" x14ac:dyDescent="0.35">
      <c r="A6022" s="58" t="s">
        <v>258</v>
      </c>
      <c r="B6022" s="58" t="s">
        <v>176</v>
      </c>
      <c r="C6022" s="58">
        <v>6</v>
      </c>
      <c r="D6022" s="58">
        <v>109</v>
      </c>
      <c r="E6022" s="59">
        <v>77</v>
      </c>
    </row>
    <row r="6023" spans="1:5" ht="15" x14ac:dyDescent="0.35">
      <c r="A6023" s="58" t="s">
        <v>258</v>
      </c>
      <c r="B6023" s="58" t="s">
        <v>176</v>
      </c>
      <c r="C6023" s="58">
        <v>7</v>
      </c>
      <c r="D6023" s="58">
        <v>110</v>
      </c>
      <c r="E6023" s="59">
        <v>77</v>
      </c>
    </row>
    <row r="6024" spans="1:5" ht="15" x14ac:dyDescent="0.35">
      <c r="A6024" s="58" t="s">
        <v>258</v>
      </c>
      <c r="B6024" s="58" t="s">
        <v>176</v>
      </c>
      <c r="C6024" s="58">
        <v>8</v>
      </c>
      <c r="D6024" s="58">
        <v>111</v>
      </c>
      <c r="E6024" s="59">
        <v>77</v>
      </c>
    </row>
    <row r="6025" spans="1:5" ht="15" x14ac:dyDescent="0.35">
      <c r="A6025" s="58" t="s">
        <v>258</v>
      </c>
      <c r="B6025" s="58" t="s">
        <v>176</v>
      </c>
      <c r="C6025" s="58">
        <v>9</v>
      </c>
      <c r="D6025" s="58">
        <v>112</v>
      </c>
      <c r="E6025" s="59">
        <v>77</v>
      </c>
    </row>
    <row r="6026" spans="1:5" ht="15" x14ac:dyDescent="0.35">
      <c r="A6026" s="58" t="s">
        <v>258</v>
      </c>
      <c r="B6026" s="58" t="s">
        <v>176</v>
      </c>
      <c r="C6026" s="58">
        <v>10</v>
      </c>
      <c r="D6026" s="58">
        <v>113</v>
      </c>
      <c r="E6026" s="59">
        <v>77</v>
      </c>
    </row>
    <row r="6027" spans="1:5" ht="15" x14ac:dyDescent="0.35">
      <c r="A6027" s="58" t="s">
        <v>258</v>
      </c>
      <c r="B6027" s="58" t="s">
        <v>176</v>
      </c>
      <c r="C6027" s="58">
        <v>11</v>
      </c>
      <c r="D6027" s="58">
        <v>114</v>
      </c>
      <c r="E6027" s="59">
        <v>77</v>
      </c>
    </row>
    <row r="6028" spans="1:5" ht="15" x14ac:dyDescent="0.35">
      <c r="A6028" s="58" t="s">
        <v>258</v>
      </c>
      <c r="B6028" s="58" t="s">
        <v>176</v>
      </c>
      <c r="C6028" s="58">
        <v>12</v>
      </c>
      <c r="D6028" s="58">
        <v>115</v>
      </c>
      <c r="E6028" s="59">
        <v>77</v>
      </c>
    </row>
    <row r="6029" spans="1:5" ht="15" x14ac:dyDescent="0.35">
      <c r="A6029" s="58" t="s">
        <v>258</v>
      </c>
      <c r="B6029" s="58" t="s">
        <v>172</v>
      </c>
      <c r="C6029" s="58">
        <v>1</v>
      </c>
      <c r="D6029" s="58">
        <v>104</v>
      </c>
      <c r="E6029" s="59">
        <v>83</v>
      </c>
    </row>
    <row r="6030" spans="1:5" ht="15" x14ac:dyDescent="0.35">
      <c r="A6030" s="58" t="s">
        <v>258</v>
      </c>
      <c r="B6030" s="58" t="s">
        <v>172</v>
      </c>
      <c r="C6030" s="58">
        <v>2</v>
      </c>
      <c r="D6030" s="58">
        <v>105</v>
      </c>
      <c r="E6030" s="59">
        <v>83</v>
      </c>
    </row>
    <row r="6031" spans="1:5" ht="15" x14ac:dyDescent="0.35">
      <c r="A6031" s="58" t="s">
        <v>258</v>
      </c>
      <c r="B6031" s="58" t="s">
        <v>172</v>
      </c>
      <c r="C6031" s="58">
        <v>3</v>
      </c>
      <c r="D6031" s="58">
        <v>106</v>
      </c>
      <c r="E6031" s="59">
        <v>83</v>
      </c>
    </row>
    <row r="6032" spans="1:5" ht="15" x14ac:dyDescent="0.35">
      <c r="A6032" s="58" t="s">
        <v>258</v>
      </c>
      <c r="B6032" s="58" t="s">
        <v>172</v>
      </c>
      <c r="C6032" s="58">
        <v>4</v>
      </c>
      <c r="D6032" s="58">
        <v>107</v>
      </c>
      <c r="E6032" s="59">
        <v>83</v>
      </c>
    </row>
    <row r="6033" spans="1:5" ht="15" x14ac:dyDescent="0.35">
      <c r="A6033" s="58" t="s">
        <v>258</v>
      </c>
      <c r="B6033" s="58" t="s">
        <v>172</v>
      </c>
      <c r="C6033" s="58">
        <v>5</v>
      </c>
      <c r="D6033" s="58">
        <v>108</v>
      </c>
      <c r="E6033" s="59">
        <v>83</v>
      </c>
    </row>
    <row r="6034" spans="1:5" ht="15" x14ac:dyDescent="0.35">
      <c r="A6034" s="58" t="s">
        <v>258</v>
      </c>
      <c r="B6034" s="58" t="s">
        <v>172</v>
      </c>
      <c r="C6034" s="58">
        <v>6</v>
      </c>
      <c r="D6034" s="58">
        <v>109</v>
      </c>
      <c r="E6034" s="59">
        <v>83</v>
      </c>
    </row>
    <row r="6035" spans="1:5" ht="15" x14ac:dyDescent="0.35">
      <c r="A6035" s="58" t="s">
        <v>258</v>
      </c>
      <c r="B6035" s="58" t="s">
        <v>172</v>
      </c>
      <c r="C6035" s="58">
        <v>7</v>
      </c>
      <c r="D6035" s="58">
        <v>110</v>
      </c>
      <c r="E6035" s="59">
        <v>83</v>
      </c>
    </row>
    <row r="6036" spans="1:5" ht="15" x14ac:dyDescent="0.35">
      <c r="A6036" s="58" t="s">
        <v>258</v>
      </c>
      <c r="B6036" s="58" t="s">
        <v>172</v>
      </c>
      <c r="C6036" s="58">
        <v>8</v>
      </c>
      <c r="D6036" s="58">
        <v>111</v>
      </c>
      <c r="E6036" s="59">
        <v>83</v>
      </c>
    </row>
    <row r="6037" spans="1:5" ht="15" x14ac:dyDescent="0.35">
      <c r="A6037" s="58" t="s">
        <v>258</v>
      </c>
      <c r="B6037" s="58" t="s">
        <v>172</v>
      </c>
      <c r="C6037" s="58">
        <v>9</v>
      </c>
      <c r="D6037" s="58">
        <v>112</v>
      </c>
      <c r="E6037" s="59">
        <v>83</v>
      </c>
    </row>
    <row r="6038" spans="1:5" ht="15" x14ac:dyDescent="0.35">
      <c r="A6038" s="58" t="s">
        <v>258</v>
      </c>
      <c r="B6038" s="58" t="s">
        <v>172</v>
      </c>
      <c r="C6038" s="58">
        <v>10</v>
      </c>
      <c r="D6038" s="58">
        <v>113</v>
      </c>
      <c r="E6038" s="59">
        <v>83</v>
      </c>
    </row>
    <row r="6039" spans="1:5" ht="15" x14ac:dyDescent="0.35">
      <c r="A6039" s="58" t="s">
        <v>258</v>
      </c>
      <c r="B6039" s="58" t="s">
        <v>172</v>
      </c>
      <c r="C6039" s="58">
        <v>11</v>
      </c>
      <c r="D6039" s="58">
        <v>114</v>
      </c>
      <c r="E6039" s="59">
        <v>83</v>
      </c>
    </row>
    <row r="6040" spans="1:5" ht="15" x14ac:dyDescent="0.35">
      <c r="A6040" s="58" t="s">
        <v>258</v>
      </c>
      <c r="B6040" s="58" t="s">
        <v>172</v>
      </c>
      <c r="C6040" s="58">
        <v>12</v>
      </c>
      <c r="D6040" s="58">
        <v>115</v>
      </c>
      <c r="E6040" s="59">
        <v>83</v>
      </c>
    </row>
    <row r="6041" spans="1:5" ht="15" x14ac:dyDescent="0.35">
      <c r="A6041" s="58" t="s">
        <v>258</v>
      </c>
      <c r="B6041" s="58" t="s">
        <v>180</v>
      </c>
      <c r="C6041" s="58">
        <v>1</v>
      </c>
      <c r="D6041" s="58">
        <v>104</v>
      </c>
      <c r="E6041" s="59">
        <v>83.6661</v>
      </c>
    </row>
    <row r="6042" spans="1:5" ht="15" x14ac:dyDescent="0.35">
      <c r="A6042" s="58" t="s">
        <v>258</v>
      </c>
      <c r="B6042" s="58" t="s">
        <v>180</v>
      </c>
      <c r="C6042" s="58">
        <v>2</v>
      </c>
      <c r="D6042" s="58">
        <v>105</v>
      </c>
      <c r="E6042" s="59">
        <v>83.6661</v>
      </c>
    </row>
    <row r="6043" spans="1:5" ht="15" x14ac:dyDescent="0.35">
      <c r="A6043" s="58" t="s">
        <v>258</v>
      </c>
      <c r="B6043" s="58" t="s">
        <v>180</v>
      </c>
      <c r="C6043" s="58">
        <v>3</v>
      </c>
      <c r="D6043" s="58">
        <v>106</v>
      </c>
      <c r="E6043" s="59">
        <v>83.6661</v>
      </c>
    </row>
    <row r="6044" spans="1:5" ht="15" x14ac:dyDescent="0.35">
      <c r="A6044" s="58" t="s">
        <v>258</v>
      </c>
      <c r="B6044" s="58" t="s">
        <v>180</v>
      </c>
      <c r="C6044" s="58">
        <v>4</v>
      </c>
      <c r="D6044" s="58">
        <v>107</v>
      </c>
      <c r="E6044" s="59">
        <v>83.6661</v>
      </c>
    </row>
    <row r="6045" spans="1:5" ht="15" x14ac:dyDescent="0.35">
      <c r="A6045" s="58" t="s">
        <v>258</v>
      </c>
      <c r="B6045" s="58" t="s">
        <v>180</v>
      </c>
      <c r="C6045" s="58">
        <v>5</v>
      </c>
      <c r="D6045" s="58">
        <v>108</v>
      </c>
      <c r="E6045" s="59">
        <v>83.6661</v>
      </c>
    </row>
    <row r="6046" spans="1:5" ht="15" x14ac:dyDescent="0.35">
      <c r="A6046" s="58" t="s">
        <v>258</v>
      </c>
      <c r="B6046" s="58" t="s">
        <v>180</v>
      </c>
      <c r="C6046" s="58">
        <v>6</v>
      </c>
      <c r="D6046" s="58">
        <v>109</v>
      </c>
      <c r="E6046" s="59">
        <v>83.6661</v>
      </c>
    </row>
    <row r="6047" spans="1:5" ht="15" x14ac:dyDescent="0.35">
      <c r="A6047" s="58" t="s">
        <v>258</v>
      </c>
      <c r="B6047" s="58" t="s">
        <v>180</v>
      </c>
      <c r="C6047" s="58">
        <v>7</v>
      </c>
      <c r="D6047" s="58">
        <v>110</v>
      </c>
      <c r="E6047" s="59">
        <v>83.6661</v>
      </c>
    </row>
    <row r="6048" spans="1:5" ht="15" x14ac:dyDescent="0.35">
      <c r="A6048" s="58" t="s">
        <v>258</v>
      </c>
      <c r="B6048" s="58" t="s">
        <v>180</v>
      </c>
      <c r="C6048" s="58">
        <v>8</v>
      </c>
      <c r="D6048" s="58">
        <v>111</v>
      </c>
      <c r="E6048" s="59">
        <v>83.6661</v>
      </c>
    </row>
    <row r="6049" spans="1:5" ht="15" x14ac:dyDescent="0.35">
      <c r="A6049" s="58" t="s">
        <v>258</v>
      </c>
      <c r="B6049" s="58" t="s">
        <v>180</v>
      </c>
      <c r="C6049" s="58">
        <v>9</v>
      </c>
      <c r="D6049" s="58">
        <v>112</v>
      </c>
      <c r="E6049" s="59">
        <v>83.6661</v>
      </c>
    </row>
    <row r="6050" spans="1:5" ht="15" x14ac:dyDescent="0.35">
      <c r="A6050" s="58" t="s">
        <v>258</v>
      </c>
      <c r="B6050" s="58" t="s">
        <v>180</v>
      </c>
      <c r="C6050" s="58">
        <v>10</v>
      </c>
      <c r="D6050" s="58">
        <v>113</v>
      </c>
      <c r="E6050" s="59">
        <v>83.6661</v>
      </c>
    </row>
    <row r="6051" spans="1:5" ht="15" x14ac:dyDescent="0.35">
      <c r="A6051" s="58" t="s">
        <v>258</v>
      </c>
      <c r="B6051" s="58" t="s">
        <v>180</v>
      </c>
      <c r="C6051" s="58">
        <v>11</v>
      </c>
      <c r="D6051" s="58">
        <v>114</v>
      </c>
      <c r="E6051" s="59">
        <v>83.6661</v>
      </c>
    </row>
    <row r="6052" spans="1:5" ht="15" x14ac:dyDescent="0.35">
      <c r="A6052" s="58" t="s">
        <v>258</v>
      </c>
      <c r="B6052" s="58" t="s">
        <v>180</v>
      </c>
      <c r="C6052" s="58">
        <v>12</v>
      </c>
      <c r="D6052" s="58">
        <v>115</v>
      </c>
      <c r="E6052" s="59">
        <v>83.6661</v>
      </c>
    </row>
    <row r="6053" spans="1:5" ht="15" x14ac:dyDescent="0.35">
      <c r="A6053" s="58" t="s">
        <v>321</v>
      </c>
      <c r="B6053" s="58" t="s">
        <v>182</v>
      </c>
      <c r="C6053" s="58">
        <v>1</v>
      </c>
      <c r="D6053" s="58">
        <v>104</v>
      </c>
      <c r="E6053" s="59">
        <v>44.7438</v>
      </c>
    </row>
    <row r="6054" spans="1:5" ht="15" x14ac:dyDescent="0.35">
      <c r="A6054" s="58" t="s">
        <v>321</v>
      </c>
      <c r="B6054" s="58" t="s">
        <v>182</v>
      </c>
      <c r="C6054" s="58">
        <v>2</v>
      </c>
      <c r="D6054" s="58">
        <v>105</v>
      </c>
      <c r="E6054" s="59">
        <v>38.388300000000001</v>
      </c>
    </row>
    <row r="6055" spans="1:5" ht="15" x14ac:dyDescent="0.35">
      <c r="A6055" s="58" t="s">
        <v>321</v>
      </c>
      <c r="B6055" s="58" t="s">
        <v>182</v>
      </c>
      <c r="C6055" s="58">
        <v>3</v>
      </c>
      <c r="D6055" s="58">
        <v>106</v>
      </c>
      <c r="E6055" s="59">
        <v>47.021599999999999</v>
      </c>
    </row>
    <row r="6056" spans="1:5" ht="15" x14ac:dyDescent="0.35">
      <c r="A6056" s="58" t="s">
        <v>321</v>
      </c>
      <c r="B6056" s="58" t="s">
        <v>182</v>
      </c>
      <c r="C6056" s="58">
        <v>4</v>
      </c>
      <c r="D6056" s="58">
        <v>107</v>
      </c>
      <c r="E6056" s="59">
        <v>47.616900000000001</v>
      </c>
    </row>
    <row r="6057" spans="1:5" ht="15" x14ac:dyDescent="0.35">
      <c r="A6057" s="58" t="s">
        <v>321</v>
      </c>
      <c r="B6057" s="58" t="s">
        <v>182</v>
      </c>
      <c r="C6057" s="58">
        <v>5</v>
      </c>
      <c r="D6057" s="58">
        <v>108</v>
      </c>
      <c r="E6057" s="59">
        <v>44.813299999999998</v>
      </c>
    </row>
    <row r="6058" spans="1:5" ht="15" x14ac:dyDescent="0.35">
      <c r="A6058" s="58" t="s">
        <v>321</v>
      </c>
      <c r="B6058" s="58" t="s">
        <v>182</v>
      </c>
      <c r="C6058" s="58">
        <v>6</v>
      </c>
      <c r="D6058" s="58">
        <v>109</v>
      </c>
      <c r="E6058" s="59">
        <v>43.6327</v>
      </c>
    </row>
    <row r="6059" spans="1:5" ht="15" x14ac:dyDescent="0.35">
      <c r="A6059" s="58" t="s">
        <v>321</v>
      </c>
      <c r="B6059" s="58" t="s">
        <v>182</v>
      </c>
      <c r="C6059" s="58">
        <v>7</v>
      </c>
      <c r="D6059" s="58">
        <v>110</v>
      </c>
      <c r="E6059" s="59">
        <v>37.854999999999997</v>
      </c>
    </row>
    <row r="6060" spans="1:5" ht="15" x14ac:dyDescent="0.35">
      <c r="A6060" s="58" t="s">
        <v>321</v>
      </c>
      <c r="B6060" s="58" t="s">
        <v>182</v>
      </c>
      <c r="C6060" s="58">
        <v>8</v>
      </c>
      <c r="D6060" s="58">
        <v>111</v>
      </c>
      <c r="E6060" s="59">
        <v>35.077199999999998</v>
      </c>
    </row>
    <row r="6061" spans="1:5" ht="15" x14ac:dyDescent="0.35">
      <c r="A6061" s="58" t="s">
        <v>321</v>
      </c>
      <c r="B6061" s="58" t="s">
        <v>182</v>
      </c>
      <c r="C6061" s="58">
        <v>9</v>
      </c>
      <c r="D6061" s="58">
        <v>112</v>
      </c>
      <c r="E6061" s="59">
        <v>40.966099999999997</v>
      </c>
    </row>
    <row r="6062" spans="1:5" ht="15" x14ac:dyDescent="0.35">
      <c r="A6062" s="58" t="s">
        <v>321</v>
      </c>
      <c r="B6062" s="58" t="s">
        <v>182</v>
      </c>
      <c r="C6062" s="58">
        <v>10</v>
      </c>
      <c r="D6062" s="58">
        <v>113</v>
      </c>
      <c r="E6062" s="59">
        <v>45.299399999999999</v>
      </c>
    </row>
    <row r="6063" spans="1:5" ht="15" x14ac:dyDescent="0.35">
      <c r="A6063" s="58" t="s">
        <v>321</v>
      </c>
      <c r="B6063" s="58" t="s">
        <v>182</v>
      </c>
      <c r="C6063" s="58">
        <v>11</v>
      </c>
      <c r="D6063" s="58">
        <v>114</v>
      </c>
      <c r="E6063" s="59">
        <v>43.299399999999999</v>
      </c>
    </row>
    <row r="6064" spans="1:5" ht="15" x14ac:dyDescent="0.35">
      <c r="A6064" s="58" t="s">
        <v>321</v>
      </c>
      <c r="B6064" s="58" t="s">
        <v>182</v>
      </c>
      <c r="C6064" s="58">
        <v>12</v>
      </c>
      <c r="D6064" s="58">
        <v>115</v>
      </c>
      <c r="E6064" s="59">
        <v>39.077199999999998</v>
      </c>
    </row>
    <row r="6065" spans="1:5" ht="15" x14ac:dyDescent="0.35">
      <c r="A6065" s="58" t="s">
        <v>321</v>
      </c>
      <c r="B6065" s="58" t="s">
        <v>176</v>
      </c>
      <c r="C6065" s="58">
        <v>1</v>
      </c>
      <c r="D6065" s="58">
        <v>104</v>
      </c>
      <c r="E6065" s="59">
        <v>45.75</v>
      </c>
    </row>
    <row r="6066" spans="1:5" ht="15" x14ac:dyDescent="0.35">
      <c r="A6066" s="58" t="s">
        <v>321</v>
      </c>
      <c r="B6066" s="58" t="s">
        <v>176</v>
      </c>
      <c r="C6066" s="58">
        <v>2</v>
      </c>
      <c r="D6066" s="58">
        <v>105</v>
      </c>
      <c r="E6066" s="59">
        <v>45.75</v>
      </c>
    </row>
    <row r="6067" spans="1:5" ht="15" x14ac:dyDescent="0.35">
      <c r="A6067" s="58" t="s">
        <v>321</v>
      </c>
      <c r="B6067" s="58" t="s">
        <v>176</v>
      </c>
      <c r="C6067" s="58">
        <v>3</v>
      </c>
      <c r="D6067" s="58">
        <v>106</v>
      </c>
      <c r="E6067" s="59">
        <v>45.75</v>
      </c>
    </row>
    <row r="6068" spans="1:5" ht="15" x14ac:dyDescent="0.35">
      <c r="A6068" s="58" t="s">
        <v>321</v>
      </c>
      <c r="B6068" s="58" t="s">
        <v>176</v>
      </c>
      <c r="C6068" s="58">
        <v>4</v>
      </c>
      <c r="D6068" s="58">
        <v>107</v>
      </c>
      <c r="E6068" s="59">
        <v>45.75</v>
      </c>
    </row>
    <row r="6069" spans="1:5" ht="15" x14ac:dyDescent="0.35">
      <c r="A6069" s="58" t="s">
        <v>321</v>
      </c>
      <c r="B6069" s="58" t="s">
        <v>176</v>
      </c>
      <c r="C6069" s="58">
        <v>5</v>
      </c>
      <c r="D6069" s="58">
        <v>108</v>
      </c>
      <c r="E6069" s="59">
        <v>45.75</v>
      </c>
    </row>
    <row r="6070" spans="1:5" ht="15" x14ac:dyDescent="0.35">
      <c r="A6070" s="58" t="s">
        <v>321</v>
      </c>
      <c r="B6070" s="58" t="s">
        <v>176</v>
      </c>
      <c r="C6070" s="58">
        <v>6</v>
      </c>
      <c r="D6070" s="58">
        <v>109</v>
      </c>
      <c r="E6070" s="59">
        <v>45.75</v>
      </c>
    </row>
    <row r="6071" spans="1:5" ht="15" x14ac:dyDescent="0.35">
      <c r="A6071" s="58" t="s">
        <v>321</v>
      </c>
      <c r="B6071" s="58" t="s">
        <v>176</v>
      </c>
      <c r="C6071" s="58">
        <v>7</v>
      </c>
      <c r="D6071" s="58">
        <v>110</v>
      </c>
      <c r="E6071" s="59">
        <v>45.75</v>
      </c>
    </row>
    <row r="6072" spans="1:5" ht="15" x14ac:dyDescent="0.35">
      <c r="A6072" s="58" t="s">
        <v>321</v>
      </c>
      <c r="B6072" s="58" t="s">
        <v>176</v>
      </c>
      <c r="C6072" s="58">
        <v>8</v>
      </c>
      <c r="D6072" s="58">
        <v>111</v>
      </c>
      <c r="E6072" s="59">
        <v>45.75</v>
      </c>
    </row>
    <row r="6073" spans="1:5" ht="15" x14ac:dyDescent="0.35">
      <c r="A6073" s="58" t="s">
        <v>321</v>
      </c>
      <c r="B6073" s="58" t="s">
        <v>176</v>
      </c>
      <c r="C6073" s="58">
        <v>9</v>
      </c>
      <c r="D6073" s="58">
        <v>112</v>
      </c>
      <c r="E6073" s="59">
        <v>45.75</v>
      </c>
    </row>
    <row r="6074" spans="1:5" ht="15" x14ac:dyDescent="0.35">
      <c r="A6074" s="58" t="s">
        <v>321</v>
      </c>
      <c r="B6074" s="58" t="s">
        <v>176</v>
      </c>
      <c r="C6074" s="58">
        <v>10</v>
      </c>
      <c r="D6074" s="58">
        <v>113</v>
      </c>
      <c r="E6074" s="59">
        <v>45.75</v>
      </c>
    </row>
    <row r="6075" spans="1:5" ht="15" x14ac:dyDescent="0.35">
      <c r="A6075" s="58" t="s">
        <v>321</v>
      </c>
      <c r="B6075" s="58" t="s">
        <v>176</v>
      </c>
      <c r="C6075" s="58">
        <v>11</v>
      </c>
      <c r="D6075" s="58">
        <v>114</v>
      </c>
      <c r="E6075" s="59">
        <v>45.75</v>
      </c>
    </row>
    <row r="6076" spans="1:5" ht="15" x14ac:dyDescent="0.35">
      <c r="A6076" s="58" t="s">
        <v>321</v>
      </c>
      <c r="B6076" s="58" t="s">
        <v>176</v>
      </c>
      <c r="C6076" s="58">
        <v>12</v>
      </c>
      <c r="D6076" s="58">
        <v>115</v>
      </c>
      <c r="E6076" s="59">
        <v>45.75</v>
      </c>
    </row>
    <row r="6077" spans="1:5" ht="15" x14ac:dyDescent="0.35">
      <c r="A6077" s="58" t="s">
        <v>321</v>
      </c>
      <c r="B6077" s="58" t="s">
        <v>172</v>
      </c>
      <c r="C6077" s="58">
        <v>1</v>
      </c>
      <c r="D6077" s="58">
        <v>104</v>
      </c>
      <c r="E6077" s="59">
        <v>71</v>
      </c>
    </row>
    <row r="6078" spans="1:5" ht="15" x14ac:dyDescent="0.35">
      <c r="A6078" s="58" t="s">
        <v>321</v>
      </c>
      <c r="B6078" s="58" t="s">
        <v>172</v>
      </c>
      <c r="C6078" s="58">
        <v>2</v>
      </c>
      <c r="D6078" s="58">
        <v>105</v>
      </c>
      <c r="E6078" s="59">
        <v>71</v>
      </c>
    </row>
    <row r="6079" spans="1:5" ht="15" x14ac:dyDescent="0.35">
      <c r="A6079" s="58" t="s">
        <v>321</v>
      </c>
      <c r="B6079" s="58" t="s">
        <v>172</v>
      </c>
      <c r="C6079" s="58">
        <v>3</v>
      </c>
      <c r="D6079" s="58">
        <v>106</v>
      </c>
      <c r="E6079" s="59">
        <v>71</v>
      </c>
    </row>
    <row r="6080" spans="1:5" ht="15" x14ac:dyDescent="0.35">
      <c r="A6080" s="58" t="s">
        <v>321</v>
      </c>
      <c r="B6080" s="58" t="s">
        <v>172</v>
      </c>
      <c r="C6080" s="58">
        <v>4</v>
      </c>
      <c r="D6080" s="58">
        <v>107</v>
      </c>
      <c r="E6080" s="59">
        <v>71</v>
      </c>
    </row>
    <row r="6081" spans="1:5" ht="15" x14ac:dyDescent="0.35">
      <c r="A6081" s="58" t="s">
        <v>321</v>
      </c>
      <c r="B6081" s="58" t="s">
        <v>172</v>
      </c>
      <c r="C6081" s="58">
        <v>5</v>
      </c>
      <c r="D6081" s="58">
        <v>108</v>
      </c>
      <c r="E6081" s="59">
        <v>71</v>
      </c>
    </row>
    <row r="6082" spans="1:5" ht="15" x14ac:dyDescent="0.35">
      <c r="A6082" s="58" t="s">
        <v>321</v>
      </c>
      <c r="B6082" s="58" t="s">
        <v>172</v>
      </c>
      <c r="C6082" s="58">
        <v>6</v>
      </c>
      <c r="D6082" s="58">
        <v>109</v>
      </c>
      <c r="E6082" s="59">
        <v>71</v>
      </c>
    </row>
    <row r="6083" spans="1:5" ht="15" x14ac:dyDescent="0.35">
      <c r="A6083" s="58" t="s">
        <v>321</v>
      </c>
      <c r="B6083" s="58" t="s">
        <v>172</v>
      </c>
      <c r="C6083" s="58">
        <v>7</v>
      </c>
      <c r="D6083" s="58">
        <v>110</v>
      </c>
      <c r="E6083" s="59">
        <v>71</v>
      </c>
    </row>
    <row r="6084" spans="1:5" ht="15" x14ac:dyDescent="0.35">
      <c r="A6084" s="58" t="s">
        <v>321</v>
      </c>
      <c r="B6084" s="58" t="s">
        <v>172</v>
      </c>
      <c r="C6084" s="58">
        <v>8</v>
      </c>
      <c r="D6084" s="58">
        <v>111</v>
      </c>
      <c r="E6084" s="59">
        <v>71</v>
      </c>
    </row>
    <row r="6085" spans="1:5" ht="15" x14ac:dyDescent="0.35">
      <c r="A6085" s="58" t="s">
        <v>321</v>
      </c>
      <c r="B6085" s="58" t="s">
        <v>172</v>
      </c>
      <c r="C6085" s="58">
        <v>9</v>
      </c>
      <c r="D6085" s="58">
        <v>112</v>
      </c>
      <c r="E6085" s="59">
        <v>71</v>
      </c>
    </row>
    <row r="6086" spans="1:5" ht="15" x14ac:dyDescent="0.35">
      <c r="A6086" s="58" t="s">
        <v>321</v>
      </c>
      <c r="B6086" s="58" t="s">
        <v>172</v>
      </c>
      <c r="C6086" s="58">
        <v>10</v>
      </c>
      <c r="D6086" s="58">
        <v>113</v>
      </c>
      <c r="E6086" s="59">
        <v>71</v>
      </c>
    </row>
    <row r="6087" spans="1:5" ht="15" x14ac:dyDescent="0.35">
      <c r="A6087" s="58" t="s">
        <v>321</v>
      </c>
      <c r="B6087" s="58" t="s">
        <v>172</v>
      </c>
      <c r="C6087" s="58">
        <v>11</v>
      </c>
      <c r="D6087" s="58">
        <v>114</v>
      </c>
      <c r="E6087" s="59">
        <v>71</v>
      </c>
    </row>
    <row r="6088" spans="1:5" ht="15" x14ac:dyDescent="0.35">
      <c r="A6088" s="58" t="s">
        <v>321</v>
      </c>
      <c r="B6088" s="58" t="s">
        <v>172</v>
      </c>
      <c r="C6088" s="58">
        <v>12</v>
      </c>
      <c r="D6088" s="58">
        <v>115</v>
      </c>
      <c r="E6088" s="59">
        <v>71</v>
      </c>
    </row>
    <row r="6089" spans="1:5" ht="15" x14ac:dyDescent="0.35">
      <c r="A6089" s="58" t="s">
        <v>321</v>
      </c>
      <c r="B6089" s="58" t="s">
        <v>180</v>
      </c>
      <c r="C6089" s="58">
        <v>1</v>
      </c>
      <c r="D6089" s="58">
        <v>104</v>
      </c>
      <c r="E6089" s="59">
        <v>50.439700000000002</v>
      </c>
    </row>
    <row r="6090" spans="1:5" ht="15" x14ac:dyDescent="0.35">
      <c r="A6090" s="58" t="s">
        <v>321</v>
      </c>
      <c r="B6090" s="58" t="s">
        <v>180</v>
      </c>
      <c r="C6090" s="58">
        <v>2</v>
      </c>
      <c r="D6090" s="58">
        <v>105</v>
      </c>
      <c r="E6090" s="59">
        <v>50.439700000000002</v>
      </c>
    </row>
    <row r="6091" spans="1:5" ht="15" x14ac:dyDescent="0.35">
      <c r="A6091" s="58" t="s">
        <v>321</v>
      </c>
      <c r="B6091" s="58" t="s">
        <v>180</v>
      </c>
      <c r="C6091" s="58">
        <v>3</v>
      </c>
      <c r="D6091" s="58">
        <v>106</v>
      </c>
      <c r="E6091" s="59">
        <v>50.439700000000002</v>
      </c>
    </row>
    <row r="6092" spans="1:5" ht="15" x14ac:dyDescent="0.35">
      <c r="A6092" s="58" t="s">
        <v>321</v>
      </c>
      <c r="B6092" s="58" t="s">
        <v>180</v>
      </c>
      <c r="C6092" s="58">
        <v>4</v>
      </c>
      <c r="D6092" s="58">
        <v>107</v>
      </c>
      <c r="E6092" s="59">
        <v>50.439700000000002</v>
      </c>
    </row>
    <row r="6093" spans="1:5" ht="15" x14ac:dyDescent="0.35">
      <c r="A6093" s="58" t="s">
        <v>321</v>
      </c>
      <c r="B6093" s="58" t="s">
        <v>180</v>
      </c>
      <c r="C6093" s="58">
        <v>5</v>
      </c>
      <c r="D6093" s="58">
        <v>108</v>
      </c>
      <c r="E6093" s="59">
        <v>50.439700000000002</v>
      </c>
    </row>
    <row r="6094" spans="1:5" ht="15" x14ac:dyDescent="0.35">
      <c r="A6094" s="58" t="s">
        <v>321</v>
      </c>
      <c r="B6094" s="58" t="s">
        <v>180</v>
      </c>
      <c r="C6094" s="58">
        <v>6</v>
      </c>
      <c r="D6094" s="58">
        <v>109</v>
      </c>
      <c r="E6094" s="59">
        <v>50.439700000000002</v>
      </c>
    </row>
    <row r="6095" spans="1:5" ht="15" x14ac:dyDescent="0.35">
      <c r="A6095" s="58" t="s">
        <v>321</v>
      </c>
      <c r="B6095" s="58" t="s">
        <v>180</v>
      </c>
      <c r="C6095" s="58">
        <v>7</v>
      </c>
      <c r="D6095" s="58">
        <v>110</v>
      </c>
      <c r="E6095" s="59">
        <v>50.439700000000002</v>
      </c>
    </row>
    <row r="6096" spans="1:5" ht="15" x14ac:dyDescent="0.35">
      <c r="A6096" s="58" t="s">
        <v>321</v>
      </c>
      <c r="B6096" s="58" t="s">
        <v>180</v>
      </c>
      <c r="C6096" s="58">
        <v>8</v>
      </c>
      <c r="D6096" s="58">
        <v>111</v>
      </c>
      <c r="E6096" s="59">
        <v>50.439700000000002</v>
      </c>
    </row>
    <row r="6097" spans="1:5" ht="15" x14ac:dyDescent="0.35">
      <c r="A6097" s="58" t="s">
        <v>321</v>
      </c>
      <c r="B6097" s="58" t="s">
        <v>180</v>
      </c>
      <c r="C6097" s="58">
        <v>9</v>
      </c>
      <c r="D6097" s="58">
        <v>112</v>
      </c>
      <c r="E6097" s="59">
        <v>50.439700000000002</v>
      </c>
    </row>
    <row r="6098" spans="1:5" ht="15" x14ac:dyDescent="0.35">
      <c r="A6098" s="58" t="s">
        <v>321</v>
      </c>
      <c r="B6098" s="58" t="s">
        <v>180</v>
      </c>
      <c r="C6098" s="58">
        <v>10</v>
      </c>
      <c r="D6098" s="58">
        <v>113</v>
      </c>
      <c r="E6098" s="59">
        <v>50.439700000000002</v>
      </c>
    </row>
    <row r="6099" spans="1:5" ht="15" x14ac:dyDescent="0.35">
      <c r="A6099" s="58" t="s">
        <v>321</v>
      </c>
      <c r="B6099" s="58" t="s">
        <v>180</v>
      </c>
      <c r="C6099" s="58">
        <v>11</v>
      </c>
      <c r="D6099" s="58">
        <v>114</v>
      </c>
      <c r="E6099" s="59">
        <v>50.439700000000002</v>
      </c>
    </row>
    <row r="6100" spans="1:5" ht="15" x14ac:dyDescent="0.35">
      <c r="A6100" s="58" t="s">
        <v>321</v>
      </c>
      <c r="B6100" s="58" t="s">
        <v>180</v>
      </c>
      <c r="C6100" s="58">
        <v>12</v>
      </c>
      <c r="D6100" s="58">
        <v>115</v>
      </c>
      <c r="E6100" s="59">
        <v>50.439700000000002</v>
      </c>
    </row>
    <row r="6101" spans="1:5" ht="15" x14ac:dyDescent="0.35">
      <c r="A6101" s="58" t="s">
        <v>306</v>
      </c>
      <c r="B6101" s="58" t="s">
        <v>182</v>
      </c>
      <c r="C6101" s="58">
        <v>1</v>
      </c>
      <c r="D6101" s="58">
        <v>104</v>
      </c>
      <c r="E6101" s="59">
        <v>174.80850000000001</v>
      </c>
    </row>
    <row r="6102" spans="1:5" ht="15" x14ac:dyDescent="0.35">
      <c r="A6102" s="58" t="s">
        <v>306</v>
      </c>
      <c r="B6102" s="58" t="s">
        <v>182</v>
      </c>
      <c r="C6102" s="58">
        <v>2</v>
      </c>
      <c r="D6102" s="58">
        <v>105</v>
      </c>
      <c r="E6102" s="59">
        <v>89.008499999999998</v>
      </c>
    </row>
    <row r="6103" spans="1:5" ht="15" x14ac:dyDescent="0.35">
      <c r="A6103" s="58" t="s">
        <v>306</v>
      </c>
      <c r="B6103" s="58" t="s">
        <v>182</v>
      </c>
      <c r="C6103" s="58">
        <v>3</v>
      </c>
      <c r="D6103" s="58">
        <v>106</v>
      </c>
      <c r="E6103" s="59">
        <v>112.3085</v>
      </c>
    </row>
    <row r="6104" spans="1:5" ht="15" x14ac:dyDescent="0.35">
      <c r="A6104" s="58" t="s">
        <v>306</v>
      </c>
      <c r="B6104" s="58" t="s">
        <v>182</v>
      </c>
      <c r="C6104" s="58">
        <v>4</v>
      </c>
      <c r="D6104" s="58">
        <v>107</v>
      </c>
      <c r="E6104" s="59">
        <v>114.5227</v>
      </c>
    </row>
    <row r="6105" spans="1:5" ht="15" x14ac:dyDescent="0.35">
      <c r="A6105" s="58" t="s">
        <v>306</v>
      </c>
      <c r="B6105" s="58" t="s">
        <v>182</v>
      </c>
      <c r="C6105" s="58">
        <v>5</v>
      </c>
      <c r="D6105" s="58">
        <v>108</v>
      </c>
      <c r="E6105" s="59">
        <v>118.9335</v>
      </c>
    </row>
    <row r="6106" spans="1:5" ht="15" x14ac:dyDescent="0.35">
      <c r="A6106" s="58" t="s">
        <v>306</v>
      </c>
      <c r="B6106" s="58" t="s">
        <v>182</v>
      </c>
      <c r="C6106" s="58">
        <v>6</v>
      </c>
      <c r="D6106" s="58">
        <v>109</v>
      </c>
      <c r="E6106" s="59">
        <v>115.58620000000001</v>
      </c>
    </row>
    <row r="6107" spans="1:5" ht="15" x14ac:dyDescent="0.35">
      <c r="A6107" s="58" t="s">
        <v>306</v>
      </c>
      <c r="B6107" s="58" t="s">
        <v>182</v>
      </c>
      <c r="C6107" s="58">
        <v>7</v>
      </c>
      <c r="D6107" s="58">
        <v>110</v>
      </c>
      <c r="E6107" s="59">
        <v>94.586200000000005</v>
      </c>
    </row>
    <row r="6108" spans="1:5" ht="15" x14ac:dyDescent="0.35">
      <c r="A6108" s="58" t="s">
        <v>306</v>
      </c>
      <c r="B6108" s="58" t="s">
        <v>182</v>
      </c>
      <c r="C6108" s="58">
        <v>8</v>
      </c>
      <c r="D6108" s="58">
        <v>111</v>
      </c>
      <c r="E6108" s="59">
        <v>95.586200000000005</v>
      </c>
    </row>
    <row r="6109" spans="1:5" ht="15" x14ac:dyDescent="0.35">
      <c r="A6109" s="58" t="s">
        <v>306</v>
      </c>
      <c r="B6109" s="58" t="s">
        <v>182</v>
      </c>
      <c r="C6109" s="58">
        <v>9</v>
      </c>
      <c r="D6109" s="58">
        <v>112</v>
      </c>
      <c r="E6109" s="59">
        <v>117.4751</v>
      </c>
    </row>
    <row r="6110" spans="1:5" ht="15" x14ac:dyDescent="0.35">
      <c r="A6110" s="58" t="s">
        <v>306</v>
      </c>
      <c r="B6110" s="58" t="s">
        <v>182</v>
      </c>
      <c r="C6110" s="58">
        <v>10</v>
      </c>
      <c r="D6110" s="58">
        <v>113</v>
      </c>
      <c r="E6110" s="59">
        <v>144.25290000000001</v>
      </c>
    </row>
    <row r="6111" spans="1:5" ht="15" x14ac:dyDescent="0.35">
      <c r="A6111" s="58" t="s">
        <v>306</v>
      </c>
      <c r="B6111" s="58" t="s">
        <v>182</v>
      </c>
      <c r="C6111" s="58">
        <v>11</v>
      </c>
      <c r="D6111" s="58">
        <v>114</v>
      </c>
      <c r="E6111" s="59">
        <v>146.58619999999999</v>
      </c>
    </row>
    <row r="6112" spans="1:5" ht="15" x14ac:dyDescent="0.35">
      <c r="A6112" s="58" t="s">
        <v>306</v>
      </c>
      <c r="B6112" s="58" t="s">
        <v>182</v>
      </c>
      <c r="C6112" s="58">
        <v>12</v>
      </c>
      <c r="D6112" s="58">
        <v>115</v>
      </c>
      <c r="E6112" s="59">
        <v>118.6973</v>
      </c>
    </row>
    <row r="6113" spans="1:5" ht="15" x14ac:dyDescent="0.35">
      <c r="A6113" s="58" t="s">
        <v>306</v>
      </c>
      <c r="B6113" s="58" t="s">
        <v>176</v>
      </c>
      <c r="C6113" s="58">
        <v>1</v>
      </c>
      <c r="D6113" s="58">
        <v>104</v>
      </c>
      <c r="E6113" s="59">
        <v>162</v>
      </c>
    </row>
    <row r="6114" spans="1:5" ht="15" x14ac:dyDescent="0.35">
      <c r="A6114" s="58" t="s">
        <v>306</v>
      </c>
      <c r="B6114" s="58" t="s">
        <v>176</v>
      </c>
      <c r="C6114" s="58">
        <v>2</v>
      </c>
      <c r="D6114" s="58">
        <v>105</v>
      </c>
      <c r="E6114" s="59">
        <v>162</v>
      </c>
    </row>
    <row r="6115" spans="1:5" ht="15" x14ac:dyDescent="0.35">
      <c r="A6115" s="58" t="s">
        <v>306</v>
      </c>
      <c r="B6115" s="58" t="s">
        <v>176</v>
      </c>
      <c r="C6115" s="58">
        <v>3</v>
      </c>
      <c r="D6115" s="58">
        <v>106</v>
      </c>
      <c r="E6115" s="59">
        <v>162</v>
      </c>
    </row>
    <row r="6116" spans="1:5" ht="15" x14ac:dyDescent="0.35">
      <c r="A6116" s="58" t="s">
        <v>306</v>
      </c>
      <c r="B6116" s="58" t="s">
        <v>176</v>
      </c>
      <c r="C6116" s="58">
        <v>4</v>
      </c>
      <c r="D6116" s="58">
        <v>107</v>
      </c>
      <c r="E6116" s="59">
        <v>162</v>
      </c>
    </row>
    <row r="6117" spans="1:5" ht="15" x14ac:dyDescent="0.35">
      <c r="A6117" s="58" t="s">
        <v>306</v>
      </c>
      <c r="B6117" s="58" t="s">
        <v>176</v>
      </c>
      <c r="C6117" s="58">
        <v>5</v>
      </c>
      <c r="D6117" s="58">
        <v>108</v>
      </c>
      <c r="E6117" s="59">
        <v>162</v>
      </c>
    </row>
    <row r="6118" spans="1:5" ht="15" x14ac:dyDescent="0.35">
      <c r="A6118" s="58" t="s">
        <v>306</v>
      </c>
      <c r="B6118" s="58" t="s">
        <v>176</v>
      </c>
      <c r="C6118" s="58">
        <v>6</v>
      </c>
      <c r="D6118" s="58">
        <v>109</v>
      </c>
      <c r="E6118" s="59">
        <v>162</v>
      </c>
    </row>
    <row r="6119" spans="1:5" ht="15" x14ac:dyDescent="0.35">
      <c r="A6119" s="58" t="s">
        <v>306</v>
      </c>
      <c r="B6119" s="58" t="s">
        <v>176</v>
      </c>
      <c r="C6119" s="58">
        <v>7</v>
      </c>
      <c r="D6119" s="58">
        <v>110</v>
      </c>
      <c r="E6119" s="59">
        <v>162</v>
      </c>
    </row>
    <row r="6120" spans="1:5" ht="15" x14ac:dyDescent="0.35">
      <c r="A6120" s="58" t="s">
        <v>306</v>
      </c>
      <c r="B6120" s="58" t="s">
        <v>176</v>
      </c>
      <c r="C6120" s="58">
        <v>8</v>
      </c>
      <c r="D6120" s="58">
        <v>111</v>
      </c>
      <c r="E6120" s="59">
        <v>162</v>
      </c>
    </row>
    <row r="6121" spans="1:5" ht="15" x14ac:dyDescent="0.35">
      <c r="A6121" s="58" t="s">
        <v>306</v>
      </c>
      <c r="B6121" s="58" t="s">
        <v>176</v>
      </c>
      <c r="C6121" s="58">
        <v>9</v>
      </c>
      <c r="D6121" s="58">
        <v>112</v>
      </c>
      <c r="E6121" s="59">
        <v>162</v>
      </c>
    </row>
    <row r="6122" spans="1:5" ht="15" x14ac:dyDescent="0.35">
      <c r="A6122" s="58" t="s">
        <v>306</v>
      </c>
      <c r="B6122" s="58" t="s">
        <v>176</v>
      </c>
      <c r="C6122" s="58">
        <v>10</v>
      </c>
      <c r="D6122" s="58">
        <v>113</v>
      </c>
      <c r="E6122" s="59">
        <v>162</v>
      </c>
    </row>
    <row r="6123" spans="1:5" ht="15" x14ac:dyDescent="0.35">
      <c r="A6123" s="58" t="s">
        <v>306</v>
      </c>
      <c r="B6123" s="58" t="s">
        <v>176</v>
      </c>
      <c r="C6123" s="58">
        <v>11</v>
      </c>
      <c r="D6123" s="58">
        <v>114</v>
      </c>
      <c r="E6123" s="59">
        <v>162</v>
      </c>
    </row>
    <row r="6124" spans="1:5" ht="15" x14ac:dyDescent="0.35">
      <c r="A6124" s="58" t="s">
        <v>306</v>
      </c>
      <c r="B6124" s="58" t="s">
        <v>176</v>
      </c>
      <c r="C6124" s="58">
        <v>12</v>
      </c>
      <c r="D6124" s="58">
        <v>115</v>
      </c>
      <c r="E6124" s="59">
        <v>162</v>
      </c>
    </row>
    <row r="6125" spans="1:5" ht="15" x14ac:dyDescent="0.35">
      <c r="A6125" s="58" t="s">
        <v>306</v>
      </c>
      <c r="B6125" s="58" t="s">
        <v>172</v>
      </c>
      <c r="C6125" s="58">
        <v>1</v>
      </c>
      <c r="D6125" s="58">
        <v>104</v>
      </c>
      <c r="E6125" s="59">
        <v>208</v>
      </c>
    </row>
    <row r="6126" spans="1:5" ht="15" x14ac:dyDescent="0.35">
      <c r="A6126" s="58" t="s">
        <v>306</v>
      </c>
      <c r="B6126" s="58" t="s">
        <v>172</v>
      </c>
      <c r="C6126" s="58">
        <v>2</v>
      </c>
      <c r="D6126" s="58">
        <v>105</v>
      </c>
      <c r="E6126" s="59">
        <v>208</v>
      </c>
    </row>
    <row r="6127" spans="1:5" ht="15" x14ac:dyDescent="0.35">
      <c r="A6127" s="58" t="s">
        <v>306</v>
      </c>
      <c r="B6127" s="58" t="s">
        <v>172</v>
      </c>
      <c r="C6127" s="58">
        <v>3</v>
      </c>
      <c r="D6127" s="58">
        <v>106</v>
      </c>
      <c r="E6127" s="59">
        <v>208</v>
      </c>
    </row>
    <row r="6128" spans="1:5" ht="15" x14ac:dyDescent="0.35">
      <c r="A6128" s="58" t="s">
        <v>306</v>
      </c>
      <c r="B6128" s="58" t="s">
        <v>172</v>
      </c>
      <c r="C6128" s="58">
        <v>4</v>
      </c>
      <c r="D6128" s="58">
        <v>107</v>
      </c>
      <c r="E6128" s="59">
        <v>208</v>
      </c>
    </row>
    <row r="6129" spans="1:5" ht="15" x14ac:dyDescent="0.35">
      <c r="A6129" s="58" t="s">
        <v>306</v>
      </c>
      <c r="B6129" s="58" t="s">
        <v>172</v>
      </c>
      <c r="C6129" s="58">
        <v>5</v>
      </c>
      <c r="D6129" s="58">
        <v>108</v>
      </c>
      <c r="E6129" s="59">
        <v>208</v>
      </c>
    </row>
    <row r="6130" spans="1:5" ht="15" x14ac:dyDescent="0.35">
      <c r="A6130" s="58" t="s">
        <v>306</v>
      </c>
      <c r="B6130" s="58" t="s">
        <v>172</v>
      </c>
      <c r="C6130" s="58">
        <v>6</v>
      </c>
      <c r="D6130" s="58">
        <v>109</v>
      </c>
      <c r="E6130" s="59">
        <v>208</v>
      </c>
    </row>
    <row r="6131" spans="1:5" ht="15" x14ac:dyDescent="0.35">
      <c r="A6131" s="58" t="s">
        <v>306</v>
      </c>
      <c r="B6131" s="58" t="s">
        <v>172</v>
      </c>
      <c r="C6131" s="58">
        <v>7</v>
      </c>
      <c r="D6131" s="58">
        <v>110</v>
      </c>
      <c r="E6131" s="59">
        <v>208</v>
      </c>
    </row>
    <row r="6132" spans="1:5" ht="15" x14ac:dyDescent="0.35">
      <c r="A6132" s="58" t="s">
        <v>306</v>
      </c>
      <c r="B6132" s="58" t="s">
        <v>172</v>
      </c>
      <c r="C6132" s="58">
        <v>8</v>
      </c>
      <c r="D6132" s="58">
        <v>111</v>
      </c>
      <c r="E6132" s="59">
        <v>208</v>
      </c>
    </row>
    <row r="6133" spans="1:5" ht="15" x14ac:dyDescent="0.35">
      <c r="A6133" s="58" t="s">
        <v>306</v>
      </c>
      <c r="B6133" s="58" t="s">
        <v>172</v>
      </c>
      <c r="C6133" s="58">
        <v>9</v>
      </c>
      <c r="D6133" s="58">
        <v>112</v>
      </c>
      <c r="E6133" s="59">
        <v>208</v>
      </c>
    </row>
    <row r="6134" spans="1:5" ht="15" x14ac:dyDescent="0.35">
      <c r="A6134" s="58" t="s">
        <v>306</v>
      </c>
      <c r="B6134" s="58" t="s">
        <v>172</v>
      </c>
      <c r="C6134" s="58">
        <v>10</v>
      </c>
      <c r="D6134" s="58">
        <v>113</v>
      </c>
      <c r="E6134" s="59">
        <v>208</v>
      </c>
    </row>
    <row r="6135" spans="1:5" ht="15" x14ac:dyDescent="0.35">
      <c r="A6135" s="58" t="s">
        <v>306</v>
      </c>
      <c r="B6135" s="58" t="s">
        <v>172</v>
      </c>
      <c r="C6135" s="58">
        <v>11</v>
      </c>
      <c r="D6135" s="58">
        <v>114</v>
      </c>
      <c r="E6135" s="59">
        <v>208</v>
      </c>
    </row>
    <row r="6136" spans="1:5" ht="15" x14ac:dyDescent="0.35">
      <c r="A6136" s="58" t="s">
        <v>306</v>
      </c>
      <c r="B6136" s="58" t="s">
        <v>172</v>
      </c>
      <c r="C6136" s="58">
        <v>12</v>
      </c>
      <c r="D6136" s="58">
        <v>115</v>
      </c>
      <c r="E6136" s="59">
        <v>208</v>
      </c>
    </row>
    <row r="6137" spans="1:5" ht="15" x14ac:dyDescent="0.35">
      <c r="A6137" s="58" t="s">
        <v>306</v>
      </c>
      <c r="B6137" s="58" t="s">
        <v>180</v>
      </c>
      <c r="C6137" s="58">
        <v>1</v>
      </c>
      <c r="D6137" s="58">
        <v>104</v>
      </c>
      <c r="E6137" s="59">
        <v>194.5324</v>
      </c>
    </row>
    <row r="6138" spans="1:5" ht="15" x14ac:dyDescent="0.35">
      <c r="A6138" s="58" t="s">
        <v>306</v>
      </c>
      <c r="B6138" s="58" t="s">
        <v>180</v>
      </c>
      <c r="C6138" s="58">
        <v>2</v>
      </c>
      <c r="D6138" s="58">
        <v>105</v>
      </c>
      <c r="E6138" s="59">
        <v>194.5324</v>
      </c>
    </row>
    <row r="6139" spans="1:5" ht="15" x14ac:dyDescent="0.35">
      <c r="A6139" s="58" t="s">
        <v>306</v>
      </c>
      <c r="B6139" s="58" t="s">
        <v>180</v>
      </c>
      <c r="C6139" s="58">
        <v>3</v>
      </c>
      <c r="D6139" s="58">
        <v>106</v>
      </c>
      <c r="E6139" s="59">
        <v>194.5324</v>
      </c>
    </row>
    <row r="6140" spans="1:5" ht="15" x14ac:dyDescent="0.35">
      <c r="A6140" s="58" t="s">
        <v>306</v>
      </c>
      <c r="B6140" s="58" t="s">
        <v>180</v>
      </c>
      <c r="C6140" s="58">
        <v>4</v>
      </c>
      <c r="D6140" s="58">
        <v>107</v>
      </c>
      <c r="E6140" s="59">
        <v>194.5324</v>
      </c>
    </row>
    <row r="6141" spans="1:5" ht="15" x14ac:dyDescent="0.35">
      <c r="A6141" s="58" t="s">
        <v>306</v>
      </c>
      <c r="B6141" s="58" t="s">
        <v>180</v>
      </c>
      <c r="C6141" s="58">
        <v>5</v>
      </c>
      <c r="D6141" s="58">
        <v>108</v>
      </c>
      <c r="E6141" s="59">
        <v>194.5324</v>
      </c>
    </row>
    <row r="6142" spans="1:5" ht="15" x14ac:dyDescent="0.35">
      <c r="A6142" s="58" t="s">
        <v>306</v>
      </c>
      <c r="B6142" s="58" t="s">
        <v>180</v>
      </c>
      <c r="C6142" s="58">
        <v>6</v>
      </c>
      <c r="D6142" s="58">
        <v>109</v>
      </c>
      <c r="E6142" s="59">
        <v>194.5324</v>
      </c>
    </row>
    <row r="6143" spans="1:5" ht="15" x14ac:dyDescent="0.35">
      <c r="A6143" s="58" t="s">
        <v>306</v>
      </c>
      <c r="B6143" s="58" t="s">
        <v>180</v>
      </c>
      <c r="C6143" s="58">
        <v>7</v>
      </c>
      <c r="D6143" s="58">
        <v>110</v>
      </c>
      <c r="E6143" s="59">
        <v>194.5324</v>
      </c>
    </row>
    <row r="6144" spans="1:5" ht="15" x14ac:dyDescent="0.35">
      <c r="A6144" s="58" t="s">
        <v>306</v>
      </c>
      <c r="B6144" s="58" t="s">
        <v>180</v>
      </c>
      <c r="C6144" s="58">
        <v>8</v>
      </c>
      <c r="D6144" s="58">
        <v>111</v>
      </c>
      <c r="E6144" s="59">
        <v>194.5324</v>
      </c>
    </row>
    <row r="6145" spans="1:5" ht="15" x14ac:dyDescent="0.35">
      <c r="A6145" s="58" t="s">
        <v>306</v>
      </c>
      <c r="B6145" s="58" t="s">
        <v>180</v>
      </c>
      <c r="C6145" s="58">
        <v>9</v>
      </c>
      <c r="D6145" s="58">
        <v>112</v>
      </c>
      <c r="E6145" s="59">
        <v>194.5324</v>
      </c>
    </row>
    <row r="6146" spans="1:5" ht="15" x14ac:dyDescent="0.35">
      <c r="A6146" s="58" t="s">
        <v>306</v>
      </c>
      <c r="B6146" s="58" t="s">
        <v>180</v>
      </c>
      <c r="C6146" s="58">
        <v>10</v>
      </c>
      <c r="D6146" s="58">
        <v>113</v>
      </c>
      <c r="E6146" s="59">
        <v>194.5324</v>
      </c>
    </row>
    <row r="6147" spans="1:5" ht="15" x14ac:dyDescent="0.35">
      <c r="A6147" s="58" t="s">
        <v>306</v>
      </c>
      <c r="B6147" s="58" t="s">
        <v>180</v>
      </c>
      <c r="C6147" s="58">
        <v>11</v>
      </c>
      <c r="D6147" s="58">
        <v>114</v>
      </c>
      <c r="E6147" s="59">
        <v>194.5324</v>
      </c>
    </row>
    <row r="6148" spans="1:5" ht="15" x14ac:dyDescent="0.35">
      <c r="A6148" s="58" t="s">
        <v>306</v>
      </c>
      <c r="B6148" s="58" t="s">
        <v>180</v>
      </c>
      <c r="C6148" s="58">
        <v>12</v>
      </c>
      <c r="D6148" s="58">
        <v>115</v>
      </c>
      <c r="E6148" s="59">
        <v>194.5324</v>
      </c>
    </row>
    <row r="6149" spans="1:5" ht="15" x14ac:dyDescent="0.35">
      <c r="A6149" s="58" t="s">
        <v>328</v>
      </c>
      <c r="B6149" s="58" t="s">
        <v>182</v>
      </c>
      <c r="C6149" s="58">
        <v>1</v>
      </c>
      <c r="D6149" s="58">
        <v>104</v>
      </c>
      <c r="E6149" s="59">
        <v>219.96870000000001</v>
      </c>
    </row>
    <row r="6150" spans="1:5" ht="15" x14ac:dyDescent="0.35">
      <c r="A6150" s="58" t="s">
        <v>328</v>
      </c>
      <c r="B6150" s="58" t="s">
        <v>182</v>
      </c>
      <c r="C6150" s="58">
        <v>2</v>
      </c>
      <c r="D6150" s="58">
        <v>105</v>
      </c>
      <c r="E6150" s="59">
        <v>157.6798</v>
      </c>
    </row>
    <row r="6151" spans="1:5" ht="15" x14ac:dyDescent="0.35">
      <c r="A6151" s="58" t="s">
        <v>328</v>
      </c>
      <c r="B6151" s="58" t="s">
        <v>182</v>
      </c>
      <c r="C6151" s="58">
        <v>3</v>
      </c>
      <c r="D6151" s="58">
        <v>106</v>
      </c>
      <c r="E6151" s="59">
        <v>151.2465</v>
      </c>
    </row>
    <row r="6152" spans="1:5" ht="15" x14ac:dyDescent="0.35">
      <c r="A6152" s="58" t="s">
        <v>328</v>
      </c>
      <c r="B6152" s="58" t="s">
        <v>182</v>
      </c>
      <c r="C6152" s="58">
        <v>4</v>
      </c>
      <c r="D6152" s="58">
        <v>107</v>
      </c>
      <c r="E6152" s="59">
        <v>173.2226</v>
      </c>
    </row>
    <row r="6153" spans="1:5" ht="15" x14ac:dyDescent="0.35">
      <c r="A6153" s="58" t="s">
        <v>328</v>
      </c>
      <c r="B6153" s="58" t="s">
        <v>182</v>
      </c>
      <c r="C6153" s="58">
        <v>5</v>
      </c>
      <c r="D6153" s="58">
        <v>108</v>
      </c>
      <c r="E6153" s="59">
        <v>170.57980000000001</v>
      </c>
    </row>
    <row r="6154" spans="1:5" ht="15" x14ac:dyDescent="0.35">
      <c r="A6154" s="58" t="s">
        <v>328</v>
      </c>
      <c r="B6154" s="58" t="s">
        <v>182</v>
      </c>
      <c r="C6154" s="58">
        <v>6</v>
      </c>
      <c r="D6154" s="58">
        <v>109</v>
      </c>
      <c r="E6154" s="59">
        <v>177.07980000000001</v>
      </c>
    </row>
    <row r="6155" spans="1:5" ht="15" x14ac:dyDescent="0.35">
      <c r="A6155" s="58" t="s">
        <v>328</v>
      </c>
      <c r="B6155" s="58" t="s">
        <v>182</v>
      </c>
      <c r="C6155" s="58">
        <v>7</v>
      </c>
      <c r="D6155" s="58">
        <v>110</v>
      </c>
      <c r="E6155" s="59">
        <v>167.85759999999999</v>
      </c>
    </row>
    <row r="6156" spans="1:5" ht="15" x14ac:dyDescent="0.35">
      <c r="A6156" s="58" t="s">
        <v>328</v>
      </c>
      <c r="B6156" s="58" t="s">
        <v>182</v>
      </c>
      <c r="C6156" s="58">
        <v>8</v>
      </c>
      <c r="D6156" s="58">
        <v>111</v>
      </c>
      <c r="E6156" s="59">
        <v>158.1909</v>
      </c>
    </row>
    <row r="6157" spans="1:5" ht="15" x14ac:dyDescent="0.35">
      <c r="A6157" s="58" t="s">
        <v>328</v>
      </c>
      <c r="B6157" s="58" t="s">
        <v>182</v>
      </c>
      <c r="C6157" s="58">
        <v>9</v>
      </c>
      <c r="D6157" s="58">
        <v>112</v>
      </c>
      <c r="E6157" s="59">
        <v>151.41309999999999</v>
      </c>
    </row>
    <row r="6158" spans="1:5" ht="15" x14ac:dyDescent="0.35">
      <c r="A6158" s="58" t="s">
        <v>328</v>
      </c>
      <c r="B6158" s="58" t="s">
        <v>182</v>
      </c>
      <c r="C6158" s="58">
        <v>10</v>
      </c>
      <c r="D6158" s="58">
        <v>113</v>
      </c>
      <c r="E6158" s="59">
        <v>173.30199999999999</v>
      </c>
    </row>
    <row r="6159" spans="1:5" ht="15" x14ac:dyDescent="0.35">
      <c r="A6159" s="58" t="s">
        <v>328</v>
      </c>
      <c r="B6159" s="58" t="s">
        <v>182</v>
      </c>
      <c r="C6159" s="58">
        <v>11</v>
      </c>
      <c r="D6159" s="58">
        <v>114</v>
      </c>
      <c r="E6159" s="59">
        <v>198.30199999999999</v>
      </c>
    </row>
    <row r="6160" spans="1:5" ht="15" x14ac:dyDescent="0.35">
      <c r="A6160" s="58" t="s">
        <v>328</v>
      </c>
      <c r="B6160" s="58" t="s">
        <v>182</v>
      </c>
      <c r="C6160" s="58">
        <v>12</v>
      </c>
      <c r="D6160" s="58">
        <v>115</v>
      </c>
      <c r="E6160" s="59">
        <v>204.96870000000001</v>
      </c>
    </row>
    <row r="6161" spans="1:5" ht="15" x14ac:dyDescent="0.35">
      <c r="A6161" s="58" t="s">
        <v>328</v>
      </c>
      <c r="B6161" s="58" t="s">
        <v>176</v>
      </c>
      <c r="C6161" s="58">
        <v>1</v>
      </c>
      <c r="D6161" s="58">
        <v>104</v>
      </c>
      <c r="E6161" s="59">
        <v>255.625</v>
      </c>
    </row>
    <row r="6162" spans="1:5" ht="15" x14ac:dyDescent="0.35">
      <c r="A6162" s="58" t="s">
        <v>328</v>
      </c>
      <c r="B6162" s="58" t="s">
        <v>176</v>
      </c>
      <c r="C6162" s="58">
        <v>2</v>
      </c>
      <c r="D6162" s="58">
        <v>105</v>
      </c>
      <c r="E6162" s="59">
        <v>255.625</v>
      </c>
    </row>
    <row r="6163" spans="1:5" ht="15" x14ac:dyDescent="0.35">
      <c r="A6163" s="58" t="s">
        <v>328</v>
      </c>
      <c r="B6163" s="58" t="s">
        <v>176</v>
      </c>
      <c r="C6163" s="58">
        <v>3</v>
      </c>
      <c r="D6163" s="58">
        <v>106</v>
      </c>
      <c r="E6163" s="59">
        <v>255.625</v>
      </c>
    </row>
    <row r="6164" spans="1:5" ht="15" x14ac:dyDescent="0.35">
      <c r="A6164" s="58" t="s">
        <v>328</v>
      </c>
      <c r="B6164" s="58" t="s">
        <v>176</v>
      </c>
      <c r="C6164" s="58">
        <v>4</v>
      </c>
      <c r="D6164" s="58">
        <v>107</v>
      </c>
      <c r="E6164" s="59">
        <v>255.625</v>
      </c>
    </row>
    <row r="6165" spans="1:5" ht="15" x14ac:dyDescent="0.35">
      <c r="A6165" s="58" t="s">
        <v>328</v>
      </c>
      <c r="B6165" s="58" t="s">
        <v>176</v>
      </c>
      <c r="C6165" s="58">
        <v>5</v>
      </c>
      <c r="D6165" s="58">
        <v>108</v>
      </c>
      <c r="E6165" s="59">
        <v>255.625</v>
      </c>
    </row>
    <row r="6166" spans="1:5" ht="15" x14ac:dyDescent="0.35">
      <c r="A6166" s="58" t="s">
        <v>328</v>
      </c>
      <c r="B6166" s="58" t="s">
        <v>176</v>
      </c>
      <c r="C6166" s="58">
        <v>6</v>
      </c>
      <c r="D6166" s="58">
        <v>109</v>
      </c>
      <c r="E6166" s="59">
        <v>255.625</v>
      </c>
    </row>
    <row r="6167" spans="1:5" ht="15" x14ac:dyDescent="0.35">
      <c r="A6167" s="58" t="s">
        <v>328</v>
      </c>
      <c r="B6167" s="58" t="s">
        <v>176</v>
      </c>
      <c r="C6167" s="58">
        <v>7</v>
      </c>
      <c r="D6167" s="58">
        <v>110</v>
      </c>
      <c r="E6167" s="59">
        <v>255.625</v>
      </c>
    </row>
    <row r="6168" spans="1:5" ht="15" x14ac:dyDescent="0.35">
      <c r="A6168" s="58" t="s">
        <v>328</v>
      </c>
      <c r="B6168" s="58" t="s">
        <v>176</v>
      </c>
      <c r="C6168" s="58">
        <v>8</v>
      </c>
      <c r="D6168" s="58">
        <v>111</v>
      </c>
      <c r="E6168" s="59">
        <v>255.625</v>
      </c>
    </row>
    <row r="6169" spans="1:5" ht="15" x14ac:dyDescent="0.35">
      <c r="A6169" s="58" t="s">
        <v>328</v>
      </c>
      <c r="B6169" s="58" t="s">
        <v>176</v>
      </c>
      <c r="C6169" s="58">
        <v>9</v>
      </c>
      <c r="D6169" s="58">
        <v>112</v>
      </c>
      <c r="E6169" s="59">
        <v>255.625</v>
      </c>
    </row>
    <row r="6170" spans="1:5" ht="15" x14ac:dyDescent="0.35">
      <c r="A6170" s="58" t="s">
        <v>328</v>
      </c>
      <c r="B6170" s="58" t="s">
        <v>176</v>
      </c>
      <c r="C6170" s="58">
        <v>10</v>
      </c>
      <c r="D6170" s="58">
        <v>113</v>
      </c>
      <c r="E6170" s="59">
        <v>255.625</v>
      </c>
    </row>
    <row r="6171" spans="1:5" ht="15" x14ac:dyDescent="0.35">
      <c r="A6171" s="58" t="s">
        <v>328</v>
      </c>
      <c r="B6171" s="58" t="s">
        <v>176</v>
      </c>
      <c r="C6171" s="58">
        <v>11</v>
      </c>
      <c r="D6171" s="58">
        <v>114</v>
      </c>
      <c r="E6171" s="59">
        <v>255.625</v>
      </c>
    </row>
    <row r="6172" spans="1:5" ht="15" x14ac:dyDescent="0.35">
      <c r="A6172" s="58" t="s">
        <v>328</v>
      </c>
      <c r="B6172" s="58" t="s">
        <v>176</v>
      </c>
      <c r="C6172" s="58">
        <v>12</v>
      </c>
      <c r="D6172" s="58">
        <v>115</v>
      </c>
      <c r="E6172" s="59">
        <v>255.625</v>
      </c>
    </row>
    <row r="6173" spans="1:5" ht="15" x14ac:dyDescent="0.35">
      <c r="A6173" s="58" t="s">
        <v>328</v>
      </c>
      <c r="B6173" s="58" t="s">
        <v>172</v>
      </c>
      <c r="C6173" s="58">
        <v>1</v>
      </c>
      <c r="D6173" s="58">
        <v>104</v>
      </c>
      <c r="E6173" s="59">
        <v>349</v>
      </c>
    </row>
    <row r="6174" spans="1:5" ht="15" x14ac:dyDescent="0.35">
      <c r="A6174" s="58" t="s">
        <v>328</v>
      </c>
      <c r="B6174" s="58" t="s">
        <v>172</v>
      </c>
      <c r="C6174" s="58">
        <v>2</v>
      </c>
      <c r="D6174" s="58">
        <v>105</v>
      </c>
      <c r="E6174" s="59">
        <v>349</v>
      </c>
    </row>
    <row r="6175" spans="1:5" ht="15" x14ac:dyDescent="0.35">
      <c r="A6175" s="58" t="s">
        <v>328</v>
      </c>
      <c r="B6175" s="58" t="s">
        <v>172</v>
      </c>
      <c r="C6175" s="58">
        <v>3</v>
      </c>
      <c r="D6175" s="58">
        <v>106</v>
      </c>
      <c r="E6175" s="59">
        <v>349</v>
      </c>
    </row>
    <row r="6176" spans="1:5" ht="15" x14ac:dyDescent="0.35">
      <c r="A6176" s="58" t="s">
        <v>328</v>
      </c>
      <c r="B6176" s="58" t="s">
        <v>172</v>
      </c>
      <c r="C6176" s="58">
        <v>4</v>
      </c>
      <c r="D6176" s="58">
        <v>107</v>
      </c>
      <c r="E6176" s="59">
        <v>349</v>
      </c>
    </row>
    <row r="6177" spans="1:5" ht="15" x14ac:dyDescent="0.35">
      <c r="A6177" s="58" t="s">
        <v>328</v>
      </c>
      <c r="B6177" s="58" t="s">
        <v>172</v>
      </c>
      <c r="C6177" s="58">
        <v>5</v>
      </c>
      <c r="D6177" s="58">
        <v>108</v>
      </c>
      <c r="E6177" s="59">
        <v>349</v>
      </c>
    </row>
    <row r="6178" spans="1:5" ht="15" x14ac:dyDescent="0.35">
      <c r="A6178" s="58" t="s">
        <v>328</v>
      </c>
      <c r="B6178" s="58" t="s">
        <v>172</v>
      </c>
      <c r="C6178" s="58">
        <v>6</v>
      </c>
      <c r="D6178" s="58">
        <v>109</v>
      </c>
      <c r="E6178" s="59">
        <v>349</v>
      </c>
    </row>
    <row r="6179" spans="1:5" ht="15" x14ac:dyDescent="0.35">
      <c r="A6179" s="58" t="s">
        <v>328</v>
      </c>
      <c r="B6179" s="58" t="s">
        <v>172</v>
      </c>
      <c r="C6179" s="58">
        <v>7</v>
      </c>
      <c r="D6179" s="58">
        <v>110</v>
      </c>
      <c r="E6179" s="59">
        <v>349</v>
      </c>
    </row>
    <row r="6180" spans="1:5" ht="15" x14ac:dyDescent="0.35">
      <c r="A6180" s="58" t="s">
        <v>328</v>
      </c>
      <c r="B6180" s="58" t="s">
        <v>172</v>
      </c>
      <c r="C6180" s="58">
        <v>8</v>
      </c>
      <c r="D6180" s="58">
        <v>111</v>
      </c>
      <c r="E6180" s="59">
        <v>349</v>
      </c>
    </row>
    <row r="6181" spans="1:5" ht="15" x14ac:dyDescent="0.35">
      <c r="A6181" s="58" t="s">
        <v>328</v>
      </c>
      <c r="B6181" s="58" t="s">
        <v>172</v>
      </c>
      <c r="C6181" s="58">
        <v>9</v>
      </c>
      <c r="D6181" s="58">
        <v>112</v>
      </c>
      <c r="E6181" s="59">
        <v>349</v>
      </c>
    </row>
    <row r="6182" spans="1:5" ht="15" x14ac:dyDescent="0.35">
      <c r="A6182" s="58" t="s">
        <v>328</v>
      </c>
      <c r="B6182" s="58" t="s">
        <v>172</v>
      </c>
      <c r="C6182" s="58">
        <v>10</v>
      </c>
      <c r="D6182" s="58">
        <v>113</v>
      </c>
      <c r="E6182" s="59">
        <v>349</v>
      </c>
    </row>
    <row r="6183" spans="1:5" ht="15" x14ac:dyDescent="0.35">
      <c r="A6183" s="58" t="s">
        <v>328</v>
      </c>
      <c r="B6183" s="58" t="s">
        <v>172</v>
      </c>
      <c r="C6183" s="58">
        <v>11</v>
      </c>
      <c r="D6183" s="58">
        <v>114</v>
      </c>
      <c r="E6183" s="59">
        <v>349</v>
      </c>
    </row>
    <row r="6184" spans="1:5" ht="15" x14ac:dyDescent="0.35">
      <c r="A6184" s="58" t="s">
        <v>328</v>
      </c>
      <c r="B6184" s="58" t="s">
        <v>172</v>
      </c>
      <c r="C6184" s="58">
        <v>12</v>
      </c>
      <c r="D6184" s="58">
        <v>115</v>
      </c>
      <c r="E6184" s="59">
        <v>349</v>
      </c>
    </row>
    <row r="6185" spans="1:5" ht="15" x14ac:dyDescent="0.35">
      <c r="A6185" s="58" t="s">
        <v>328</v>
      </c>
      <c r="B6185" s="58" t="s">
        <v>180</v>
      </c>
      <c r="C6185" s="58">
        <v>1</v>
      </c>
      <c r="D6185" s="58">
        <v>104</v>
      </c>
      <c r="E6185" s="59">
        <v>167.7543</v>
      </c>
    </row>
    <row r="6186" spans="1:5" ht="15" x14ac:dyDescent="0.35">
      <c r="A6186" s="58" t="s">
        <v>328</v>
      </c>
      <c r="B6186" s="58" t="s">
        <v>180</v>
      </c>
      <c r="C6186" s="58">
        <v>2</v>
      </c>
      <c r="D6186" s="58">
        <v>105</v>
      </c>
      <c r="E6186" s="59">
        <v>167.7543</v>
      </c>
    </row>
    <row r="6187" spans="1:5" ht="15" x14ac:dyDescent="0.35">
      <c r="A6187" s="58" t="s">
        <v>328</v>
      </c>
      <c r="B6187" s="58" t="s">
        <v>180</v>
      </c>
      <c r="C6187" s="58">
        <v>3</v>
      </c>
      <c r="D6187" s="58">
        <v>106</v>
      </c>
      <c r="E6187" s="59">
        <v>167.7543</v>
      </c>
    </row>
    <row r="6188" spans="1:5" ht="15" x14ac:dyDescent="0.35">
      <c r="A6188" s="58" t="s">
        <v>328</v>
      </c>
      <c r="B6188" s="58" t="s">
        <v>180</v>
      </c>
      <c r="C6188" s="58">
        <v>4</v>
      </c>
      <c r="D6188" s="58">
        <v>107</v>
      </c>
      <c r="E6188" s="59">
        <v>167.7543</v>
      </c>
    </row>
    <row r="6189" spans="1:5" ht="15" x14ac:dyDescent="0.35">
      <c r="A6189" s="58" t="s">
        <v>328</v>
      </c>
      <c r="B6189" s="58" t="s">
        <v>180</v>
      </c>
      <c r="C6189" s="58">
        <v>5</v>
      </c>
      <c r="D6189" s="58">
        <v>108</v>
      </c>
      <c r="E6189" s="59">
        <v>167.7543</v>
      </c>
    </row>
    <row r="6190" spans="1:5" ht="15" x14ac:dyDescent="0.35">
      <c r="A6190" s="58" t="s">
        <v>328</v>
      </c>
      <c r="B6190" s="58" t="s">
        <v>180</v>
      </c>
      <c r="C6190" s="58">
        <v>6</v>
      </c>
      <c r="D6190" s="58">
        <v>109</v>
      </c>
      <c r="E6190" s="59">
        <v>167.7543</v>
      </c>
    </row>
    <row r="6191" spans="1:5" ht="15" x14ac:dyDescent="0.35">
      <c r="A6191" s="58" t="s">
        <v>328</v>
      </c>
      <c r="B6191" s="58" t="s">
        <v>180</v>
      </c>
      <c r="C6191" s="58">
        <v>7</v>
      </c>
      <c r="D6191" s="58">
        <v>110</v>
      </c>
      <c r="E6191" s="59">
        <v>167.7543</v>
      </c>
    </row>
    <row r="6192" spans="1:5" ht="15" x14ac:dyDescent="0.35">
      <c r="A6192" s="58" t="s">
        <v>328</v>
      </c>
      <c r="B6192" s="58" t="s">
        <v>180</v>
      </c>
      <c r="C6192" s="58">
        <v>8</v>
      </c>
      <c r="D6192" s="58">
        <v>111</v>
      </c>
      <c r="E6192" s="59">
        <v>167.7543</v>
      </c>
    </row>
    <row r="6193" spans="1:5" ht="15" x14ac:dyDescent="0.35">
      <c r="A6193" s="58" t="s">
        <v>328</v>
      </c>
      <c r="B6193" s="58" t="s">
        <v>180</v>
      </c>
      <c r="C6193" s="58">
        <v>9</v>
      </c>
      <c r="D6193" s="58">
        <v>112</v>
      </c>
      <c r="E6193" s="59">
        <v>167.7543</v>
      </c>
    </row>
    <row r="6194" spans="1:5" ht="15" x14ac:dyDescent="0.35">
      <c r="A6194" s="58" t="s">
        <v>328</v>
      </c>
      <c r="B6194" s="58" t="s">
        <v>180</v>
      </c>
      <c r="C6194" s="58">
        <v>10</v>
      </c>
      <c r="D6194" s="58">
        <v>113</v>
      </c>
      <c r="E6194" s="59">
        <v>167.7543</v>
      </c>
    </row>
    <row r="6195" spans="1:5" ht="15" x14ac:dyDescent="0.35">
      <c r="A6195" s="58" t="s">
        <v>328</v>
      </c>
      <c r="B6195" s="58" t="s">
        <v>180</v>
      </c>
      <c r="C6195" s="58">
        <v>11</v>
      </c>
      <c r="D6195" s="58">
        <v>114</v>
      </c>
      <c r="E6195" s="59">
        <v>167.7543</v>
      </c>
    </row>
    <row r="6196" spans="1:5" ht="15" x14ac:dyDescent="0.35">
      <c r="A6196" s="58" t="s">
        <v>328</v>
      </c>
      <c r="B6196" s="58" t="s">
        <v>180</v>
      </c>
      <c r="C6196" s="58">
        <v>12</v>
      </c>
      <c r="D6196" s="58">
        <v>115</v>
      </c>
      <c r="E6196" s="59">
        <v>167.7543</v>
      </c>
    </row>
    <row r="6197" spans="1:5" ht="15" x14ac:dyDescent="0.35">
      <c r="A6197" s="58" t="s">
        <v>392</v>
      </c>
      <c r="B6197" s="58" t="s">
        <v>182</v>
      </c>
      <c r="C6197" s="58">
        <v>1</v>
      </c>
      <c r="D6197" s="58">
        <v>104</v>
      </c>
      <c r="E6197" s="59">
        <v>91.666499999999999</v>
      </c>
    </row>
    <row r="6198" spans="1:5" ht="15" x14ac:dyDescent="0.35">
      <c r="A6198" s="58" t="s">
        <v>392</v>
      </c>
      <c r="B6198" s="58" t="s">
        <v>182</v>
      </c>
      <c r="C6198" s="58">
        <v>2</v>
      </c>
      <c r="D6198" s="58">
        <v>105</v>
      </c>
      <c r="E6198" s="59">
        <v>33.355400000000003</v>
      </c>
    </row>
    <row r="6199" spans="1:5" ht="15" x14ac:dyDescent="0.35">
      <c r="A6199" s="58" t="s">
        <v>392</v>
      </c>
      <c r="B6199" s="58" t="s">
        <v>182</v>
      </c>
      <c r="C6199" s="58">
        <v>3</v>
      </c>
      <c r="D6199" s="58">
        <v>106</v>
      </c>
      <c r="E6199" s="59">
        <v>24.8888</v>
      </c>
    </row>
    <row r="6200" spans="1:5" ht="15" x14ac:dyDescent="0.35">
      <c r="A6200" s="58" t="s">
        <v>392</v>
      </c>
      <c r="B6200" s="58" t="s">
        <v>182</v>
      </c>
      <c r="C6200" s="58">
        <v>4</v>
      </c>
      <c r="D6200" s="58">
        <v>107</v>
      </c>
      <c r="E6200" s="59">
        <v>25.555399999999999</v>
      </c>
    </row>
    <row r="6201" spans="1:5" ht="15" x14ac:dyDescent="0.35">
      <c r="A6201" s="58" t="s">
        <v>392</v>
      </c>
      <c r="B6201" s="58" t="s">
        <v>182</v>
      </c>
      <c r="C6201" s="58">
        <v>5</v>
      </c>
      <c r="D6201" s="58">
        <v>108</v>
      </c>
      <c r="E6201" s="59">
        <v>26.430399999999999</v>
      </c>
    </row>
    <row r="6202" spans="1:5" ht="15" x14ac:dyDescent="0.35">
      <c r="A6202" s="58" t="s">
        <v>392</v>
      </c>
      <c r="B6202" s="58" t="s">
        <v>182</v>
      </c>
      <c r="C6202" s="58">
        <v>6</v>
      </c>
      <c r="D6202" s="58">
        <v>109</v>
      </c>
      <c r="E6202" s="59">
        <v>22.444299999999998</v>
      </c>
    </row>
    <row r="6203" spans="1:5" ht="15" x14ac:dyDescent="0.35">
      <c r="A6203" s="58" t="s">
        <v>392</v>
      </c>
      <c r="B6203" s="58" t="s">
        <v>182</v>
      </c>
      <c r="C6203" s="58">
        <v>7</v>
      </c>
      <c r="D6203" s="58">
        <v>110</v>
      </c>
      <c r="E6203" s="59">
        <v>10.111000000000001</v>
      </c>
    </row>
    <row r="6204" spans="1:5" ht="15" x14ac:dyDescent="0.35">
      <c r="A6204" s="58" t="s">
        <v>392</v>
      </c>
      <c r="B6204" s="58" t="s">
        <v>182</v>
      </c>
      <c r="C6204" s="58">
        <v>8</v>
      </c>
      <c r="D6204" s="58">
        <v>111</v>
      </c>
      <c r="E6204" s="59">
        <v>14.9999</v>
      </c>
    </row>
    <row r="6205" spans="1:5" ht="15" x14ac:dyDescent="0.35">
      <c r="A6205" s="58" t="s">
        <v>392</v>
      </c>
      <c r="B6205" s="58" t="s">
        <v>182</v>
      </c>
      <c r="C6205" s="58">
        <v>9</v>
      </c>
      <c r="D6205" s="58">
        <v>112</v>
      </c>
      <c r="E6205" s="59">
        <v>47.222099999999998</v>
      </c>
    </row>
    <row r="6206" spans="1:5" ht="15" x14ac:dyDescent="0.35">
      <c r="A6206" s="58" t="s">
        <v>392</v>
      </c>
      <c r="B6206" s="58" t="s">
        <v>182</v>
      </c>
      <c r="C6206" s="58">
        <v>10</v>
      </c>
      <c r="D6206" s="58">
        <v>113</v>
      </c>
      <c r="E6206" s="59">
        <v>52.555399999999999</v>
      </c>
    </row>
    <row r="6207" spans="1:5" ht="15" x14ac:dyDescent="0.35">
      <c r="A6207" s="58" t="s">
        <v>392</v>
      </c>
      <c r="B6207" s="58" t="s">
        <v>182</v>
      </c>
      <c r="C6207" s="58">
        <v>11</v>
      </c>
      <c r="D6207" s="58">
        <v>114</v>
      </c>
      <c r="E6207" s="59">
        <v>60.999899999999997</v>
      </c>
    </row>
    <row r="6208" spans="1:5" ht="15" x14ac:dyDescent="0.35">
      <c r="A6208" s="58" t="s">
        <v>392</v>
      </c>
      <c r="B6208" s="58" t="s">
        <v>182</v>
      </c>
      <c r="C6208" s="58">
        <v>12</v>
      </c>
      <c r="D6208" s="58">
        <v>115</v>
      </c>
      <c r="E6208" s="59">
        <v>72.111000000000004</v>
      </c>
    </row>
    <row r="6209" spans="1:5" ht="15" x14ac:dyDescent="0.35">
      <c r="A6209" s="58" t="s">
        <v>392</v>
      </c>
      <c r="B6209" s="58" t="s">
        <v>176</v>
      </c>
      <c r="C6209" s="58">
        <v>1</v>
      </c>
      <c r="D6209" s="58">
        <v>104</v>
      </c>
      <c r="E6209" s="59">
        <v>1.625</v>
      </c>
    </row>
    <row r="6210" spans="1:5" ht="15" x14ac:dyDescent="0.35">
      <c r="A6210" s="58" t="s">
        <v>392</v>
      </c>
      <c r="B6210" s="58" t="s">
        <v>176</v>
      </c>
      <c r="C6210" s="58">
        <v>2</v>
      </c>
      <c r="D6210" s="58">
        <v>105</v>
      </c>
      <c r="E6210" s="59">
        <v>1.625</v>
      </c>
    </row>
    <row r="6211" spans="1:5" ht="15" x14ac:dyDescent="0.35">
      <c r="A6211" s="58" t="s">
        <v>392</v>
      </c>
      <c r="B6211" s="58" t="s">
        <v>176</v>
      </c>
      <c r="C6211" s="58">
        <v>3</v>
      </c>
      <c r="D6211" s="58">
        <v>106</v>
      </c>
      <c r="E6211" s="59">
        <v>1.625</v>
      </c>
    </row>
    <row r="6212" spans="1:5" ht="15" x14ac:dyDescent="0.35">
      <c r="A6212" s="58" t="s">
        <v>392</v>
      </c>
      <c r="B6212" s="58" t="s">
        <v>176</v>
      </c>
      <c r="C6212" s="58">
        <v>4</v>
      </c>
      <c r="D6212" s="58">
        <v>107</v>
      </c>
      <c r="E6212" s="59">
        <v>1.625</v>
      </c>
    </row>
    <row r="6213" spans="1:5" ht="15" x14ac:dyDescent="0.35">
      <c r="A6213" s="58" t="s">
        <v>392</v>
      </c>
      <c r="B6213" s="58" t="s">
        <v>176</v>
      </c>
      <c r="C6213" s="58">
        <v>5</v>
      </c>
      <c r="D6213" s="58">
        <v>108</v>
      </c>
      <c r="E6213" s="59">
        <v>1.625</v>
      </c>
    </row>
    <row r="6214" spans="1:5" ht="15" x14ac:dyDescent="0.35">
      <c r="A6214" s="58" t="s">
        <v>392</v>
      </c>
      <c r="B6214" s="58" t="s">
        <v>176</v>
      </c>
      <c r="C6214" s="58">
        <v>6</v>
      </c>
      <c r="D6214" s="58">
        <v>109</v>
      </c>
      <c r="E6214" s="59">
        <v>1.625</v>
      </c>
    </row>
    <row r="6215" spans="1:5" ht="15" x14ac:dyDescent="0.35">
      <c r="A6215" s="58" t="s">
        <v>392</v>
      </c>
      <c r="B6215" s="58" t="s">
        <v>176</v>
      </c>
      <c r="C6215" s="58">
        <v>7</v>
      </c>
      <c r="D6215" s="58">
        <v>110</v>
      </c>
      <c r="E6215" s="59">
        <v>1.625</v>
      </c>
    </row>
    <row r="6216" spans="1:5" ht="15" x14ac:dyDescent="0.35">
      <c r="A6216" s="58" t="s">
        <v>392</v>
      </c>
      <c r="B6216" s="58" t="s">
        <v>176</v>
      </c>
      <c r="C6216" s="58">
        <v>8</v>
      </c>
      <c r="D6216" s="58">
        <v>111</v>
      </c>
      <c r="E6216" s="59">
        <v>1.625</v>
      </c>
    </row>
    <row r="6217" spans="1:5" ht="15" x14ac:dyDescent="0.35">
      <c r="A6217" s="58" t="s">
        <v>392</v>
      </c>
      <c r="B6217" s="58" t="s">
        <v>176</v>
      </c>
      <c r="C6217" s="58">
        <v>9</v>
      </c>
      <c r="D6217" s="58">
        <v>112</v>
      </c>
      <c r="E6217" s="59">
        <v>1.625</v>
      </c>
    </row>
    <row r="6218" spans="1:5" ht="15" x14ac:dyDescent="0.35">
      <c r="A6218" s="58" t="s">
        <v>392</v>
      </c>
      <c r="B6218" s="58" t="s">
        <v>176</v>
      </c>
      <c r="C6218" s="58">
        <v>10</v>
      </c>
      <c r="D6218" s="58">
        <v>113</v>
      </c>
      <c r="E6218" s="59">
        <v>1.625</v>
      </c>
    </row>
    <row r="6219" spans="1:5" ht="15" x14ac:dyDescent="0.35">
      <c r="A6219" s="58" t="s">
        <v>392</v>
      </c>
      <c r="B6219" s="58" t="s">
        <v>176</v>
      </c>
      <c r="C6219" s="58">
        <v>11</v>
      </c>
      <c r="D6219" s="58">
        <v>114</v>
      </c>
      <c r="E6219" s="59">
        <v>1.625</v>
      </c>
    </row>
    <row r="6220" spans="1:5" ht="15" x14ac:dyDescent="0.35">
      <c r="A6220" s="58" t="s">
        <v>392</v>
      </c>
      <c r="B6220" s="58" t="s">
        <v>176</v>
      </c>
      <c r="C6220" s="58">
        <v>12</v>
      </c>
      <c r="D6220" s="58">
        <v>115</v>
      </c>
      <c r="E6220" s="59">
        <v>1.625</v>
      </c>
    </row>
    <row r="6221" spans="1:5" ht="15" x14ac:dyDescent="0.35">
      <c r="A6221" s="58" t="s">
        <v>392</v>
      </c>
      <c r="B6221" s="58" t="s">
        <v>172</v>
      </c>
      <c r="C6221" s="58">
        <v>1</v>
      </c>
      <c r="D6221" s="58">
        <v>104</v>
      </c>
      <c r="E6221" s="59">
        <v>9</v>
      </c>
    </row>
    <row r="6222" spans="1:5" ht="15" x14ac:dyDescent="0.35">
      <c r="A6222" s="58" t="s">
        <v>392</v>
      </c>
      <c r="B6222" s="58" t="s">
        <v>172</v>
      </c>
      <c r="C6222" s="58">
        <v>2</v>
      </c>
      <c r="D6222" s="58">
        <v>105</v>
      </c>
      <c r="E6222" s="59">
        <v>9</v>
      </c>
    </row>
    <row r="6223" spans="1:5" ht="15" x14ac:dyDescent="0.35">
      <c r="A6223" s="58" t="s">
        <v>392</v>
      </c>
      <c r="B6223" s="58" t="s">
        <v>172</v>
      </c>
      <c r="C6223" s="58">
        <v>3</v>
      </c>
      <c r="D6223" s="58">
        <v>106</v>
      </c>
      <c r="E6223" s="59">
        <v>9</v>
      </c>
    </row>
    <row r="6224" spans="1:5" ht="15" x14ac:dyDescent="0.35">
      <c r="A6224" s="58" t="s">
        <v>392</v>
      </c>
      <c r="B6224" s="58" t="s">
        <v>172</v>
      </c>
      <c r="C6224" s="58">
        <v>4</v>
      </c>
      <c r="D6224" s="58">
        <v>107</v>
      </c>
      <c r="E6224" s="59">
        <v>9</v>
      </c>
    </row>
    <row r="6225" spans="1:5" ht="15" x14ac:dyDescent="0.35">
      <c r="A6225" s="58" t="s">
        <v>392</v>
      </c>
      <c r="B6225" s="58" t="s">
        <v>172</v>
      </c>
      <c r="C6225" s="58">
        <v>5</v>
      </c>
      <c r="D6225" s="58">
        <v>108</v>
      </c>
      <c r="E6225" s="59">
        <v>9</v>
      </c>
    </row>
    <row r="6226" spans="1:5" ht="15" x14ac:dyDescent="0.35">
      <c r="A6226" s="58" t="s">
        <v>392</v>
      </c>
      <c r="B6226" s="58" t="s">
        <v>172</v>
      </c>
      <c r="C6226" s="58">
        <v>6</v>
      </c>
      <c r="D6226" s="58">
        <v>109</v>
      </c>
      <c r="E6226" s="59">
        <v>9</v>
      </c>
    </row>
    <row r="6227" spans="1:5" ht="15" x14ac:dyDescent="0.35">
      <c r="A6227" s="58" t="s">
        <v>392</v>
      </c>
      <c r="B6227" s="58" t="s">
        <v>172</v>
      </c>
      <c r="C6227" s="58">
        <v>7</v>
      </c>
      <c r="D6227" s="58">
        <v>110</v>
      </c>
      <c r="E6227" s="59">
        <v>9</v>
      </c>
    </row>
    <row r="6228" spans="1:5" ht="15" x14ac:dyDescent="0.35">
      <c r="A6228" s="58" t="s">
        <v>392</v>
      </c>
      <c r="B6228" s="58" t="s">
        <v>172</v>
      </c>
      <c r="C6228" s="58">
        <v>8</v>
      </c>
      <c r="D6228" s="58">
        <v>111</v>
      </c>
      <c r="E6228" s="59">
        <v>9</v>
      </c>
    </row>
    <row r="6229" spans="1:5" ht="15" x14ac:dyDescent="0.35">
      <c r="A6229" s="58" t="s">
        <v>392</v>
      </c>
      <c r="B6229" s="58" t="s">
        <v>172</v>
      </c>
      <c r="C6229" s="58">
        <v>9</v>
      </c>
      <c r="D6229" s="58">
        <v>112</v>
      </c>
      <c r="E6229" s="59">
        <v>9</v>
      </c>
    </row>
    <row r="6230" spans="1:5" ht="15" x14ac:dyDescent="0.35">
      <c r="A6230" s="58" t="s">
        <v>392</v>
      </c>
      <c r="B6230" s="58" t="s">
        <v>172</v>
      </c>
      <c r="C6230" s="58">
        <v>10</v>
      </c>
      <c r="D6230" s="58">
        <v>113</v>
      </c>
      <c r="E6230" s="59">
        <v>9</v>
      </c>
    </row>
    <row r="6231" spans="1:5" ht="15" x14ac:dyDescent="0.35">
      <c r="A6231" s="58" t="s">
        <v>392</v>
      </c>
      <c r="B6231" s="58" t="s">
        <v>172</v>
      </c>
      <c r="C6231" s="58">
        <v>11</v>
      </c>
      <c r="D6231" s="58">
        <v>114</v>
      </c>
      <c r="E6231" s="59">
        <v>9</v>
      </c>
    </row>
    <row r="6232" spans="1:5" ht="15" x14ac:dyDescent="0.35">
      <c r="A6232" s="58" t="s">
        <v>392</v>
      </c>
      <c r="B6232" s="58" t="s">
        <v>172</v>
      </c>
      <c r="C6232" s="58">
        <v>12</v>
      </c>
      <c r="D6232" s="58">
        <v>115</v>
      </c>
      <c r="E6232" s="59">
        <v>9</v>
      </c>
    </row>
    <row r="6233" spans="1:5" ht="15" x14ac:dyDescent="0.35">
      <c r="A6233" s="58" t="s">
        <v>392</v>
      </c>
      <c r="B6233" s="58" t="s">
        <v>180</v>
      </c>
      <c r="C6233" s="58">
        <v>1</v>
      </c>
      <c r="D6233" s="58">
        <v>104</v>
      </c>
      <c r="E6233" s="59">
        <v>50.335999999999999</v>
      </c>
    </row>
    <row r="6234" spans="1:5" ht="15" x14ac:dyDescent="0.35">
      <c r="A6234" s="58" t="s">
        <v>392</v>
      </c>
      <c r="B6234" s="58" t="s">
        <v>180</v>
      </c>
      <c r="C6234" s="58">
        <v>2</v>
      </c>
      <c r="D6234" s="58">
        <v>105</v>
      </c>
      <c r="E6234" s="59">
        <v>50.335999999999999</v>
      </c>
    </row>
    <row r="6235" spans="1:5" ht="15" x14ac:dyDescent="0.35">
      <c r="A6235" s="58" t="s">
        <v>392</v>
      </c>
      <c r="B6235" s="58" t="s">
        <v>180</v>
      </c>
      <c r="C6235" s="58">
        <v>3</v>
      </c>
      <c r="D6235" s="58">
        <v>106</v>
      </c>
      <c r="E6235" s="59">
        <v>50.335999999999999</v>
      </c>
    </row>
    <row r="6236" spans="1:5" ht="15" x14ac:dyDescent="0.35">
      <c r="A6236" s="58" t="s">
        <v>392</v>
      </c>
      <c r="B6236" s="58" t="s">
        <v>180</v>
      </c>
      <c r="C6236" s="58">
        <v>4</v>
      </c>
      <c r="D6236" s="58">
        <v>107</v>
      </c>
      <c r="E6236" s="59">
        <v>50.335999999999999</v>
      </c>
    </row>
    <row r="6237" spans="1:5" ht="15" x14ac:dyDescent="0.35">
      <c r="A6237" s="58" t="s">
        <v>392</v>
      </c>
      <c r="B6237" s="58" t="s">
        <v>180</v>
      </c>
      <c r="C6237" s="58">
        <v>5</v>
      </c>
      <c r="D6237" s="58">
        <v>108</v>
      </c>
      <c r="E6237" s="59">
        <v>50.335999999999999</v>
      </c>
    </row>
    <row r="6238" spans="1:5" ht="15" x14ac:dyDescent="0.35">
      <c r="A6238" s="58" t="s">
        <v>392</v>
      </c>
      <c r="B6238" s="58" t="s">
        <v>180</v>
      </c>
      <c r="C6238" s="58">
        <v>6</v>
      </c>
      <c r="D6238" s="58">
        <v>109</v>
      </c>
      <c r="E6238" s="59">
        <v>50.335999999999999</v>
      </c>
    </row>
    <row r="6239" spans="1:5" ht="15" x14ac:dyDescent="0.35">
      <c r="A6239" s="58" t="s">
        <v>392</v>
      </c>
      <c r="B6239" s="58" t="s">
        <v>180</v>
      </c>
      <c r="C6239" s="58">
        <v>7</v>
      </c>
      <c r="D6239" s="58">
        <v>110</v>
      </c>
      <c r="E6239" s="59">
        <v>50.335999999999999</v>
      </c>
    </row>
    <row r="6240" spans="1:5" ht="15" x14ac:dyDescent="0.35">
      <c r="A6240" s="58" t="s">
        <v>392</v>
      </c>
      <c r="B6240" s="58" t="s">
        <v>180</v>
      </c>
      <c r="C6240" s="58">
        <v>8</v>
      </c>
      <c r="D6240" s="58">
        <v>111</v>
      </c>
      <c r="E6240" s="59">
        <v>50.335999999999999</v>
      </c>
    </row>
    <row r="6241" spans="1:5" ht="15" x14ac:dyDescent="0.35">
      <c r="A6241" s="58" t="s">
        <v>392</v>
      </c>
      <c r="B6241" s="58" t="s">
        <v>180</v>
      </c>
      <c r="C6241" s="58">
        <v>9</v>
      </c>
      <c r="D6241" s="58">
        <v>112</v>
      </c>
      <c r="E6241" s="59">
        <v>50.335999999999999</v>
      </c>
    </row>
    <row r="6242" spans="1:5" ht="15" x14ac:dyDescent="0.35">
      <c r="A6242" s="58" t="s">
        <v>392</v>
      </c>
      <c r="B6242" s="58" t="s">
        <v>180</v>
      </c>
      <c r="C6242" s="58">
        <v>10</v>
      </c>
      <c r="D6242" s="58">
        <v>113</v>
      </c>
      <c r="E6242" s="59">
        <v>50.335999999999999</v>
      </c>
    </row>
    <row r="6243" spans="1:5" ht="15" x14ac:dyDescent="0.35">
      <c r="A6243" s="58" t="s">
        <v>392</v>
      </c>
      <c r="B6243" s="58" t="s">
        <v>180</v>
      </c>
      <c r="C6243" s="58">
        <v>11</v>
      </c>
      <c r="D6243" s="58">
        <v>114</v>
      </c>
      <c r="E6243" s="59">
        <v>50.335999999999999</v>
      </c>
    </row>
    <row r="6244" spans="1:5" ht="15" x14ac:dyDescent="0.35">
      <c r="A6244" s="58" t="s">
        <v>392</v>
      </c>
      <c r="B6244" s="58" t="s">
        <v>180</v>
      </c>
      <c r="C6244" s="58">
        <v>12</v>
      </c>
      <c r="D6244" s="58">
        <v>115</v>
      </c>
      <c r="E6244" s="59">
        <v>50.335999999999999</v>
      </c>
    </row>
    <row r="6245" spans="1:5" ht="15" x14ac:dyDescent="0.35">
      <c r="A6245" s="58" t="s">
        <v>303</v>
      </c>
      <c r="B6245" s="58" t="s">
        <v>182</v>
      </c>
      <c r="C6245" s="58">
        <v>1</v>
      </c>
      <c r="D6245" s="58">
        <v>104</v>
      </c>
      <c r="E6245" s="59">
        <v>284.8109</v>
      </c>
    </row>
    <row r="6246" spans="1:5" ht="15" x14ac:dyDescent="0.35">
      <c r="A6246" s="58" t="s">
        <v>303</v>
      </c>
      <c r="B6246" s="58" t="s">
        <v>182</v>
      </c>
      <c r="C6246" s="58">
        <v>2</v>
      </c>
      <c r="D6246" s="58">
        <v>105</v>
      </c>
      <c r="E6246" s="59">
        <v>79.877600000000001</v>
      </c>
    </row>
    <row r="6247" spans="1:5" ht="15" x14ac:dyDescent="0.35">
      <c r="A6247" s="58" t="s">
        <v>303</v>
      </c>
      <c r="B6247" s="58" t="s">
        <v>182</v>
      </c>
      <c r="C6247" s="58">
        <v>3</v>
      </c>
      <c r="D6247" s="58">
        <v>106</v>
      </c>
      <c r="E6247" s="59">
        <v>99.144300000000001</v>
      </c>
    </row>
    <row r="6248" spans="1:5" ht="15" x14ac:dyDescent="0.35">
      <c r="A6248" s="58" t="s">
        <v>303</v>
      </c>
      <c r="B6248" s="58" t="s">
        <v>182</v>
      </c>
      <c r="C6248" s="58">
        <v>4</v>
      </c>
      <c r="D6248" s="58">
        <v>107</v>
      </c>
      <c r="E6248" s="59">
        <v>94.906199999999998</v>
      </c>
    </row>
    <row r="6249" spans="1:5" ht="15" x14ac:dyDescent="0.35">
      <c r="A6249" s="58" t="s">
        <v>303</v>
      </c>
      <c r="B6249" s="58" t="s">
        <v>182</v>
      </c>
      <c r="C6249" s="58">
        <v>5</v>
      </c>
      <c r="D6249" s="58">
        <v>108</v>
      </c>
      <c r="E6249" s="59">
        <v>93.352599999999995</v>
      </c>
    </row>
    <row r="6250" spans="1:5" ht="15" x14ac:dyDescent="0.35">
      <c r="A6250" s="58" t="s">
        <v>303</v>
      </c>
      <c r="B6250" s="58" t="s">
        <v>182</v>
      </c>
      <c r="C6250" s="58">
        <v>6</v>
      </c>
      <c r="D6250" s="58">
        <v>109</v>
      </c>
      <c r="E6250" s="59">
        <v>86.477599999999995</v>
      </c>
    </row>
    <row r="6251" spans="1:5" ht="15" x14ac:dyDescent="0.35">
      <c r="A6251" s="58" t="s">
        <v>303</v>
      </c>
      <c r="B6251" s="58" t="s">
        <v>182</v>
      </c>
      <c r="C6251" s="58">
        <v>7</v>
      </c>
      <c r="D6251" s="58">
        <v>110</v>
      </c>
      <c r="E6251" s="59">
        <v>77.477599999999995</v>
      </c>
    </row>
    <row r="6252" spans="1:5" ht="15" x14ac:dyDescent="0.35">
      <c r="A6252" s="58" t="s">
        <v>303</v>
      </c>
      <c r="B6252" s="58" t="s">
        <v>182</v>
      </c>
      <c r="C6252" s="58">
        <v>8</v>
      </c>
      <c r="D6252" s="58">
        <v>111</v>
      </c>
      <c r="E6252" s="59">
        <v>40.699800000000003</v>
      </c>
    </row>
    <row r="6253" spans="1:5" ht="15" x14ac:dyDescent="0.35">
      <c r="A6253" s="58" t="s">
        <v>303</v>
      </c>
      <c r="B6253" s="58" t="s">
        <v>182</v>
      </c>
      <c r="C6253" s="58">
        <v>9</v>
      </c>
      <c r="D6253" s="58">
        <v>112</v>
      </c>
      <c r="E6253" s="59">
        <v>37.033200000000001</v>
      </c>
    </row>
    <row r="6254" spans="1:5" ht="15" x14ac:dyDescent="0.35">
      <c r="A6254" s="58" t="s">
        <v>303</v>
      </c>
      <c r="B6254" s="58" t="s">
        <v>182</v>
      </c>
      <c r="C6254" s="58">
        <v>10</v>
      </c>
      <c r="D6254" s="58">
        <v>113</v>
      </c>
      <c r="E6254" s="59">
        <v>38.588700000000003</v>
      </c>
    </row>
    <row r="6255" spans="1:5" ht="15" x14ac:dyDescent="0.35">
      <c r="A6255" s="58" t="s">
        <v>303</v>
      </c>
      <c r="B6255" s="58" t="s">
        <v>182</v>
      </c>
      <c r="C6255" s="58">
        <v>11</v>
      </c>
      <c r="D6255" s="58">
        <v>114</v>
      </c>
      <c r="E6255" s="59">
        <v>10.8109</v>
      </c>
    </row>
    <row r="6256" spans="1:5" ht="15" x14ac:dyDescent="0.35">
      <c r="A6256" s="58" t="s">
        <v>303</v>
      </c>
      <c r="B6256" s="58" t="s">
        <v>182</v>
      </c>
      <c r="C6256" s="58">
        <v>12</v>
      </c>
      <c r="D6256" s="58">
        <v>115</v>
      </c>
      <c r="E6256" s="59">
        <v>0</v>
      </c>
    </row>
    <row r="6257" spans="1:5" ht="15" x14ac:dyDescent="0.35">
      <c r="A6257" s="58" t="s">
        <v>303</v>
      </c>
      <c r="B6257" s="58" t="s">
        <v>176</v>
      </c>
      <c r="C6257" s="58">
        <v>1</v>
      </c>
      <c r="D6257" s="58">
        <v>104</v>
      </c>
      <c r="E6257" s="59">
        <v>218.375</v>
      </c>
    </row>
    <row r="6258" spans="1:5" ht="15" x14ac:dyDescent="0.35">
      <c r="A6258" s="58" t="s">
        <v>303</v>
      </c>
      <c r="B6258" s="58" t="s">
        <v>176</v>
      </c>
      <c r="C6258" s="58">
        <v>2</v>
      </c>
      <c r="D6258" s="58">
        <v>105</v>
      </c>
      <c r="E6258" s="59">
        <v>218.375</v>
      </c>
    </row>
    <row r="6259" spans="1:5" ht="15" x14ac:dyDescent="0.35">
      <c r="A6259" s="58" t="s">
        <v>303</v>
      </c>
      <c r="B6259" s="58" t="s">
        <v>176</v>
      </c>
      <c r="C6259" s="58">
        <v>3</v>
      </c>
      <c r="D6259" s="58">
        <v>106</v>
      </c>
      <c r="E6259" s="59">
        <v>218.375</v>
      </c>
    </row>
    <row r="6260" spans="1:5" ht="15" x14ac:dyDescent="0.35">
      <c r="A6260" s="58" t="s">
        <v>303</v>
      </c>
      <c r="B6260" s="58" t="s">
        <v>176</v>
      </c>
      <c r="C6260" s="58">
        <v>4</v>
      </c>
      <c r="D6260" s="58">
        <v>107</v>
      </c>
      <c r="E6260" s="59">
        <v>218.375</v>
      </c>
    </row>
    <row r="6261" spans="1:5" ht="15" x14ac:dyDescent="0.35">
      <c r="A6261" s="58" t="s">
        <v>303</v>
      </c>
      <c r="B6261" s="58" t="s">
        <v>176</v>
      </c>
      <c r="C6261" s="58">
        <v>5</v>
      </c>
      <c r="D6261" s="58">
        <v>108</v>
      </c>
      <c r="E6261" s="59">
        <v>218.375</v>
      </c>
    </row>
    <row r="6262" spans="1:5" ht="15" x14ac:dyDescent="0.35">
      <c r="A6262" s="58" t="s">
        <v>303</v>
      </c>
      <c r="B6262" s="58" t="s">
        <v>176</v>
      </c>
      <c r="C6262" s="58">
        <v>6</v>
      </c>
      <c r="D6262" s="58">
        <v>109</v>
      </c>
      <c r="E6262" s="59">
        <v>218.375</v>
      </c>
    </row>
    <row r="6263" spans="1:5" ht="15" x14ac:dyDescent="0.35">
      <c r="A6263" s="58" t="s">
        <v>303</v>
      </c>
      <c r="B6263" s="58" t="s">
        <v>176</v>
      </c>
      <c r="C6263" s="58">
        <v>7</v>
      </c>
      <c r="D6263" s="58">
        <v>110</v>
      </c>
      <c r="E6263" s="59">
        <v>218.375</v>
      </c>
    </row>
    <row r="6264" spans="1:5" ht="15" x14ac:dyDescent="0.35">
      <c r="A6264" s="58" t="s">
        <v>303</v>
      </c>
      <c r="B6264" s="58" t="s">
        <v>176</v>
      </c>
      <c r="C6264" s="58">
        <v>8</v>
      </c>
      <c r="D6264" s="58">
        <v>111</v>
      </c>
      <c r="E6264" s="59">
        <v>218.375</v>
      </c>
    </row>
    <row r="6265" spans="1:5" ht="15" x14ac:dyDescent="0.35">
      <c r="A6265" s="58" t="s">
        <v>303</v>
      </c>
      <c r="B6265" s="58" t="s">
        <v>176</v>
      </c>
      <c r="C6265" s="58">
        <v>9</v>
      </c>
      <c r="D6265" s="58">
        <v>112</v>
      </c>
      <c r="E6265" s="59">
        <v>218.375</v>
      </c>
    </row>
    <row r="6266" spans="1:5" ht="15" x14ac:dyDescent="0.35">
      <c r="A6266" s="58" t="s">
        <v>303</v>
      </c>
      <c r="B6266" s="58" t="s">
        <v>176</v>
      </c>
      <c r="C6266" s="58">
        <v>10</v>
      </c>
      <c r="D6266" s="58">
        <v>113</v>
      </c>
      <c r="E6266" s="59">
        <v>218.375</v>
      </c>
    </row>
    <row r="6267" spans="1:5" ht="15" x14ac:dyDescent="0.35">
      <c r="A6267" s="58" t="s">
        <v>303</v>
      </c>
      <c r="B6267" s="58" t="s">
        <v>176</v>
      </c>
      <c r="C6267" s="58">
        <v>11</v>
      </c>
      <c r="D6267" s="58">
        <v>114</v>
      </c>
      <c r="E6267" s="59">
        <v>218.375</v>
      </c>
    </row>
    <row r="6268" spans="1:5" ht="15" x14ac:dyDescent="0.35">
      <c r="A6268" s="58" t="s">
        <v>303</v>
      </c>
      <c r="B6268" s="58" t="s">
        <v>176</v>
      </c>
      <c r="C6268" s="58">
        <v>12</v>
      </c>
      <c r="D6268" s="58">
        <v>115</v>
      </c>
      <c r="E6268" s="59">
        <v>218.375</v>
      </c>
    </row>
    <row r="6269" spans="1:5" ht="15" x14ac:dyDescent="0.35">
      <c r="A6269" s="58" t="s">
        <v>303</v>
      </c>
      <c r="B6269" s="58" t="s">
        <v>172</v>
      </c>
      <c r="C6269" s="58">
        <v>1</v>
      </c>
      <c r="D6269" s="58">
        <v>104</v>
      </c>
      <c r="E6269" s="59">
        <v>70</v>
      </c>
    </row>
    <row r="6270" spans="1:5" ht="15" x14ac:dyDescent="0.35">
      <c r="A6270" s="58" t="s">
        <v>303</v>
      </c>
      <c r="B6270" s="58" t="s">
        <v>172</v>
      </c>
      <c r="C6270" s="58">
        <v>2</v>
      </c>
      <c r="D6270" s="58">
        <v>105</v>
      </c>
      <c r="E6270" s="59">
        <v>70</v>
      </c>
    </row>
    <row r="6271" spans="1:5" ht="15" x14ac:dyDescent="0.35">
      <c r="A6271" s="58" t="s">
        <v>303</v>
      </c>
      <c r="B6271" s="58" t="s">
        <v>172</v>
      </c>
      <c r="C6271" s="58">
        <v>3</v>
      </c>
      <c r="D6271" s="58">
        <v>106</v>
      </c>
      <c r="E6271" s="59">
        <v>70</v>
      </c>
    </row>
    <row r="6272" spans="1:5" ht="15" x14ac:dyDescent="0.35">
      <c r="A6272" s="58" t="s">
        <v>303</v>
      </c>
      <c r="B6272" s="58" t="s">
        <v>172</v>
      </c>
      <c r="C6272" s="58">
        <v>4</v>
      </c>
      <c r="D6272" s="58">
        <v>107</v>
      </c>
      <c r="E6272" s="59">
        <v>70</v>
      </c>
    </row>
    <row r="6273" spans="1:5" ht="15" x14ac:dyDescent="0.35">
      <c r="A6273" s="58" t="s">
        <v>303</v>
      </c>
      <c r="B6273" s="58" t="s">
        <v>172</v>
      </c>
      <c r="C6273" s="58">
        <v>5</v>
      </c>
      <c r="D6273" s="58">
        <v>108</v>
      </c>
      <c r="E6273" s="59">
        <v>70</v>
      </c>
    </row>
    <row r="6274" spans="1:5" ht="15" x14ac:dyDescent="0.35">
      <c r="A6274" s="58" t="s">
        <v>303</v>
      </c>
      <c r="B6274" s="58" t="s">
        <v>172</v>
      </c>
      <c r="C6274" s="58">
        <v>6</v>
      </c>
      <c r="D6274" s="58">
        <v>109</v>
      </c>
      <c r="E6274" s="59">
        <v>70</v>
      </c>
    </row>
    <row r="6275" spans="1:5" ht="15" x14ac:dyDescent="0.35">
      <c r="A6275" s="58" t="s">
        <v>303</v>
      </c>
      <c r="B6275" s="58" t="s">
        <v>172</v>
      </c>
      <c r="C6275" s="58">
        <v>7</v>
      </c>
      <c r="D6275" s="58">
        <v>110</v>
      </c>
      <c r="E6275" s="59">
        <v>70</v>
      </c>
    </row>
    <row r="6276" spans="1:5" ht="15" x14ac:dyDescent="0.35">
      <c r="A6276" s="58" t="s">
        <v>303</v>
      </c>
      <c r="B6276" s="58" t="s">
        <v>172</v>
      </c>
      <c r="C6276" s="58">
        <v>8</v>
      </c>
      <c r="D6276" s="58">
        <v>111</v>
      </c>
      <c r="E6276" s="59">
        <v>70</v>
      </c>
    </row>
    <row r="6277" spans="1:5" ht="15" x14ac:dyDescent="0.35">
      <c r="A6277" s="58" t="s">
        <v>303</v>
      </c>
      <c r="B6277" s="58" t="s">
        <v>172</v>
      </c>
      <c r="C6277" s="58">
        <v>9</v>
      </c>
      <c r="D6277" s="58">
        <v>112</v>
      </c>
      <c r="E6277" s="59">
        <v>70</v>
      </c>
    </row>
    <row r="6278" spans="1:5" ht="15" x14ac:dyDescent="0.35">
      <c r="A6278" s="58" t="s">
        <v>303</v>
      </c>
      <c r="B6278" s="58" t="s">
        <v>172</v>
      </c>
      <c r="C6278" s="58">
        <v>10</v>
      </c>
      <c r="D6278" s="58">
        <v>113</v>
      </c>
      <c r="E6278" s="59">
        <v>70</v>
      </c>
    </row>
    <row r="6279" spans="1:5" ht="15" x14ac:dyDescent="0.35">
      <c r="A6279" s="58" t="s">
        <v>303</v>
      </c>
      <c r="B6279" s="58" t="s">
        <v>172</v>
      </c>
      <c r="C6279" s="58">
        <v>11</v>
      </c>
      <c r="D6279" s="58">
        <v>114</v>
      </c>
      <c r="E6279" s="59">
        <v>70</v>
      </c>
    </row>
    <row r="6280" spans="1:5" ht="15" x14ac:dyDescent="0.35">
      <c r="A6280" s="58" t="s">
        <v>303</v>
      </c>
      <c r="B6280" s="58" t="s">
        <v>172</v>
      </c>
      <c r="C6280" s="58">
        <v>12</v>
      </c>
      <c r="D6280" s="58">
        <v>115</v>
      </c>
      <c r="E6280" s="59">
        <v>70</v>
      </c>
    </row>
    <row r="6281" spans="1:5" ht="15" x14ac:dyDescent="0.35">
      <c r="A6281" s="58" t="s">
        <v>303</v>
      </c>
      <c r="B6281" s="58" t="s">
        <v>180</v>
      </c>
      <c r="C6281" s="58">
        <v>1</v>
      </c>
      <c r="D6281" s="58">
        <v>104</v>
      </c>
      <c r="E6281" s="59">
        <v>252.62719999999999</v>
      </c>
    </row>
    <row r="6282" spans="1:5" ht="15" x14ac:dyDescent="0.35">
      <c r="A6282" s="58" t="s">
        <v>303</v>
      </c>
      <c r="B6282" s="58" t="s">
        <v>180</v>
      </c>
      <c r="C6282" s="58">
        <v>2</v>
      </c>
      <c r="D6282" s="58">
        <v>105</v>
      </c>
      <c r="E6282" s="59">
        <v>252.62719999999999</v>
      </c>
    </row>
    <row r="6283" spans="1:5" ht="15" x14ac:dyDescent="0.35">
      <c r="A6283" s="58" t="s">
        <v>303</v>
      </c>
      <c r="B6283" s="58" t="s">
        <v>180</v>
      </c>
      <c r="C6283" s="58">
        <v>3</v>
      </c>
      <c r="D6283" s="58">
        <v>106</v>
      </c>
      <c r="E6283" s="59">
        <v>252.62719999999999</v>
      </c>
    </row>
    <row r="6284" spans="1:5" ht="15" x14ac:dyDescent="0.35">
      <c r="A6284" s="58" t="s">
        <v>303</v>
      </c>
      <c r="B6284" s="58" t="s">
        <v>180</v>
      </c>
      <c r="C6284" s="58">
        <v>4</v>
      </c>
      <c r="D6284" s="58">
        <v>107</v>
      </c>
      <c r="E6284" s="59">
        <v>252.62719999999999</v>
      </c>
    </row>
    <row r="6285" spans="1:5" ht="15" x14ac:dyDescent="0.35">
      <c r="A6285" s="58" t="s">
        <v>303</v>
      </c>
      <c r="B6285" s="58" t="s">
        <v>180</v>
      </c>
      <c r="C6285" s="58">
        <v>5</v>
      </c>
      <c r="D6285" s="58">
        <v>108</v>
      </c>
      <c r="E6285" s="59">
        <v>252.62719999999999</v>
      </c>
    </row>
    <row r="6286" spans="1:5" ht="15" x14ac:dyDescent="0.35">
      <c r="A6286" s="58" t="s">
        <v>303</v>
      </c>
      <c r="B6286" s="58" t="s">
        <v>180</v>
      </c>
      <c r="C6286" s="58">
        <v>6</v>
      </c>
      <c r="D6286" s="58">
        <v>109</v>
      </c>
      <c r="E6286" s="59">
        <v>252.62719999999999</v>
      </c>
    </row>
    <row r="6287" spans="1:5" ht="15" x14ac:dyDescent="0.35">
      <c r="A6287" s="58" t="s">
        <v>303</v>
      </c>
      <c r="B6287" s="58" t="s">
        <v>180</v>
      </c>
      <c r="C6287" s="58">
        <v>7</v>
      </c>
      <c r="D6287" s="58">
        <v>110</v>
      </c>
      <c r="E6287" s="59">
        <v>252.62719999999999</v>
      </c>
    </row>
    <row r="6288" spans="1:5" ht="15" x14ac:dyDescent="0.35">
      <c r="A6288" s="58" t="s">
        <v>303</v>
      </c>
      <c r="B6288" s="58" t="s">
        <v>180</v>
      </c>
      <c r="C6288" s="58">
        <v>8</v>
      </c>
      <c r="D6288" s="58">
        <v>111</v>
      </c>
      <c r="E6288" s="59">
        <v>252.62719999999999</v>
      </c>
    </row>
    <row r="6289" spans="1:5" ht="15" x14ac:dyDescent="0.35">
      <c r="A6289" s="58" t="s">
        <v>303</v>
      </c>
      <c r="B6289" s="58" t="s">
        <v>180</v>
      </c>
      <c r="C6289" s="58">
        <v>9</v>
      </c>
      <c r="D6289" s="58">
        <v>112</v>
      </c>
      <c r="E6289" s="59">
        <v>252.62719999999999</v>
      </c>
    </row>
    <row r="6290" spans="1:5" ht="15" x14ac:dyDescent="0.35">
      <c r="A6290" s="58" t="s">
        <v>303</v>
      </c>
      <c r="B6290" s="58" t="s">
        <v>180</v>
      </c>
      <c r="C6290" s="58">
        <v>10</v>
      </c>
      <c r="D6290" s="58">
        <v>113</v>
      </c>
      <c r="E6290" s="59">
        <v>252.62719999999999</v>
      </c>
    </row>
    <row r="6291" spans="1:5" ht="15" x14ac:dyDescent="0.35">
      <c r="A6291" s="58" t="s">
        <v>303</v>
      </c>
      <c r="B6291" s="58" t="s">
        <v>180</v>
      </c>
      <c r="C6291" s="58">
        <v>11</v>
      </c>
      <c r="D6291" s="58">
        <v>114</v>
      </c>
      <c r="E6291" s="59">
        <v>252.62719999999999</v>
      </c>
    </row>
    <row r="6292" spans="1:5" ht="15" x14ac:dyDescent="0.35">
      <c r="A6292" s="58" t="s">
        <v>303</v>
      </c>
      <c r="B6292" s="58" t="s">
        <v>180</v>
      </c>
      <c r="C6292" s="58">
        <v>12</v>
      </c>
      <c r="D6292" s="58">
        <v>115</v>
      </c>
      <c r="E6292" s="59">
        <v>252.62719999999999</v>
      </c>
    </row>
    <row r="6293" spans="1:5" ht="15" x14ac:dyDescent="0.35">
      <c r="A6293" s="58" t="s">
        <v>335</v>
      </c>
      <c r="B6293" s="58" t="s">
        <v>182</v>
      </c>
      <c r="C6293" s="58">
        <v>1</v>
      </c>
      <c r="D6293" s="58">
        <v>104</v>
      </c>
      <c r="E6293" s="59">
        <v>249.5273</v>
      </c>
    </row>
    <row r="6294" spans="1:5" ht="15" x14ac:dyDescent="0.35">
      <c r="A6294" s="58" t="s">
        <v>335</v>
      </c>
      <c r="B6294" s="58" t="s">
        <v>182</v>
      </c>
      <c r="C6294" s="58">
        <v>2</v>
      </c>
      <c r="D6294" s="58">
        <v>105</v>
      </c>
      <c r="E6294" s="59">
        <v>132.4384</v>
      </c>
    </row>
    <row r="6295" spans="1:5" ht="15" x14ac:dyDescent="0.35">
      <c r="A6295" s="58" t="s">
        <v>335</v>
      </c>
      <c r="B6295" s="58" t="s">
        <v>182</v>
      </c>
      <c r="C6295" s="58">
        <v>3</v>
      </c>
      <c r="D6295" s="58">
        <v>106</v>
      </c>
      <c r="E6295" s="59">
        <v>117.6384</v>
      </c>
    </row>
    <row r="6296" spans="1:5" ht="15" x14ac:dyDescent="0.35">
      <c r="A6296" s="58" t="s">
        <v>335</v>
      </c>
      <c r="B6296" s="58" t="s">
        <v>182</v>
      </c>
      <c r="C6296" s="58">
        <v>4</v>
      </c>
      <c r="D6296" s="58">
        <v>107</v>
      </c>
      <c r="E6296" s="59">
        <v>110.9241</v>
      </c>
    </row>
    <row r="6297" spans="1:5" ht="15" x14ac:dyDescent="0.35">
      <c r="A6297" s="58" t="s">
        <v>335</v>
      </c>
      <c r="B6297" s="58" t="s">
        <v>182</v>
      </c>
      <c r="C6297" s="58">
        <v>5</v>
      </c>
      <c r="D6297" s="58">
        <v>108</v>
      </c>
      <c r="E6297" s="59">
        <v>95.888400000000004</v>
      </c>
    </row>
    <row r="6298" spans="1:5" ht="15" x14ac:dyDescent="0.35">
      <c r="A6298" s="58" t="s">
        <v>335</v>
      </c>
      <c r="B6298" s="58" t="s">
        <v>182</v>
      </c>
      <c r="C6298" s="58">
        <v>6</v>
      </c>
      <c r="D6298" s="58">
        <v>109</v>
      </c>
      <c r="E6298" s="59">
        <v>86.527299999999997</v>
      </c>
    </row>
    <row r="6299" spans="1:5" ht="15" x14ac:dyDescent="0.35">
      <c r="A6299" s="58" t="s">
        <v>335</v>
      </c>
      <c r="B6299" s="58" t="s">
        <v>182</v>
      </c>
      <c r="C6299" s="58">
        <v>7</v>
      </c>
      <c r="D6299" s="58">
        <v>110</v>
      </c>
      <c r="E6299" s="59">
        <v>51.638399999999997</v>
      </c>
    </row>
    <row r="6300" spans="1:5" ht="15" x14ac:dyDescent="0.35">
      <c r="A6300" s="58" t="s">
        <v>335</v>
      </c>
      <c r="B6300" s="58" t="s">
        <v>182</v>
      </c>
      <c r="C6300" s="58">
        <v>8</v>
      </c>
      <c r="D6300" s="58">
        <v>111</v>
      </c>
      <c r="E6300" s="59">
        <v>27.082899999999999</v>
      </c>
    </row>
    <row r="6301" spans="1:5" ht="15" x14ac:dyDescent="0.35">
      <c r="A6301" s="58" t="s">
        <v>335</v>
      </c>
      <c r="B6301" s="58" t="s">
        <v>182</v>
      </c>
      <c r="C6301" s="58">
        <v>9</v>
      </c>
      <c r="D6301" s="58">
        <v>112</v>
      </c>
      <c r="E6301" s="59">
        <v>20.193999999999999</v>
      </c>
    </row>
    <row r="6302" spans="1:5" ht="15" x14ac:dyDescent="0.35">
      <c r="A6302" s="58" t="s">
        <v>335</v>
      </c>
      <c r="B6302" s="58" t="s">
        <v>182</v>
      </c>
      <c r="C6302" s="58">
        <v>10</v>
      </c>
      <c r="D6302" s="58">
        <v>113</v>
      </c>
      <c r="E6302" s="59">
        <v>21.971699999999998</v>
      </c>
    </row>
    <row r="6303" spans="1:5" ht="15" x14ac:dyDescent="0.35">
      <c r="A6303" s="58" t="s">
        <v>335</v>
      </c>
      <c r="B6303" s="58" t="s">
        <v>182</v>
      </c>
      <c r="C6303" s="58">
        <v>11</v>
      </c>
      <c r="D6303" s="58">
        <v>114</v>
      </c>
      <c r="E6303" s="59">
        <v>11.5273</v>
      </c>
    </row>
    <row r="6304" spans="1:5" ht="15" x14ac:dyDescent="0.35">
      <c r="A6304" s="58" t="s">
        <v>335</v>
      </c>
      <c r="B6304" s="58" t="s">
        <v>182</v>
      </c>
      <c r="C6304" s="58">
        <v>12</v>
      </c>
      <c r="D6304" s="58">
        <v>115</v>
      </c>
      <c r="E6304" s="59">
        <v>4.5273000000000003</v>
      </c>
    </row>
    <row r="6305" spans="1:5" ht="15" x14ac:dyDescent="0.35">
      <c r="A6305" s="58" t="s">
        <v>335</v>
      </c>
      <c r="B6305" s="58" t="s">
        <v>176</v>
      </c>
      <c r="C6305" s="58">
        <v>1</v>
      </c>
      <c r="D6305" s="58">
        <v>104</v>
      </c>
      <c r="E6305" s="59">
        <v>109.25</v>
      </c>
    </row>
    <row r="6306" spans="1:5" ht="15" x14ac:dyDescent="0.35">
      <c r="A6306" s="58" t="s">
        <v>335</v>
      </c>
      <c r="B6306" s="58" t="s">
        <v>176</v>
      </c>
      <c r="C6306" s="58">
        <v>2</v>
      </c>
      <c r="D6306" s="58">
        <v>105</v>
      </c>
      <c r="E6306" s="59">
        <v>109.25</v>
      </c>
    </row>
    <row r="6307" spans="1:5" ht="15" x14ac:dyDescent="0.35">
      <c r="A6307" s="58" t="s">
        <v>335</v>
      </c>
      <c r="B6307" s="58" t="s">
        <v>176</v>
      </c>
      <c r="C6307" s="58">
        <v>3</v>
      </c>
      <c r="D6307" s="58">
        <v>106</v>
      </c>
      <c r="E6307" s="59">
        <v>109.25</v>
      </c>
    </row>
    <row r="6308" spans="1:5" ht="15" x14ac:dyDescent="0.35">
      <c r="A6308" s="58" t="s">
        <v>335</v>
      </c>
      <c r="B6308" s="58" t="s">
        <v>176</v>
      </c>
      <c r="C6308" s="58">
        <v>4</v>
      </c>
      <c r="D6308" s="58">
        <v>107</v>
      </c>
      <c r="E6308" s="59">
        <v>109.25</v>
      </c>
    </row>
    <row r="6309" spans="1:5" ht="15" x14ac:dyDescent="0.35">
      <c r="A6309" s="58" t="s">
        <v>335</v>
      </c>
      <c r="B6309" s="58" t="s">
        <v>176</v>
      </c>
      <c r="C6309" s="58">
        <v>5</v>
      </c>
      <c r="D6309" s="58">
        <v>108</v>
      </c>
      <c r="E6309" s="59">
        <v>109.25</v>
      </c>
    </row>
    <row r="6310" spans="1:5" ht="15" x14ac:dyDescent="0.35">
      <c r="A6310" s="58" t="s">
        <v>335</v>
      </c>
      <c r="B6310" s="58" t="s">
        <v>176</v>
      </c>
      <c r="C6310" s="58">
        <v>6</v>
      </c>
      <c r="D6310" s="58">
        <v>109</v>
      </c>
      <c r="E6310" s="59">
        <v>109.25</v>
      </c>
    </row>
    <row r="6311" spans="1:5" ht="15" x14ac:dyDescent="0.35">
      <c r="A6311" s="58" t="s">
        <v>335</v>
      </c>
      <c r="B6311" s="58" t="s">
        <v>176</v>
      </c>
      <c r="C6311" s="58">
        <v>7</v>
      </c>
      <c r="D6311" s="58">
        <v>110</v>
      </c>
      <c r="E6311" s="59">
        <v>109.25</v>
      </c>
    </row>
    <row r="6312" spans="1:5" ht="15" x14ac:dyDescent="0.35">
      <c r="A6312" s="58" t="s">
        <v>335</v>
      </c>
      <c r="B6312" s="58" t="s">
        <v>176</v>
      </c>
      <c r="C6312" s="58">
        <v>8</v>
      </c>
      <c r="D6312" s="58">
        <v>111</v>
      </c>
      <c r="E6312" s="59">
        <v>109.25</v>
      </c>
    </row>
    <row r="6313" spans="1:5" ht="15" x14ac:dyDescent="0.35">
      <c r="A6313" s="58" t="s">
        <v>335</v>
      </c>
      <c r="B6313" s="58" t="s">
        <v>176</v>
      </c>
      <c r="C6313" s="58">
        <v>9</v>
      </c>
      <c r="D6313" s="58">
        <v>112</v>
      </c>
      <c r="E6313" s="59">
        <v>109.25</v>
      </c>
    </row>
    <row r="6314" spans="1:5" ht="15" x14ac:dyDescent="0.35">
      <c r="A6314" s="58" t="s">
        <v>335</v>
      </c>
      <c r="B6314" s="58" t="s">
        <v>176</v>
      </c>
      <c r="C6314" s="58">
        <v>10</v>
      </c>
      <c r="D6314" s="58">
        <v>113</v>
      </c>
      <c r="E6314" s="59">
        <v>109.25</v>
      </c>
    </row>
    <row r="6315" spans="1:5" ht="15" x14ac:dyDescent="0.35">
      <c r="A6315" s="58" t="s">
        <v>335</v>
      </c>
      <c r="B6315" s="58" t="s">
        <v>176</v>
      </c>
      <c r="C6315" s="58">
        <v>11</v>
      </c>
      <c r="D6315" s="58">
        <v>114</v>
      </c>
      <c r="E6315" s="59">
        <v>109.25</v>
      </c>
    </row>
    <row r="6316" spans="1:5" ht="15" x14ac:dyDescent="0.35">
      <c r="A6316" s="58" t="s">
        <v>335</v>
      </c>
      <c r="B6316" s="58" t="s">
        <v>176</v>
      </c>
      <c r="C6316" s="58">
        <v>12</v>
      </c>
      <c r="D6316" s="58">
        <v>115</v>
      </c>
      <c r="E6316" s="59">
        <v>109.25</v>
      </c>
    </row>
    <row r="6317" spans="1:5" ht="15" x14ac:dyDescent="0.35">
      <c r="A6317" s="58" t="s">
        <v>335</v>
      </c>
      <c r="B6317" s="58" t="s">
        <v>172</v>
      </c>
      <c r="C6317" s="58">
        <v>1</v>
      </c>
      <c r="D6317" s="58">
        <v>104</v>
      </c>
      <c r="E6317" s="59">
        <v>86</v>
      </c>
    </row>
    <row r="6318" spans="1:5" ht="15" x14ac:dyDescent="0.35">
      <c r="A6318" s="58" t="s">
        <v>335</v>
      </c>
      <c r="B6318" s="58" t="s">
        <v>172</v>
      </c>
      <c r="C6318" s="58">
        <v>2</v>
      </c>
      <c r="D6318" s="58">
        <v>105</v>
      </c>
      <c r="E6318" s="59">
        <v>86</v>
      </c>
    </row>
    <row r="6319" spans="1:5" ht="15" x14ac:dyDescent="0.35">
      <c r="A6319" s="58" t="s">
        <v>335</v>
      </c>
      <c r="B6319" s="58" t="s">
        <v>172</v>
      </c>
      <c r="C6319" s="58">
        <v>3</v>
      </c>
      <c r="D6319" s="58">
        <v>106</v>
      </c>
      <c r="E6319" s="59">
        <v>86</v>
      </c>
    </row>
    <row r="6320" spans="1:5" ht="15" x14ac:dyDescent="0.35">
      <c r="A6320" s="58" t="s">
        <v>335</v>
      </c>
      <c r="B6320" s="58" t="s">
        <v>172</v>
      </c>
      <c r="C6320" s="58">
        <v>4</v>
      </c>
      <c r="D6320" s="58">
        <v>107</v>
      </c>
      <c r="E6320" s="59">
        <v>86</v>
      </c>
    </row>
    <row r="6321" spans="1:5" ht="15" x14ac:dyDescent="0.35">
      <c r="A6321" s="58" t="s">
        <v>335</v>
      </c>
      <c r="B6321" s="58" t="s">
        <v>172</v>
      </c>
      <c r="C6321" s="58">
        <v>5</v>
      </c>
      <c r="D6321" s="58">
        <v>108</v>
      </c>
      <c r="E6321" s="59">
        <v>86</v>
      </c>
    </row>
    <row r="6322" spans="1:5" ht="15" x14ac:dyDescent="0.35">
      <c r="A6322" s="58" t="s">
        <v>335</v>
      </c>
      <c r="B6322" s="58" t="s">
        <v>172</v>
      </c>
      <c r="C6322" s="58">
        <v>6</v>
      </c>
      <c r="D6322" s="58">
        <v>109</v>
      </c>
      <c r="E6322" s="59">
        <v>86</v>
      </c>
    </row>
    <row r="6323" spans="1:5" ht="15" x14ac:dyDescent="0.35">
      <c r="A6323" s="58" t="s">
        <v>335</v>
      </c>
      <c r="B6323" s="58" t="s">
        <v>172</v>
      </c>
      <c r="C6323" s="58">
        <v>7</v>
      </c>
      <c r="D6323" s="58">
        <v>110</v>
      </c>
      <c r="E6323" s="59">
        <v>86</v>
      </c>
    </row>
    <row r="6324" spans="1:5" ht="15" x14ac:dyDescent="0.35">
      <c r="A6324" s="58" t="s">
        <v>335</v>
      </c>
      <c r="B6324" s="58" t="s">
        <v>172</v>
      </c>
      <c r="C6324" s="58">
        <v>8</v>
      </c>
      <c r="D6324" s="58">
        <v>111</v>
      </c>
      <c r="E6324" s="59">
        <v>86</v>
      </c>
    </row>
    <row r="6325" spans="1:5" ht="15" x14ac:dyDescent="0.35">
      <c r="A6325" s="58" t="s">
        <v>335</v>
      </c>
      <c r="B6325" s="58" t="s">
        <v>172</v>
      </c>
      <c r="C6325" s="58">
        <v>9</v>
      </c>
      <c r="D6325" s="58">
        <v>112</v>
      </c>
      <c r="E6325" s="59">
        <v>86</v>
      </c>
    </row>
    <row r="6326" spans="1:5" ht="15" x14ac:dyDescent="0.35">
      <c r="A6326" s="58" t="s">
        <v>335</v>
      </c>
      <c r="B6326" s="58" t="s">
        <v>172</v>
      </c>
      <c r="C6326" s="58">
        <v>10</v>
      </c>
      <c r="D6326" s="58">
        <v>113</v>
      </c>
      <c r="E6326" s="59">
        <v>86</v>
      </c>
    </row>
    <row r="6327" spans="1:5" ht="15" x14ac:dyDescent="0.35">
      <c r="A6327" s="58" t="s">
        <v>335</v>
      </c>
      <c r="B6327" s="58" t="s">
        <v>172</v>
      </c>
      <c r="C6327" s="58">
        <v>11</v>
      </c>
      <c r="D6327" s="58">
        <v>114</v>
      </c>
      <c r="E6327" s="59">
        <v>86</v>
      </c>
    </row>
    <row r="6328" spans="1:5" ht="15" x14ac:dyDescent="0.35">
      <c r="A6328" s="58" t="s">
        <v>335</v>
      </c>
      <c r="B6328" s="58" t="s">
        <v>172</v>
      </c>
      <c r="C6328" s="58">
        <v>12</v>
      </c>
      <c r="D6328" s="58">
        <v>115</v>
      </c>
      <c r="E6328" s="59">
        <v>86</v>
      </c>
    </row>
    <row r="6329" spans="1:5" ht="15" x14ac:dyDescent="0.35">
      <c r="A6329" s="58" t="s">
        <v>335</v>
      </c>
      <c r="B6329" s="58" t="s">
        <v>180</v>
      </c>
      <c r="C6329" s="58">
        <v>1</v>
      </c>
      <c r="D6329" s="58">
        <v>104</v>
      </c>
      <c r="E6329" s="59">
        <v>99.835700000000003</v>
      </c>
    </row>
    <row r="6330" spans="1:5" ht="15" x14ac:dyDescent="0.35">
      <c r="A6330" s="58" t="s">
        <v>335</v>
      </c>
      <c r="B6330" s="58" t="s">
        <v>180</v>
      </c>
      <c r="C6330" s="58">
        <v>2</v>
      </c>
      <c r="D6330" s="58">
        <v>105</v>
      </c>
      <c r="E6330" s="59">
        <v>99.835700000000003</v>
      </c>
    </row>
    <row r="6331" spans="1:5" ht="15" x14ac:dyDescent="0.35">
      <c r="A6331" s="58" t="s">
        <v>335</v>
      </c>
      <c r="B6331" s="58" t="s">
        <v>180</v>
      </c>
      <c r="C6331" s="58">
        <v>3</v>
      </c>
      <c r="D6331" s="58">
        <v>106</v>
      </c>
      <c r="E6331" s="59">
        <v>99.835700000000003</v>
      </c>
    </row>
    <row r="6332" spans="1:5" ht="15" x14ac:dyDescent="0.35">
      <c r="A6332" s="58" t="s">
        <v>335</v>
      </c>
      <c r="B6332" s="58" t="s">
        <v>180</v>
      </c>
      <c r="C6332" s="58">
        <v>4</v>
      </c>
      <c r="D6332" s="58">
        <v>107</v>
      </c>
      <c r="E6332" s="59">
        <v>99.835700000000003</v>
      </c>
    </row>
    <row r="6333" spans="1:5" ht="15" x14ac:dyDescent="0.35">
      <c r="A6333" s="58" t="s">
        <v>335</v>
      </c>
      <c r="B6333" s="58" t="s">
        <v>180</v>
      </c>
      <c r="C6333" s="58">
        <v>5</v>
      </c>
      <c r="D6333" s="58">
        <v>108</v>
      </c>
      <c r="E6333" s="59">
        <v>99.835700000000003</v>
      </c>
    </row>
    <row r="6334" spans="1:5" ht="15" x14ac:dyDescent="0.35">
      <c r="A6334" s="58" t="s">
        <v>335</v>
      </c>
      <c r="B6334" s="58" t="s">
        <v>180</v>
      </c>
      <c r="C6334" s="58">
        <v>6</v>
      </c>
      <c r="D6334" s="58">
        <v>109</v>
      </c>
      <c r="E6334" s="59">
        <v>99.835700000000003</v>
      </c>
    </row>
    <row r="6335" spans="1:5" ht="15" x14ac:dyDescent="0.35">
      <c r="A6335" s="58" t="s">
        <v>335</v>
      </c>
      <c r="B6335" s="58" t="s">
        <v>180</v>
      </c>
      <c r="C6335" s="58">
        <v>7</v>
      </c>
      <c r="D6335" s="58">
        <v>110</v>
      </c>
      <c r="E6335" s="59">
        <v>99.835700000000003</v>
      </c>
    </row>
    <row r="6336" spans="1:5" ht="15" x14ac:dyDescent="0.35">
      <c r="A6336" s="58" t="s">
        <v>335</v>
      </c>
      <c r="B6336" s="58" t="s">
        <v>180</v>
      </c>
      <c r="C6336" s="58">
        <v>8</v>
      </c>
      <c r="D6336" s="58">
        <v>111</v>
      </c>
      <c r="E6336" s="59">
        <v>99.835700000000003</v>
      </c>
    </row>
    <row r="6337" spans="1:5" ht="15" x14ac:dyDescent="0.35">
      <c r="A6337" s="58" t="s">
        <v>335</v>
      </c>
      <c r="B6337" s="58" t="s">
        <v>180</v>
      </c>
      <c r="C6337" s="58">
        <v>9</v>
      </c>
      <c r="D6337" s="58">
        <v>112</v>
      </c>
      <c r="E6337" s="59">
        <v>99.835700000000003</v>
      </c>
    </row>
    <row r="6338" spans="1:5" ht="15" x14ac:dyDescent="0.35">
      <c r="A6338" s="58" t="s">
        <v>335</v>
      </c>
      <c r="B6338" s="58" t="s">
        <v>180</v>
      </c>
      <c r="C6338" s="58">
        <v>10</v>
      </c>
      <c r="D6338" s="58">
        <v>113</v>
      </c>
      <c r="E6338" s="59">
        <v>99.835700000000003</v>
      </c>
    </row>
    <row r="6339" spans="1:5" ht="15" x14ac:dyDescent="0.35">
      <c r="A6339" s="58" t="s">
        <v>335</v>
      </c>
      <c r="B6339" s="58" t="s">
        <v>180</v>
      </c>
      <c r="C6339" s="58">
        <v>11</v>
      </c>
      <c r="D6339" s="58">
        <v>114</v>
      </c>
      <c r="E6339" s="59">
        <v>99.835700000000003</v>
      </c>
    </row>
    <row r="6340" spans="1:5" ht="15" x14ac:dyDescent="0.35">
      <c r="A6340" s="58" t="s">
        <v>335</v>
      </c>
      <c r="B6340" s="58" t="s">
        <v>180</v>
      </c>
      <c r="C6340" s="58">
        <v>12</v>
      </c>
      <c r="D6340" s="58">
        <v>115</v>
      </c>
      <c r="E6340" s="59">
        <v>99.835700000000003</v>
      </c>
    </row>
    <row r="6341" spans="1:5" ht="15" x14ac:dyDescent="0.35">
      <c r="A6341" s="58" t="s">
        <v>348</v>
      </c>
      <c r="B6341" s="58" t="s">
        <v>182</v>
      </c>
      <c r="C6341" s="58">
        <v>1</v>
      </c>
      <c r="D6341" s="58">
        <v>104</v>
      </c>
      <c r="E6341" s="59">
        <v>1381.1369999999999</v>
      </c>
    </row>
    <row r="6342" spans="1:5" ht="15" x14ac:dyDescent="0.35">
      <c r="A6342" s="58" t="s">
        <v>348</v>
      </c>
      <c r="B6342" s="58" t="s">
        <v>182</v>
      </c>
      <c r="C6342" s="58">
        <v>2</v>
      </c>
      <c r="D6342" s="58">
        <v>105</v>
      </c>
      <c r="E6342" s="59">
        <v>167.89259999999999</v>
      </c>
    </row>
    <row r="6343" spans="1:5" ht="15" x14ac:dyDescent="0.35">
      <c r="A6343" s="58" t="s">
        <v>348</v>
      </c>
      <c r="B6343" s="58" t="s">
        <v>182</v>
      </c>
      <c r="C6343" s="58">
        <v>3</v>
      </c>
      <c r="D6343" s="58">
        <v>106</v>
      </c>
      <c r="E6343" s="59">
        <v>161.35919999999999</v>
      </c>
    </row>
    <row r="6344" spans="1:5" ht="15" x14ac:dyDescent="0.35">
      <c r="A6344" s="58" t="s">
        <v>348</v>
      </c>
      <c r="B6344" s="58" t="s">
        <v>182</v>
      </c>
      <c r="C6344" s="58">
        <v>4</v>
      </c>
      <c r="D6344" s="58">
        <v>107</v>
      </c>
      <c r="E6344" s="59">
        <v>143.40690000000001</v>
      </c>
    </row>
    <row r="6345" spans="1:5" ht="15" x14ac:dyDescent="0.35">
      <c r="A6345" s="58" t="s">
        <v>348</v>
      </c>
      <c r="B6345" s="58" t="s">
        <v>182</v>
      </c>
      <c r="C6345" s="58">
        <v>5</v>
      </c>
      <c r="D6345" s="58">
        <v>108</v>
      </c>
      <c r="E6345" s="59">
        <v>147.5676</v>
      </c>
    </row>
    <row r="6346" spans="1:5" ht="15" x14ac:dyDescent="0.35">
      <c r="A6346" s="58" t="s">
        <v>348</v>
      </c>
      <c r="B6346" s="58" t="s">
        <v>182</v>
      </c>
      <c r="C6346" s="58">
        <v>6</v>
      </c>
      <c r="D6346" s="58">
        <v>109</v>
      </c>
      <c r="E6346" s="59">
        <v>166.80369999999999</v>
      </c>
    </row>
    <row r="6347" spans="1:5" ht="15" x14ac:dyDescent="0.35">
      <c r="A6347" s="58" t="s">
        <v>348</v>
      </c>
      <c r="B6347" s="58" t="s">
        <v>182</v>
      </c>
      <c r="C6347" s="58">
        <v>7</v>
      </c>
      <c r="D6347" s="58">
        <v>110</v>
      </c>
      <c r="E6347" s="59">
        <v>81.025899999999993</v>
      </c>
    </row>
    <row r="6348" spans="1:5" ht="15" x14ac:dyDescent="0.35">
      <c r="A6348" s="58" t="s">
        <v>348</v>
      </c>
      <c r="B6348" s="58" t="s">
        <v>182</v>
      </c>
      <c r="C6348" s="58">
        <v>8</v>
      </c>
      <c r="D6348" s="58">
        <v>111</v>
      </c>
      <c r="E6348" s="59">
        <v>113.02589999999999</v>
      </c>
    </row>
    <row r="6349" spans="1:5" ht="15" x14ac:dyDescent="0.35">
      <c r="A6349" s="58" t="s">
        <v>348</v>
      </c>
      <c r="B6349" s="58" t="s">
        <v>182</v>
      </c>
      <c r="C6349" s="58">
        <v>9</v>
      </c>
      <c r="D6349" s="58">
        <v>112</v>
      </c>
      <c r="E6349" s="59">
        <v>171.6926</v>
      </c>
    </row>
    <row r="6350" spans="1:5" ht="15" x14ac:dyDescent="0.35">
      <c r="A6350" s="58" t="s">
        <v>348</v>
      </c>
      <c r="B6350" s="58" t="s">
        <v>182</v>
      </c>
      <c r="C6350" s="58">
        <v>10</v>
      </c>
      <c r="D6350" s="58">
        <v>113</v>
      </c>
      <c r="E6350" s="59">
        <v>283.69260000000003</v>
      </c>
    </row>
    <row r="6351" spans="1:5" ht="15" x14ac:dyDescent="0.35">
      <c r="A6351" s="58" t="s">
        <v>348</v>
      </c>
      <c r="B6351" s="58" t="s">
        <v>182</v>
      </c>
      <c r="C6351" s="58">
        <v>11</v>
      </c>
      <c r="D6351" s="58">
        <v>114</v>
      </c>
      <c r="E6351" s="59">
        <v>305.02589999999998</v>
      </c>
    </row>
    <row r="6352" spans="1:5" ht="15" x14ac:dyDescent="0.35">
      <c r="A6352" s="58" t="s">
        <v>348</v>
      </c>
      <c r="B6352" s="58" t="s">
        <v>182</v>
      </c>
      <c r="C6352" s="58">
        <v>12</v>
      </c>
      <c r="D6352" s="58">
        <v>115</v>
      </c>
      <c r="E6352" s="59">
        <v>550.35919999999999</v>
      </c>
    </row>
    <row r="6353" spans="1:5" ht="15" x14ac:dyDescent="0.35">
      <c r="A6353" s="58" t="s">
        <v>348</v>
      </c>
      <c r="B6353" s="58" t="s">
        <v>176</v>
      </c>
      <c r="C6353" s="58">
        <v>1</v>
      </c>
      <c r="D6353" s="58">
        <v>104</v>
      </c>
      <c r="E6353" s="59">
        <v>1519</v>
      </c>
    </row>
    <row r="6354" spans="1:5" ht="15" x14ac:dyDescent="0.35">
      <c r="A6354" s="58" t="s">
        <v>348</v>
      </c>
      <c r="B6354" s="58" t="s">
        <v>176</v>
      </c>
      <c r="C6354" s="58">
        <v>2</v>
      </c>
      <c r="D6354" s="58">
        <v>105</v>
      </c>
      <c r="E6354" s="59">
        <v>1519</v>
      </c>
    </row>
    <row r="6355" spans="1:5" ht="15" x14ac:dyDescent="0.35">
      <c r="A6355" s="58" t="s">
        <v>348</v>
      </c>
      <c r="B6355" s="58" t="s">
        <v>176</v>
      </c>
      <c r="C6355" s="58">
        <v>3</v>
      </c>
      <c r="D6355" s="58">
        <v>106</v>
      </c>
      <c r="E6355" s="59">
        <v>1519</v>
      </c>
    </row>
    <row r="6356" spans="1:5" ht="15" x14ac:dyDescent="0.35">
      <c r="A6356" s="58" t="s">
        <v>348</v>
      </c>
      <c r="B6356" s="58" t="s">
        <v>176</v>
      </c>
      <c r="C6356" s="58">
        <v>4</v>
      </c>
      <c r="D6356" s="58">
        <v>107</v>
      </c>
      <c r="E6356" s="59">
        <v>1519</v>
      </c>
    </row>
    <row r="6357" spans="1:5" ht="15" x14ac:dyDescent="0.35">
      <c r="A6357" s="58" t="s">
        <v>348</v>
      </c>
      <c r="B6357" s="58" t="s">
        <v>176</v>
      </c>
      <c r="C6357" s="58">
        <v>5</v>
      </c>
      <c r="D6357" s="58">
        <v>108</v>
      </c>
      <c r="E6357" s="59">
        <v>1519</v>
      </c>
    </row>
    <row r="6358" spans="1:5" ht="15" x14ac:dyDescent="0.35">
      <c r="A6358" s="58" t="s">
        <v>348</v>
      </c>
      <c r="B6358" s="58" t="s">
        <v>176</v>
      </c>
      <c r="C6358" s="58">
        <v>6</v>
      </c>
      <c r="D6358" s="58">
        <v>109</v>
      </c>
      <c r="E6358" s="59">
        <v>1519</v>
      </c>
    </row>
    <row r="6359" spans="1:5" ht="15" x14ac:dyDescent="0.35">
      <c r="A6359" s="58" t="s">
        <v>348</v>
      </c>
      <c r="B6359" s="58" t="s">
        <v>176</v>
      </c>
      <c r="C6359" s="58">
        <v>7</v>
      </c>
      <c r="D6359" s="58">
        <v>110</v>
      </c>
      <c r="E6359" s="59">
        <v>1519</v>
      </c>
    </row>
    <row r="6360" spans="1:5" ht="15" x14ac:dyDescent="0.35">
      <c r="A6360" s="58" t="s">
        <v>348</v>
      </c>
      <c r="B6360" s="58" t="s">
        <v>176</v>
      </c>
      <c r="C6360" s="58">
        <v>8</v>
      </c>
      <c r="D6360" s="58">
        <v>111</v>
      </c>
      <c r="E6360" s="59">
        <v>1519</v>
      </c>
    </row>
    <row r="6361" spans="1:5" ht="15" x14ac:dyDescent="0.35">
      <c r="A6361" s="58" t="s">
        <v>348</v>
      </c>
      <c r="B6361" s="58" t="s">
        <v>176</v>
      </c>
      <c r="C6361" s="58">
        <v>9</v>
      </c>
      <c r="D6361" s="58">
        <v>112</v>
      </c>
      <c r="E6361" s="59">
        <v>1519</v>
      </c>
    </row>
    <row r="6362" spans="1:5" ht="15" x14ac:dyDescent="0.35">
      <c r="A6362" s="58" t="s">
        <v>348</v>
      </c>
      <c r="B6362" s="58" t="s">
        <v>176</v>
      </c>
      <c r="C6362" s="58">
        <v>10</v>
      </c>
      <c r="D6362" s="58">
        <v>113</v>
      </c>
      <c r="E6362" s="59">
        <v>1519</v>
      </c>
    </row>
    <row r="6363" spans="1:5" ht="15" x14ac:dyDescent="0.35">
      <c r="A6363" s="58" t="s">
        <v>348</v>
      </c>
      <c r="B6363" s="58" t="s">
        <v>176</v>
      </c>
      <c r="C6363" s="58">
        <v>11</v>
      </c>
      <c r="D6363" s="58">
        <v>114</v>
      </c>
      <c r="E6363" s="59">
        <v>1519</v>
      </c>
    </row>
    <row r="6364" spans="1:5" ht="15" x14ac:dyDescent="0.35">
      <c r="A6364" s="58" t="s">
        <v>348</v>
      </c>
      <c r="B6364" s="58" t="s">
        <v>176</v>
      </c>
      <c r="C6364" s="58">
        <v>12</v>
      </c>
      <c r="D6364" s="58">
        <v>115</v>
      </c>
      <c r="E6364" s="59">
        <v>1519</v>
      </c>
    </row>
    <row r="6365" spans="1:5" ht="15" x14ac:dyDescent="0.35">
      <c r="A6365" s="58" t="s">
        <v>348</v>
      </c>
      <c r="B6365" s="58" t="s">
        <v>172</v>
      </c>
      <c r="C6365" s="58">
        <v>1</v>
      </c>
      <c r="D6365" s="58">
        <v>104</v>
      </c>
      <c r="E6365" s="59">
        <v>915</v>
      </c>
    </row>
    <row r="6366" spans="1:5" ht="15" x14ac:dyDescent="0.35">
      <c r="A6366" s="58" t="s">
        <v>348</v>
      </c>
      <c r="B6366" s="58" t="s">
        <v>172</v>
      </c>
      <c r="C6366" s="58">
        <v>2</v>
      </c>
      <c r="D6366" s="58">
        <v>105</v>
      </c>
      <c r="E6366" s="59">
        <v>915</v>
      </c>
    </row>
    <row r="6367" spans="1:5" ht="15" x14ac:dyDescent="0.35">
      <c r="A6367" s="58" t="s">
        <v>348</v>
      </c>
      <c r="B6367" s="58" t="s">
        <v>172</v>
      </c>
      <c r="C6367" s="58">
        <v>3</v>
      </c>
      <c r="D6367" s="58">
        <v>106</v>
      </c>
      <c r="E6367" s="59">
        <v>915</v>
      </c>
    </row>
    <row r="6368" spans="1:5" ht="15" x14ac:dyDescent="0.35">
      <c r="A6368" s="58" t="s">
        <v>348</v>
      </c>
      <c r="B6368" s="58" t="s">
        <v>172</v>
      </c>
      <c r="C6368" s="58">
        <v>4</v>
      </c>
      <c r="D6368" s="58">
        <v>107</v>
      </c>
      <c r="E6368" s="59">
        <v>915</v>
      </c>
    </row>
    <row r="6369" spans="1:5" ht="15" x14ac:dyDescent="0.35">
      <c r="A6369" s="58" t="s">
        <v>348</v>
      </c>
      <c r="B6369" s="58" t="s">
        <v>172</v>
      </c>
      <c r="C6369" s="58">
        <v>5</v>
      </c>
      <c r="D6369" s="58">
        <v>108</v>
      </c>
      <c r="E6369" s="59">
        <v>915</v>
      </c>
    </row>
    <row r="6370" spans="1:5" ht="15" x14ac:dyDescent="0.35">
      <c r="A6370" s="58" t="s">
        <v>348</v>
      </c>
      <c r="B6370" s="58" t="s">
        <v>172</v>
      </c>
      <c r="C6370" s="58">
        <v>6</v>
      </c>
      <c r="D6370" s="58">
        <v>109</v>
      </c>
      <c r="E6370" s="59">
        <v>915</v>
      </c>
    </row>
    <row r="6371" spans="1:5" ht="15" x14ac:dyDescent="0.35">
      <c r="A6371" s="58" t="s">
        <v>348</v>
      </c>
      <c r="B6371" s="58" t="s">
        <v>172</v>
      </c>
      <c r="C6371" s="58">
        <v>7</v>
      </c>
      <c r="D6371" s="58">
        <v>110</v>
      </c>
      <c r="E6371" s="59">
        <v>915</v>
      </c>
    </row>
    <row r="6372" spans="1:5" ht="15" x14ac:dyDescent="0.35">
      <c r="A6372" s="58" t="s">
        <v>348</v>
      </c>
      <c r="B6372" s="58" t="s">
        <v>172</v>
      </c>
      <c r="C6372" s="58">
        <v>8</v>
      </c>
      <c r="D6372" s="58">
        <v>111</v>
      </c>
      <c r="E6372" s="59">
        <v>915</v>
      </c>
    </row>
    <row r="6373" spans="1:5" ht="15" x14ac:dyDescent="0.35">
      <c r="A6373" s="58" t="s">
        <v>348</v>
      </c>
      <c r="B6373" s="58" t="s">
        <v>172</v>
      </c>
      <c r="C6373" s="58">
        <v>9</v>
      </c>
      <c r="D6373" s="58">
        <v>112</v>
      </c>
      <c r="E6373" s="59">
        <v>915</v>
      </c>
    </row>
    <row r="6374" spans="1:5" ht="15" x14ac:dyDescent="0.35">
      <c r="A6374" s="58" t="s">
        <v>348</v>
      </c>
      <c r="B6374" s="58" t="s">
        <v>172</v>
      </c>
      <c r="C6374" s="58">
        <v>10</v>
      </c>
      <c r="D6374" s="58">
        <v>113</v>
      </c>
      <c r="E6374" s="59">
        <v>915</v>
      </c>
    </row>
    <row r="6375" spans="1:5" ht="15" x14ac:dyDescent="0.35">
      <c r="A6375" s="58" t="s">
        <v>348</v>
      </c>
      <c r="B6375" s="58" t="s">
        <v>172</v>
      </c>
      <c r="C6375" s="58">
        <v>11</v>
      </c>
      <c r="D6375" s="58">
        <v>114</v>
      </c>
      <c r="E6375" s="59">
        <v>915</v>
      </c>
    </row>
    <row r="6376" spans="1:5" ht="15" x14ac:dyDescent="0.35">
      <c r="A6376" s="58" t="s">
        <v>348</v>
      </c>
      <c r="B6376" s="58" t="s">
        <v>172</v>
      </c>
      <c r="C6376" s="58">
        <v>12</v>
      </c>
      <c r="D6376" s="58">
        <v>115</v>
      </c>
      <c r="E6376" s="59">
        <v>915</v>
      </c>
    </row>
    <row r="6377" spans="1:5" ht="15" x14ac:dyDescent="0.35">
      <c r="A6377" s="58" t="s">
        <v>348</v>
      </c>
      <c r="B6377" s="58" t="s">
        <v>180</v>
      </c>
      <c r="C6377" s="58">
        <v>1</v>
      </c>
      <c r="D6377" s="58">
        <v>104</v>
      </c>
      <c r="E6377" s="59">
        <v>1090.2302999999999</v>
      </c>
    </row>
    <row r="6378" spans="1:5" ht="15" x14ac:dyDescent="0.35">
      <c r="A6378" s="58" t="s">
        <v>348</v>
      </c>
      <c r="B6378" s="58" t="s">
        <v>180</v>
      </c>
      <c r="C6378" s="58">
        <v>2</v>
      </c>
      <c r="D6378" s="58">
        <v>105</v>
      </c>
      <c r="E6378" s="59">
        <v>1090.2302999999999</v>
      </c>
    </row>
    <row r="6379" spans="1:5" ht="15" x14ac:dyDescent="0.35">
      <c r="A6379" s="58" t="s">
        <v>348</v>
      </c>
      <c r="B6379" s="58" t="s">
        <v>180</v>
      </c>
      <c r="C6379" s="58">
        <v>3</v>
      </c>
      <c r="D6379" s="58">
        <v>106</v>
      </c>
      <c r="E6379" s="59">
        <v>1090.2302999999999</v>
      </c>
    </row>
    <row r="6380" spans="1:5" ht="15" x14ac:dyDescent="0.35">
      <c r="A6380" s="58" t="s">
        <v>348</v>
      </c>
      <c r="B6380" s="58" t="s">
        <v>180</v>
      </c>
      <c r="C6380" s="58">
        <v>4</v>
      </c>
      <c r="D6380" s="58">
        <v>107</v>
      </c>
      <c r="E6380" s="59">
        <v>1090.2302999999999</v>
      </c>
    </row>
    <row r="6381" spans="1:5" ht="15" x14ac:dyDescent="0.35">
      <c r="A6381" s="58" t="s">
        <v>348</v>
      </c>
      <c r="B6381" s="58" t="s">
        <v>180</v>
      </c>
      <c r="C6381" s="58">
        <v>5</v>
      </c>
      <c r="D6381" s="58">
        <v>108</v>
      </c>
      <c r="E6381" s="59">
        <v>1090.2302999999999</v>
      </c>
    </row>
    <row r="6382" spans="1:5" ht="15" x14ac:dyDescent="0.35">
      <c r="A6382" s="58" t="s">
        <v>348</v>
      </c>
      <c r="B6382" s="58" t="s">
        <v>180</v>
      </c>
      <c r="C6382" s="58">
        <v>6</v>
      </c>
      <c r="D6382" s="58">
        <v>109</v>
      </c>
      <c r="E6382" s="59">
        <v>1090.2302999999999</v>
      </c>
    </row>
    <row r="6383" spans="1:5" ht="15" x14ac:dyDescent="0.35">
      <c r="A6383" s="58" t="s">
        <v>348</v>
      </c>
      <c r="B6383" s="58" t="s">
        <v>180</v>
      </c>
      <c r="C6383" s="58">
        <v>7</v>
      </c>
      <c r="D6383" s="58">
        <v>110</v>
      </c>
      <c r="E6383" s="59">
        <v>1090.2302999999999</v>
      </c>
    </row>
    <row r="6384" spans="1:5" ht="15" x14ac:dyDescent="0.35">
      <c r="A6384" s="58" t="s">
        <v>348</v>
      </c>
      <c r="B6384" s="58" t="s">
        <v>180</v>
      </c>
      <c r="C6384" s="58">
        <v>8</v>
      </c>
      <c r="D6384" s="58">
        <v>111</v>
      </c>
      <c r="E6384" s="59">
        <v>1090.2302999999999</v>
      </c>
    </row>
    <row r="6385" spans="1:5" ht="15" x14ac:dyDescent="0.35">
      <c r="A6385" s="58" t="s">
        <v>348</v>
      </c>
      <c r="B6385" s="58" t="s">
        <v>180</v>
      </c>
      <c r="C6385" s="58">
        <v>9</v>
      </c>
      <c r="D6385" s="58">
        <v>112</v>
      </c>
      <c r="E6385" s="59">
        <v>1090.2302999999999</v>
      </c>
    </row>
    <row r="6386" spans="1:5" ht="15" x14ac:dyDescent="0.35">
      <c r="A6386" s="58" t="s">
        <v>348</v>
      </c>
      <c r="B6386" s="58" t="s">
        <v>180</v>
      </c>
      <c r="C6386" s="58">
        <v>10</v>
      </c>
      <c r="D6386" s="58">
        <v>113</v>
      </c>
      <c r="E6386" s="59">
        <v>1090.2302999999999</v>
      </c>
    </row>
    <row r="6387" spans="1:5" ht="15" x14ac:dyDescent="0.35">
      <c r="A6387" s="58" t="s">
        <v>348</v>
      </c>
      <c r="B6387" s="58" t="s">
        <v>180</v>
      </c>
      <c r="C6387" s="58">
        <v>11</v>
      </c>
      <c r="D6387" s="58">
        <v>114</v>
      </c>
      <c r="E6387" s="59">
        <v>1090.2302999999999</v>
      </c>
    </row>
    <row r="6388" spans="1:5" ht="15" x14ac:dyDescent="0.35">
      <c r="A6388" s="58" t="s">
        <v>348</v>
      </c>
      <c r="B6388" s="58" t="s">
        <v>180</v>
      </c>
      <c r="C6388" s="58">
        <v>12</v>
      </c>
      <c r="D6388" s="58">
        <v>115</v>
      </c>
      <c r="E6388" s="59">
        <v>1090.2302999999999</v>
      </c>
    </row>
    <row r="6389" spans="1:5" ht="15" x14ac:dyDescent="0.35">
      <c r="A6389" s="58" t="s">
        <v>338</v>
      </c>
      <c r="B6389" s="58" t="s">
        <v>182</v>
      </c>
      <c r="C6389" s="58">
        <v>1</v>
      </c>
      <c r="D6389" s="58">
        <v>104</v>
      </c>
      <c r="E6389" s="59">
        <v>0</v>
      </c>
    </row>
    <row r="6390" spans="1:5" ht="15" x14ac:dyDescent="0.35">
      <c r="A6390" s="58" t="s">
        <v>338</v>
      </c>
      <c r="B6390" s="58" t="s">
        <v>182</v>
      </c>
      <c r="C6390" s="58">
        <v>2</v>
      </c>
      <c r="D6390" s="58">
        <v>105</v>
      </c>
      <c r="E6390" s="59">
        <v>0</v>
      </c>
    </row>
    <row r="6391" spans="1:5" ht="15" x14ac:dyDescent="0.35">
      <c r="A6391" s="58" t="s">
        <v>338</v>
      </c>
      <c r="B6391" s="58" t="s">
        <v>182</v>
      </c>
      <c r="C6391" s="58">
        <v>3</v>
      </c>
      <c r="D6391" s="58">
        <v>106</v>
      </c>
      <c r="E6391" s="59">
        <v>0</v>
      </c>
    </row>
    <row r="6392" spans="1:5" ht="15" x14ac:dyDescent="0.35">
      <c r="A6392" s="58" t="s">
        <v>338</v>
      </c>
      <c r="B6392" s="58" t="s">
        <v>182</v>
      </c>
      <c r="C6392" s="58">
        <v>4</v>
      </c>
      <c r="D6392" s="58">
        <v>107</v>
      </c>
      <c r="E6392" s="59">
        <v>0</v>
      </c>
    </row>
    <row r="6393" spans="1:5" ht="15" x14ac:dyDescent="0.35">
      <c r="A6393" s="58" t="s">
        <v>338</v>
      </c>
      <c r="B6393" s="58" t="s">
        <v>182</v>
      </c>
      <c r="C6393" s="58">
        <v>5</v>
      </c>
      <c r="D6393" s="58">
        <v>108</v>
      </c>
      <c r="E6393" s="59">
        <v>0</v>
      </c>
    </row>
    <row r="6394" spans="1:5" ht="15" x14ac:dyDescent="0.35">
      <c r="A6394" s="58" t="s">
        <v>338</v>
      </c>
      <c r="B6394" s="58" t="s">
        <v>182</v>
      </c>
      <c r="C6394" s="58">
        <v>6</v>
      </c>
      <c r="D6394" s="58">
        <v>109</v>
      </c>
      <c r="E6394" s="59">
        <v>0</v>
      </c>
    </row>
    <row r="6395" spans="1:5" ht="15" x14ac:dyDescent="0.35">
      <c r="A6395" s="58" t="s">
        <v>338</v>
      </c>
      <c r="B6395" s="58" t="s">
        <v>182</v>
      </c>
      <c r="C6395" s="58">
        <v>7</v>
      </c>
      <c r="D6395" s="58">
        <v>110</v>
      </c>
      <c r="E6395" s="59">
        <v>0</v>
      </c>
    </row>
    <row r="6396" spans="1:5" ht="15" x14ac:dyDescent="0.35">
      <c r="A6396" s="58" t="s">
        <v>338</v>
      </c>
      <c r="B6396" s="58" t="s">
        <v>182</v>
      </c>
      <c r="C6396" s="58">
        <v>8</v>
      </c>
      <c r="D6396" s="58">
        <v>111</v>
      </c>
      <c r="E6396" s="59">
        <v>0</v>
      </c>
    </row>
    <row r="6397" spans="1:5" ht="15" x14ac:dyDescent="0.35">
      <c r="A6397" s="58" t="s">
        <v>338</v>
      </c>
      <c r="B6397" s="58" t="s">
        <v>182</v>
      </c>
      <c r="C6397" s="58">
        <v>9</v>
      </c>
      <c r="D6397" s="58">
        <v>112</v>
      </c>
      <c r="E6397" s="59">
        <v>0</v>
      </c>
    </row>
    <row r="6398" spans="1:5" ht="15" x14ac:dyDescent="0.35">
      <c r="A6398" s="58" t="s">
        <v>338</v>
      </c>
      <c r="B6398" s="58" t="s">
        <v>182</v>
      </c>
      <c r="C6398" s="58">
        <v>10</v>
      </c>
      <c r="D6398" s="58">
        <v>113</v>
      </c>
      <c r="E6398" s="59">
        <v>0</v>
      </c>
    </row>
    <row r="6399" spans="1:5" ht="15" x14ac:dyDescent="0.35">
      <c r="A6399" s="58" t="s">
        <v>338</v>
      </c>
      <c r="B6399" s="58" t="s">
        <v>182</v>
      </c>
      <c r="C6399" s="58">
        <v>11</v>
      </c>
      <c r="D6399" s="58">
        <v>114</v>
      </c>
      <c r="E6399" s="59">
        <v>0</v>
      </c>
    </row>
    <row r="6400" spans="1:5" ht="15" x14ac:dyDescent="0.35">
      <c r="A6400" s="58" t="s">
        <v>338</v>
      </c>
      <c r="B6400" s="58" t="s">
        <v>182</v>
      </c>
      <c r="C6400" s="58">
        <v>12</v>
      </c>
      <c r="D6400" s="58">
        <v>115</v>
      </c>
      <c r="E6400" s="59">
        <v>0</v>
      </c>
    </row>
    <row r="6401" spans="1:5" ht="15" x14ac:dyDescent="0.35">
      <c r="A6401" s="58" t="s">
        <v>338</v>
      </c>
      <c r="B6401" s="58" t="s">
        <v>176</v>
      </c>
      <c r="C6401" s="58">
        <v>1</v>
      </c>
      <c r="D6401" s="58">
        <v>104</v>
      </c>
      <c r="E6401" s="59">
        <v>5.625</v>
      </c>
    </row>
    <row r="6402" spans="1:5" ht="15" x14ac:dyDescent="0.35">
      <c r="A6402" s="58" t="s">
        <v>338</v>
      </c>
      <c r="B6402" s="58" t="s">
        <v>176</v>
      </c>
      <c r="C6402" s="58">
        <v>2</v>
      </c>
      <c r="D6402" s="58">
        <v>105</v>
      </c>
      <c r="E6402" s="59">
        <v>5.625</v>
      </c>
    </row>
    <row r="6403" spans="1:5" ht="15" x14ac:dyDescent="0.35">
      <c r="A6403" s="58" t="s">
        <v>338</v>
      </c>
      <c r="B6403" s="58" t="s">
        <v>176</v>
      </c>
      <c r="C6403" s="58">
        <v>3</v>
      </c>
      <c r="D6403" s="58">
        <v>106</v>
      </c>
      <c r="E6403" s="59">
        <v>5.625</v>
      </c>
    </row>
    <row r="6404" spans="1:5" ht="15" x14ac:dyDescent="0.35">
      <c r="A6404" s="58" t="s">
        <v>338</v>
      </c>
      <c r="B6404" s="58" t="s">
        <v>176</v>
      </c>
      <c r="C6404" s="58">
        <v>4</v>
      </c>
      <c r="D6404" s="58">
        <v>107</v>
      </c>
      <c r="E6404" s="59">
        <v>5.625</v>
      </c>
    </row>
    <row r="6405" spans="1:5" ht="15" x14ac:dyDescent="0.35">
      <c r="A6405" s="58" t="s">
        <v>338</v>
      </c>
      <c r="B6405" s="58" t="s">
        <v>176</v>
      </c>
      <c r="C6405" s="58">
        <v>5</v>
      </c>
      <c r="D6405" s="58">
        <v>108</v>
      </c>
      <c r="E6405" s="59">
        <v>5.625</v>
      </c>
    </row>
    <row r="6406" spans="1:5" ht="15" x14ac:dyDescent="0.35">
      <c r="A6406" s="58" t="s">
        <v>338</v>
      </c>
      <c r="B6406" s="58" t="s">
        <v>176</v>
      </c>
      <c r="C6406" s="58">
        <v>6</v>
      </c>
      <c r="D6406" s="58">
        <v>109</v>
      </c>
      <c r="E6406" s="59">
        <v>5.625</v>
      </c>
    </row>
    <row r="6407" spans="1:5" ht="15" x14ac:dyDescent="0.35">
      <c r="A6407" s="58" t="s">
        <v>338</v>
      </c>
      <c r="B6407" s="58" t="s">
        <v>176</v>
      </c>
      <c r="C6407" s="58">
        <v>7</v>
      </c>
      <c r="D6407" s="58">
        <v>110</v>
      </c>
      <c r="E6407" s="59">
        <v>5.625</v>
      </c>
    </row>
    <row r="6408" spans="1:5" ht="15" x14ac:dyDescent="0.35">
      <c r="A6408" s="58" t="s">
        <v>338</v>
      </c>
      <c r="B6408" s="58" t="s">
        <v>176</v>
      </c>
      <c r="C6408" s="58">
        <v>8</v>
      </c>
      <c r="D6408" s="58">
        <v>111</v>
      </c>
      <c r="E6408" s="59">
        <v>5.625</v>
      </c>
    </row>
    <row r="6409" spans="1:5" ht="15" x14ac:dyDescent="0.35">
      <c r="A6409" s="58" t="s">
        <v>338</v>
      </c>
      <c r="B6409" s="58" t="s">
        <v>176</v>
      </c>
      <c r="C6409" s="58">
        <v>9</v>
      </c>
      <c r="D6409" s="58">
        <v>112</v>
      </c>
      <c r="E6409" s="59">
        <v>5.625</v>
      </c>
    </row>
    <row r="6410" spans="1:5" ht="15" x14ac:dyDescent="0.35">
      <c r="A6410" s="58" t="s">
        <v>338</v>
      </c>
      <c r="B6410" s="58" t="s">
        <v>176</v>
      </c>
      <c r="C6410" s="58">
        <v>10</v>
      </c>
      <c r="D6410" s="58">
        <v>113</v>
      </c>
      <c r="E6410" s="59">
        <v>5.625</v>
      </c>
    </row>
    <row r="6411" spans="1:5" ht="15" x14ac:dyDescent="0.35">
      <c r="A6411" s="58" t="s">
        <v>338</v>
      </c>
      <c r="B6411" s="58" t="s">
        <v>176</v>
      </c>
      <c r="C6411" s="58">
        <v>11</v>
      </c>
      <c r="D6411" s="58">
        <v>114</v>
      </c>
      <c r="E6411" s="59">
        <v>5.625</v>
      </c>
    </row>
    <row r="6412" spans="1:5" ht="15" x14ac:dyDescent="0.35">
      <c r="A6412" s="58" t="s">
        <v>338</v>
      </c>
      <c r="B6412" s="58" t="s">
        <v>176</v>
      </c>
      <c r="C6412" s="58">
        <v>12</v>
      </c>
      <c r="D6412" s="58">
        <v>115</v>
      </c>
      <c r="E6412" s="59">
        <v>5.625</v>
      </c>
    </row>
    <row r="6413" spans="1:5" ht="15" x14ac:dyDescent="0.35">
      <c r="A6413" s="58" t="s">
        <v>338</v>
      </c>
      <c r="B6413" s="58" t="s">
        <v>172</v>
      </c>
      <c r="C6413" s="58">
        <v>1</v>
      </c>
      <c r="D6413" s="58">
        <v>104</v>
      </c>
      <c r="E6413" s="59">
        <v>1</v>
      </c>
    </row>
    <row r="6414" spans="1:5" ht="15" x14ac:dyDescent="0.35">
      <c r="A6414" s="58" t="s">
        <v>338</v>
      </c>
      <c r="B6414" s="58" t="s">
        <v>172</v>
      </c>
      <c r="C6414" s="58">
        <v>2</v>
      </c>
      <c r="D6414" s="58">
        <v>105</v>
      </c>
      <c r="E6414" s="59">
        <v>1</v>
      </c>
    </row>
    <row r="6415" spans="1:5" ht="15" x14ac:dyDescent="0.35">
      <c r="A6415" s="58" t="s">
        <v>338</v>
      </c>
      <c r="B6415" s="58" t="s">
        <v>172</v>
      </c>
      <c r="C6415" s="58">
        <v>3</v>
      </c>
      <c r="D6415" s="58">
        <v>106</v>
      </c>
      <c r="E6415" s="59">
        <v>1</v>
      </c>
    </row>
    <row r="6416" spans="1:5" ht="15" x14ac:dyDescent="0.35">
      <c r="A6416" s="58" t="s">
        <v>338</v>
      </c>
      <c r="B6416" s="58" t="s">
        <v>172</v>
      </c>
      <c r="C6416" s="58">
        <v>4</v>
      </c>
      <c r="D6416" s="58">
        <v>107</v>
      </c>
      <c r="E6416" s="59">
        <v>1</v>
      </c>
    </row>
    <row r="6417" spans="1:5" ht="15" x14ac:dyDescent="0.35">
      <c r="A6417" s="58" t="s">
        <v>338</v>
      </c>
      <c r="B6417" s="58" t="s">
        <v>172</v>
      </c>
      <c r="C6417" s="58">
        <v>5</v>
      </c>
      <c r="D6417" s="58">
        <v>108</v>
      </c>
      <c r="E6417" s="59">
        <v>1</v>
      </c>
    </row>
    <row r="6418" spans="1:5" ht="15" x14ac:dyDescent="0.35">
      <c r="A6418" s="58" t="s">
        <v>338</v>
      </c>
      <c r="B6418" s="58" t="s">
        <v>172</v>
      </c>
      <c r="C6418" s="58">
        <v>6</v>
      </c>
      <c r="D6418" s="58">
        <v>109</v>
      </c>
      <c r="E6418" s="59">
        <v>1</v>
      </c>
    </row>
    <row r="6419" spans="1:5" ht="15" x14ac:dyDescent="0.35">
      <c r="A6419" s="58" t="s">
        <v>338</v>
      </c>
      <c r="B6419" s="58" t="s">
        <v>172</v>
      </c>
      <c r="C6419" s="58">
        <v>7</v>
      </c>
      <c r="D6419" s="58">
        <v>110</v>
      </c>
      <c r="E6419" s="59">
        <v>1</v>
      </c>
    </row>
    <row r="6420" spans="1:5" ht="15" x14ac:dyDescent="0.35">
      <c r="A6420" s="58" t="s">
        <v>338</v>
      </c>
      <c r="B6420" s="58" t="s">
        <v>172</v>
      </c>
      <c r="C6420" s="58">
        <v>8</v>
      </c>
      <c r="D6420" s="58">
        <v>111</v>
      </c>
      <c r="E6420" s="59">
        <v>1</v>
      </c>
    </row>
    <row r="6421" spans="1:5" ht="15" x14ac:dyDescent="0.35">
      <c r="A6421" s="58" t="s">
        <v>338</v>
      </c>
      <c r="B6421" s="58" t="s">
        <v>172</v>
      </c>
      <c r="C6421" s="58">
        <v>9</v>
      </c>
      <c r="D6421" s="58">
        <v>112</v>
      </c>
      <c r="E6421" s="59">
        <v>1</v>
      </c>
    </row>
    <row r="6422" spans="1:5" ht="15" x14ac:dyDescent="0.35">
      <c r="A6422" s="58" t="s">
        <v>338</v>
      </c>
      <c r="B6422" s="58" t="s">
        <v>172</v>
      </c>
      <c r="C6422" s="58">
        <v>10</v>
      </c>
      <c r="D6422" s="58">
        <v>113</v>
      </c>
      <c r="E6422" s="59">
        <v>1</v>
      </c>
    </row>
    <row r="6423" spans="1:5" ht="15" x14ac:dyDescent="0.35">
      <c r="A6423" s="58" t="s">
        <v>338</v>
      </c>
      <c r="B6423" s="58" t="s">
        <v>172</v>
      </c>
      <c r="C6423" s="58">
        <v>11</v>
      </c>
      <c r="D6423" s="58">
        <v>114</v>
      </c>
      <c r="E6423" s="59">
        <v>1</v>
      </c>
    </row>
    <row r="6424" spans="1:5" ht="15" x14ac:dyDescent="0.35">
      <c r="A6424" s="58" t="s">
        <v>338</v>
      </c>
      <c r="B6424" s="58" t="s">
        <v>172</v>
      </c>
      <c r="C6424" s="58">
        <v>12</v>
      </c>
      <c r="D6424" s="58">
        <v>115</v>
      </c>
      <c r="E6424" s="59">
        <v>1</v>
      </c>
    </row>
    <row r="6425" spans="1:5" ht="15" x14ac:dyDescent="0.35">
      <c r="A6425" s="58" t="s">
        <v>338</v>
      </c>
      <c r="B6425" s="58" t="s">
        <v>180</v>
      </c>
      <c r="C6425" s="58">
        <v>1</v>
      </c>
      <c r="D6425" s="58">
        <v>104</v>
      </c>
      <c r="E6425" s="59">
        <v>6.9974999999999996</v>
      </c>
    </row>
    <row r="6426" spans="1:5" ht="15" x14ac:dyDescent="0.35">
      <c r="A6426" s="58" t="s">
        <v>338</v>
      </c>
      <c r="B6426" s="58" t="s">
        <v>180</v>
      </c>
      <c r="C6426" s="58">
        <v>2</v>
      </c>
      <c r="D6426" s="58">
        <v>105</v>
      </c>
      <c r="E6426" s="59">
        <v>6.9974999999999996</v>
      </c>
    </row>
    <row r="6427" spans="1:5" ht="15" x14ac:dyDescent="0.35">
      <c r="A6427" s="58" t="s">
        <v>338</v>
      </c>
      <c r="B6427" s="58" t="s">
        <v>180</v>
      </c>
      <c r="C6427" s="58">
        <v>3</v>
      </c>
      <c r="D6427" s="58">
        <v>106</v>
      </c>
      <c r="E6427" s="59">
        <v>6.9974999999999996</v>
      </c>
    </row>
    <row r="6428" spans="1:5" ht="15" x14ac:dyDescent="0.35">
      <c r="A6428" s="58" t="s">
        <v>338</v>
      </c>
      <c r="B6428" s="58" t="s">
        <v>180</v>
      </c>
      <c r="C6428" s="58">
        <v>4</v>
      </c>
      <c r="D6428" s="58">
        <v>107</v>
      </c>
      <c r="E6428" s="59">
        <v>6.9974999999999996</v>
      </c>
    </row>
    <row r="6429" spans="1:5" ht="15" x14ac:dyDescent="0.35">
      <c r="A6429" s="58" t="s">
        <v>338</v>
      </c>
      <c r="B6429" s="58" t="s">
        <v>180</v>
      </c>
      <c r="C6429" s="58">
        <v>5</v>
      </c>
      <c r="D6429" s="58">
        <v>108</v>
      </c>
      <c r="E6429" s="59">
        <v>6.9974999999999996</v>
      </c>
    </row>
    <row r="6430" spans="1:5" ht="15" x14ac:dyDescent="0.35">
      <c r="A6430" s="58" t="s">
        <v>338</v>
      </c>
      <c r="B6430" s="58" t="s">
        <v>180</v>
      </c>
      <c r="C6430" s="58">
        <v>6</v>
      </c>
      <c r="D6430" s="58">
        <v>109</v>
      </c>
      <c r="E6430" s="59">
        <v>6.9974999999999996</v>
      </c>
    </row>
    <row r="6431" spans="1:5" ht="15" x14ac:dyDescent="0.35">
      <c r="A6431" s="58" t="s">
        <v>338</v>
      </c>
      <c r="B6431" s="58" t="s">
        <v>180</v>
      </c>
      <c r="C6431" s="58">
        <v>7</v>
      </c>
      <c r="D6431" s="58">
        <v>110</v>
      </c>
      <c r="E6431" s="59">
        <v>6.9974999999999996</v>
      </c>
    </row>
    <row r="6432" spans="1:5" ht="15" x14ac:dyDescent="0.35">
      <c r="A6432" s="58" t="s">
        <v>338</v>
      </c>
      <c r="B6432" s="58" t="s">
        <v>180</v>
      </c>
      <c r="C6432" s="58">
        <v>8</v>
      </c>
      <c r="D6432" s="58">
        <v>111</v>
      </c>
      <c r="E6432" s="59">
        <v>6.9974999999999996</v>
      </c>
    </row>
    <row r="6433" spans="1:5" ht="15" x14ac:dyDescent="0.35">
      <c r="A6433" s="58" t="s">
        <v>338</v>
      </c>
      <c r="B6433" s="58" t="s">
        <v>180</v>
      </c>
      <c r="C6433" s="58">
        <v>9</v>
      </c>
      <c r="D6433" s="58">
        <v>112</v>
      </c>
      <c r="E6433" s="59">
        <v>6.9974999999999996</v>
      </c>
    </row>
    <row r="6434" spans="1:5" ht="15" x14ac:dyDescent="0.35">
      <c r="A6434" s="58" t="s">
        <v>338</v>
      </c>
      <c r="B6434" s="58" t="s">
        <v>180</v>
      </c>
      <c r="C6434" s="58">
        <v>10</v>
      </c>
      <c r="D6434" s="58">
        <v>113</v>
      </c>
      <c r="E6434" s="59">
        <v>6.9974999999999996</v>
      </c>
    </row>
    <row r="6435" spans="1:5" ht="15" x14ac:dyDescent="0.35">
      <c r="A6435" s="58" t="s">
        <v>338</v>
      </c>
      <c r="B6435" s="58" t="s">
        <v>180</v>
      </c>
      <c r="C6435" s="58">
        <v>11</v>
      </c>
      <c r="D6435" s="58">
        <v>114</v>
      </c>
      <c r="E6435" s="59">
        <v>6.9974999999999996</v>
      </c>
    </row>
    <row r="6436" spans="1:5" ht="15" x14ac:dyDescent="0.35">
      <c r="A6436" s="58" t="s">
        <v>338</v>
      </c>
      <c r="B6436" s="58" t="s">
        <v>180</v>
      </c>
      <c r="C6436" s="58">
        <v>12</v>
      </c>
      <c r="D6436" s="58">
        <v>115</v>
      </c>
      <c r="E6436" s="59">
        <v>6.9974999999999996</v>
      </c>
    </row>
    <row r="6437" spans="1:5" ht="15" x14ac:dyDescent="0.35">
      <c r="A6437" s="58" t="s">
        <v>279</v>
      </c>
      <c r="B6437" s="58" t="s">
        <v>182</v>
      </c>
      <c r="C6437" s="58">
        <v>1</v>
      </c>
      <c r="D6437" s="58">
        <v>104</v>
      </c>
      <c r="E6437" s="59">
        <v>671.72209999999995</v>
      </c>
    </row>
    <row r="6438" spans="1:5" ht="15" x14ac:dyDescent="0.35">
      <c r="A6438" s="58" t="s">
        <v>279</v>
      </c>
      <c r="B6438" s="58" t="s">
        <v>182</v>
      </c>
      <c r="C6438" s="58">
        <v>2</v>
      </c>
      <c r="D6438" s="58">
        <v>105</v>
      </c>
      <c r="E6438" s="59">
        <v>0</v>
      </c>
    </row>
    <row r="6439" spans="1:5" ht="15" x14ac:dyDescent="0.35">
      <c r="A6439" s="58" t="s">
        <v>279</v>
      </c>
      <c r="B6439" s="58" t="s">
        <v>182</v>
      </c>
      <c r="C6439" s="58">
        <v>3</v>
      </c>
      <c r="D6439" s="58">
        <v>106</v>
      </c>
      <c r="E6439" s="59">
        <v>0</v>
      </c>
    </row>
    <row r="6440" spans="1:5" ht="15" x14ac:dyDescent="0.35">
      <c r="A6440" s="58" t="s">
        <v>279</v>
      </c>
      <c r="B6440" s="58" t="s">
        <v>182</v>
      </c>
      <c r="C6440" s="58">
        <v>4</v>
      </c>
      <c r="D6440" s="58">
        <v>107</v>
      </c>
      <c r="E6440" s="59">
        <v>0</v>
      </c>
    </row>
    <row r="6441" spans="1:5" ht="15" x14ac:dyDescent="0.35">
      <c r="A6441" s="58" t="s">
        <v>279</v>
      </c>
      <c r="B6441" s="58" t="s">
        <v>182</v>
      </c>
      <c r="C6441" s="58">
        <v>5</v>
      </c>
      <c r="D6441" s="58">
        <v>108</v>
      </c>
      <c r="E6441" s="59">
        <v>0</v>
      </c>
    </row>
    <row r="6442" spans="1:5" ht="15" x14ac:dyDescent="0.35">
      <c r="A6442" s="58" t="s">
        <v>279</v>
      </c>
      <c r="B6442" s="58" t="s">
        <v>182</v>
      </c>
      <c r="C6442" s="58">
        <v>6</v>
      </c>
      <c r="D6442" s="58">
        <v>109</v>
      </c>
      <c r="E6442" s="59">
        <v>0</v>
      </c>
    </row>
    <row r="6443" spans="1:5" ht="15" x14ac:dyDescent="0.35">
      <c r="A6443" s="58" t="s">
        <v>279</v>
      </c>
      <c r="B6443" s="58" t="s">
        <v>182</v>
      </c>
      <c r="C6443" s="58">
        <v>7</v>
      </c>
      <c r="D6443" s="58">
        <v>110</v>
      </c>
      <c r="E6443" s="59">
        <v>0</v>
      </c>
    </row>
    <row r="6444" spans="1:5" ht="15" x14ac:dyDescent="0.35">
      <c r="A6444" s="58" t="s">
        <v>279</v>
      </c>
      <c r="B6444" s="58" t="s">
        <v>182</v>
      </c>
      <c r="C6444" s="58">
        <v>8</v>
      </c>
      <c r="D6444" s="58">
        <v>111</v>
      </c>
      <c r="E6444" s="59">
        <v>0</v>
      </c>
    </row>
    <row r="6445" spans="1:5" ht="15" x14ac:dyDescent="0.35">
      <c r="A6445" s="58" t="s">
        <v>279</v>
      </c>
      <c r="B6445" s="58" t="s">
        <v>182</v>
      </c>
      <c r="C6445" s="58">
        <v>9</v>
      </c>
      <c r="D6445" s="58">
        <v>112</v>
      </c>
      <c r="E6445" s="59">
        <v>0</v>
      </c>
    </row>
    <row r="6446" spans="1:5" ht="15" x14ac:dyDescent="0.35">
      <c r="A6446" s="58" t="s">
        <v>279</v>
      </c>
      <c r="B6446" s="58" t="s">
        <v>182</v>
      </c>
      <c r="C6446" s="58">
        <v>10</v>
      </c>
      <c r="D6446" s="58">
        <v>113</v>
      </c>
      <c r="E6446" s="59">
        <v>0</v>
      </c>
    </row>
    <row r="6447" spans="1:5" ht="15" x14ac:dyDescent="0.35">
      <c r="A6447" s="58" t="s">
        <v>279</v>
      </c>
      <c r="B6447" s="58" t="s">
        <v>182</v>
      </c>
      <c r="C6447" s="58">
        <v>11</v>
      </c>
      <c r="D6447" s="58">
        <v>114</v>
      </c>
      <c r="E6447" s="59">
        <v>0</v>
      </c>
    </row>
    <row r="6448" spans="1:5" ht="15" x14ac:dyDescent="0.35">
      <c r="A6448" s="58" t="s">
        <v>279</v>
      </c>
      <c r="B6448" s="58" t="s">
        <v>182</v>
      </c>
      <c r="C6448" s="58">
        <v>12</v>
      </c>
      <c r="D6448" s="58">
        <v>115</v>
      </c>
      <c r="E6448" s="59">
        <v>0</v>
      </c>
    </row>
    <row r="6449" spans="1:5" ht="15" x14ac:dyDescent="0.35">
      <c r="A6449" s="58" t="s">
        <v>279</v>
      </c>
      <c r="B6449" s="58" t="s">
        <v>176</v>
      </c>
      <c r="C6449" s="58">
        <v>1</v>
      </c>
      <c r="D6449" s="58">
        <v>104</v>
      </c>
      <c r="E6449" s="59">
        <v>589.875</v>
      </c>
    </row>
    <row r="6450" spans="1:5" ht="15" x14ac:dyDescent="0.35">
      <c r="A6450" s="58" t="s">
        <v>279</v>
      </c>
      <c r="B6450" s="58" t="s">
        <v>176</v>
      </c>
      <c r="C6450" s="58">
        <v>2</v>
      </c>
      <c r="D6450" s="58">
        <v>105</v>
      </c>
      <c r="E6450" s="59">
        <v>589.875</v>
      </c>
    </row>
    <row r="6451" spans="1:5" ht="15" x14ac:dyDescent="0.35">
      <c r="A6451" s="58" t="s">
        <v>279</v>
      </c>
      <c r="B6451" s="58" t="s">
        <v>176</v>
      </c>
      <c r="C6451" s="58">
        <v>3</v>
      </c>
      <c r="D6451" s="58">
        <v>106</v>
      </c>
      <c r="E6451" s="59">
        <v>589.875</v>
      </c>
    </row>
    <row r="6452" spans="1:5" ht="15" x14ac:dyDescent="0.35">
      <c r="A6452" s="58" t="s">
        <v>279</v>
      </c>
      <c r="B6452" s="58" t="s">
        <v>176</v>
      </c>
      <c r="C6452" s="58">
        <v>4</v>
      </c>
      <c r="D6452" s="58">
        <v>107</v>
      </c>
      <c r="E6452" s="59">
        <v>589.875</v>
      </c>
    </row>
    <row r="6453" spans="1:5" ht="15" x14ac:dyDescent="0.35">
      <c r="A6453" s="58" t="s">
        <v>279</v>
      </c>
      <c r="B6453" s="58" t="s">
        <v>176</v>
      </c>
      <c r="C6453" s="58">
        <v>5</v>
      </c>
      <c r="D6453" s="58">
        <v>108</v>
      </c>
      <c r="E6453" s="59">
        <v>589.875</v>
      </c>
    </row>
    <row r="6454" spans="1:5" ht="15" x14ac:dyDescent="0.35">
      <c r="A6454" s="58" t="s">
        <v>279</v>
      </c>
      <c r="B6454" s="58" t="s">
        <v>176</v>
      </c>
      <c r="C6454" s="58">
        <v>6</v>
      </c>
      <c r="D6454" s="58">
        <v>109</v>
      </c>
      <c r="E6454" s="59">
        <v>589.875</v>
      </c>
    </row>
    <row r="6455" spans="1:5" ht="15" x14ac:dyDescent="0.35">
      <c r="A6455" s="58" t="s">
        <v>279</v>
      </c>
      <c r="B6455" s="58" t="s">
        <v>176</v>
      </c>
      <c r="C6455" s="58">
        <v>7</v>
      </c>
      <c r="D6455" s="58">
        <v>110</v>
      </c>
      <c r="E6455" s="59">
        <v>589.875</v>
      </c>
    </row>
    <row r="6456" spans="1:5" ht="15" x14ac:dyDescent="0.35">
      <c r="A6456" s="58" t="s">
        <v>279</v>
      </c>
      <c r="B6456" s="58" t="s">
        <v>176</v>
      </c>
      <c r="C6456" s="58">
        <v>8</v>
      </c>
      <c r="D6456" s="58">
        <v>111</v>
      </c>
      <c r="E6456" s="59">
        <v>589.875</v>
      </c>
    </row>
    <row r="6457" spans="1:5" ht="15" x14ac:dyDescent="0.35">
      <c r="A6457" s="58" t="s">
        <v>279</v>
      </c>
      <c r="B6457" s="58" t="s">
        <v>176</v>
      </c>
      <c r="C6457" s="58">
        <v>9</v>
      </c>
      <c r="D6457" s="58">
        <v>112</v>
      </c>
      <c r="E6457" s="59">
        <v>589.875</v>
      </c>
    </row>
    <row r="6458" spans="1:5" ht="15" x14ac:dyDescent="0.35">
      <c r="A6458" s="58" t="s">
        <v>279</v>
      </c>
      <c r="B6458" s="58" t="s">
        <v>176</v>
      </c>
      <c r="C6458" s="58">
        <v>10</v>
      </c>
      <c r="D6458" s="58">
        <v>113</v>
      </c>
      <c r="E6458" s="59">
        <v>589.875</v>
      </c>
    </row>
    <row r="6459" spans="1:5" ht="15" x14ac:dyDescent="0.35">
      <c r="A6459" s="58" t="s">
        <v>279</v>
      </c>
      <c r="B6459" s="58" t="s">
        <v>176</v>
      </c>
      <c r="C6459" s="58">
        <v>11</v>
      </c>
      <c r="D6459" s="58">
        <v>114</v>
      </c>
      <c r="E6459" s="59">
        <v>589.875</v>
      </c>
    </row>
    <row r="6460" spans="1:5" ht="15" x14ac:dyDescent="0.35">
      <c r="A6460" s="58" t="s">
        <v>279</v>
      </c>
      <c r="B6460" s="58" t="s">
        <v>176</v>
      </c>
      <c r="C6460" s="58">
        <v>12</v>
      </c>
      <c r="D6460" s="58">
        <v>115</v>
      </c>
      <c r="E6460" s="59">
        <v>589.875</v>
      </c>
    </row>
    <row r="6461" spans="1:5" ht="15" x14ac:dyDescent="0.35">
      <c r="A6461" s="58" t="s">
        <v>279</v>
      </c>
      <c r="B6461" s="58" t="s">
        <v>172</v>
      </c>
      <c r="C6461" s="58">
        <v>1</v>
      </c>
      <c r="D6461" s="58">
        <v>104</v>
      </c>
      <c r="E6461" s="59">
        <v>1170</v>
      </c>
    </row>
    <row r="6462" spans="1:5" ht="15" x14ac:dyDescent="0.35">
      <c r="A6462" s="58" t="s">
        <v>279</v>
      </c>
      <c r="B6462" s="58" t="s">
        <v>172</v>
      </c>
      <c r="C6462" s="58">
        <v>2</v>
      </c>
      <c r="D6462" s="58">
        <v>105</v>
      </c>
      <c r="E6462" s="59">
        <v>1170</v>
      </c>
    </row>
    <row r="6463" spans="1:5" ht="15" x14ac:dyDescent="0.35">
      <c r="A6463" s="58" t="s">
        <v>279</v>
      </c>
      <c r="B6463" s="58" t="s">
        <v>172</v>
      </c>
      <c r="C6463" s="58">
        <v>3</v>
      </c>
      <c r="D6463" s="58">
        <v>106</v>
      </c>
      <c r="E6463" s="59">
        <v>1170</v>
      </c>
    </row>
    <row r="6464" spans="1:5" ht="15" x14ac:dyDescent="0.35">
      <c r="A6464" s="58" t="s">
        <v>279</v>
      </c>
      <c r="B6464" s="58" t="s">
        <v>172</v>
      </c>
      <c r="C6464" s="58">
        <v>4</v>
      </c>
      <c r="D6464" s="58">
        <v>107</v>
      </c>
      <c r="E6464" s="59">
        <v>1170</v>
      </c>
    </row>
    <row r="6465" spans="1:5" ht="15" x14ac:dyDescent="0.35">
      <c r="A6465" s="58" t="s">
        <v>279</v>
      </c>
      <c r="B6465" s="58" t="s">
        <v>172</v>
      </c>
      <c r="C6465" s="58">
        <v>5</v>
      </c>
      <c r="D6465" s="58">
        <v>108</v>
      </c>
      <c r="E6465" s="59">
        <v>1170</v>
      </c>
    </row>
    <row r="6466" spans="1:5" ht="15" x14ac:dyDescent="0.35">
      <c r="A6466" s="58" t="s">
        <v>279</v>
      </c>
      <c r="B6466" s="58" t="s">
        <v>172</v>
      </c>
      <c r="C6466" s="58">
        <v>6</v>
      </c>
      <c r="D6466" s="58">
        <v>109</v>
      </c>
      <c r="E6466" s="59">
        <v>1170</v>
      </c>
    </row>
    <row r="6467" spans="1:5" ht="15" x14ac:dyDescent="0.35">
      <c r="A6467" s="58" t="s">
        <v>279</v>
      </c>
      <c r="B6467" s="58" t="s">
        <v>172</v>
      </c>
      <c r="C6467" s="58">
        <v>7</v>
      </c>
      <c r="D6467" s="58">
        <v>110</v>
      </c>
      <c r="E6467" s="59">
        <v>1170</v>
      </c>
    </row>
    <row r="6468" spans="1:5" ht="15" x14ac:dyDescent="0.35">
      <c r="A6468" s="58" t="s">
        <v>279</v>
      </c>
      <c r="B6468" s="58" t="s">
        <v>172</v>
      </c>
      <c r="C6468" s="58">
        <v>8</v>
      </c>
      <c r="D6468" s="58">
        <v>111</v>
      </c>
      <c r="E6468" s="59">
        <v>1170</v>
      </c>
    </row>
    <row r="6469" spans="1:5" ht="15" x14ac:dyDescent="0.35">
      <c r="A6469" s="58" t="s">
        <v>279</v>
      </c>
      <c r="B6469" s="58" t="s">
        <v>172</v>
      </c>
      <c r="C6469" s="58">
        <v>9</v>
      </c>
      <c r="D6469" s="58">
        <v>112</v>
      </c>
      <c r="E6469" s="59">
        <v>1170</v>
      </c>
    </row>
    <row r="6470" spans="1:5" ht="15" x14ac:dyDescent="0.35">
      <c r="A6470" s="58" t="s">
        <v>279</v>
      </c>
      <c r="B6470" s="58" t="s">
        <v>172</v>
      </c>
      <c r="C6470" s="58">
        <v>10</v>
      </c>
      <c r="D6470" s="58">
        <v>113</v>
      </c>
      <c r="E6470" s="59">
        <v>1170</v>
      </c>
    </row>
    <row r="6471" spans="1:5" ht="15" x14ac:dyDescent="0.35">
      <c r="A6471" s="58" t="s">
        <v>279</v>
      </c>
      <c r="B6471" s="58" t="s">
        <v>172</v>
      </c>
      <c r="C6471" s="58">
        <v>11</v>
      </c>
      <c r="D6471" s="58">
        <v>114</v>
      </c>
      <c r="E6471" s="59">
        <v>1170</v>
      </c>
    </row>
    <row r="6472" spans="1:5" ht="15" x14ac:dyDescent="0.35">
      <c r="A6472" s="58" t="s">
        <v>279</v>
      </c>
      <c r="B6472" s="58" t="s">
        <v>172</v>
      </c>
      <c r="C6472" s="58">
        <v>12</v>
      </c>
      <c r="D6472" s="58">
        <v>115</v>
      </c>
      <c r="E6472" s="59">
        <v>1170</v>
      </c>
    </row>
    <row r="6473" spans="1:5" ht="15" x14ac:dyDescent="0.35">
      <c r="A6473" s="58" t="s">
        <v>279</v>
      </c>
      <c r="B6473" s="58" t="s">
        <v>180</v>
      </c>
      <c r="C6473" s="58">
        <v>1</v>
      </c>
      <c r="D6473" s="58">
        <v>104</v>
      </c>
      <c r="E6473" s="59">
        <v>517.14210000000003</v>
      </c>
    </row>
    <row r="6474" spans="1:5" ht="15" x14ac:dyDescent="0.35">
      <c r="A6474" s="58" t="s">
        <v>279</v>
      </c>
      <c r="B6474" s="58" t="s">
        <v>180</v>
      </c>
      <c r="C6474" s="58">
        <v>2</v>
      </c>
      <c r="D6474" s="58">
        <v>105</v>
      </c>
      <c r="E6474" s="59">
        <v>517.14210000000003</v>
      </c>
    </row>
    <row r="6475" spans="1:5" ht="15" x14ac:dyDescent="0.35">
      <c r="A6475" s="58" t="s">
        <v>279</v>
      </c>
      <c r="B6475" s="58" t="s">
        <v>180</v>
      </c>
      <c r="C6475" s="58">
        <v>3</v>
      </c>
      <c r="D6475" s="58">
        <v>106</v>
      </c>
      <c r="E6475" s="59">
        <v>517.14210000000003</v>
      </c>
    </row>
    <row r="6476" spans="1:5" ht="15" x14ac:dyDescent="0.35">
      <c r="A6476" s="58" t="s">
        <v>279</v>
      </c>
      <c r="B6476" s="58" t="s">
        <v>180</v>
      </c>
      <c r="C6476" s="58">
        <v>4</v>
      </c>
      <c r="D6476" s="58">
        <v>107</v>
      </c>
      <c r="E6476" s="59">
        <v>517.14210000000003</v>
      </c>
    </row>
    <row r="6477" spans="1:5" ht="15" x14ac:dyDescent="0.35">
      <c r="A6477" s="58" t="s">
        <v>279</v>
      </c>
      <c r="B6477" s="58" t="s">
        <v>180</v>
      </c>
      <c r="C6477" s="58">
        <v>5</v>
      </c>
      <c r="D6477" s="58">
        <v>108</v>
      </c>
      <c r="E6477" s="59">
        <v>517.14210000000003</v>
      </c>
    </row>
    <row r="6478" spans="1:5" ht="15" x14ac:dyDescent="0.35">
      <c r="A6478" s="58" t="s">
        <v>279</v>
      </c>
      <c r="B6478" s="58" t="s">
        <v>180</v>
      </c>
      <c r="C6478" s="58">
        <v>6</v>
      </c>
      <c r="D6478" s="58">
        <v>109</v>
      </c>
      <c r="E6478" s="59">
        <v>517.14210000000003</v>
      </c>
    </row>
    <row r="6479" spans="1:5" ht="15" x14ac:dyDescent="0.35">
      <c r="A6479" s="58" t="s">
        <v>279</v>
      </c>
      <c r="B6479" s="58" t="s">
        <v>180</v>
      </c>
      <c r="C6479" s="58">
        <v>7</v>
      </c>
      <c r="D6479" s="58">
        <v>110</v>
      </c>
      <c r="E6479" s="59">
        <v>517.14210000000003</v>
      </c>
    </row>
    <row r="6480" spans="1:5" ht="15" x14ac:dyDescent="0.35">
      <c r="A6480" s="58" t="s">
        <v>279</v>
      </c>
      <c r="B6480" s="58" t="s">
        <v>180</v>
      </c>
      <c r="C6480" s="58">
        <v>8</v>
      </c>
      <c r="D6480" s="58">
        <v>111</v>
      </c>
      <c r="E6480" s="59">
        <v>517.14210000000003</v>
      </c>
    </row>
    <row r="6481" spans="1:5" ht="15" x14ac:dyDescent="0.35">
      <c r="A6481" s="58" t="s">
        <v>279</v>
      </c>
      <c r="B6481" s="58" t="s">
        <v>180</v>
      </c>
      <c r="C6481" s="58">
        <v>9</v>
      </c>
      <c r="D6481" s="58">
        <v>112</v>
      </c>
      <c r="E6481" s="59">
        <v>517.14210000000003</v>
      </c>
    </row>
    <row r="6482" spans="1:5" ht="15" x14ac:dyDescent="0.35">
      <c r="A6482" s="58" t="s">
        <v>279</v>
      </c>
      <c r="B6482" s="58" t="s">
        <v>180</v>
      </c>
      <c r="C6482" s="58">
        <v>10</v>
      </c>
      <c r="D6482" s="58">
        <v>113</v>
      </c>
      <c r="E6482" s="59">
        <v>517.14210000000003</v>
      </c>
    </row>
    <row r="6483" spans="1:5" ht="15" x14ac:dyDescent="0.35">
      <c r="A6483" s="58" t="s">
        <v>279</v>
      </c>
      <c r="B6483" s="58" t="s">
        <v>180</v>
      </c>
      <c r="C6483" s="58">
        <v>11</v>
      </c>
      <c r="D6483" s="58">
        <v>114</v>
      </c>
      <c r="E6483" s="59">
        <v>517.14210000000003</v>
      </c>
    </row>
    <row r="6484" spans="1:5" ht="15" x14ac:dyDescent="0.35">
      <c r="A6484" s="58" t="s">
        <v>279</v>
      </c>
      <c r="B6484" s="58" t="s">
        <v>180</v>
      </c>
      <c r="C6484" s="58">
        <v>12</v>
      </c>
      <c r="D6484" s="58">
        <v>115</v>
      </c>
      <c r="E6484" s="59">
        <v>517.14210000000003</v>
      </c>
    </row>
    <row r="6485" spans="1:5" ht="15" x14ac:dyDescent="0.35">
      <c r="A6485" s="58" t="s">
        <v>391</v>
      </c>
      <c r="B6485" s="58" t="s">
        <v>182</v>
      </c>
      <c r="C6485" s="58">
        <v>1</v>
      </c>
      <c r="D6485" s="58">
        <v>104</v>
      </c>
      <c r="E6485" s="59">
        <v>211.11259999999999</v>
      </c>
    </row>
    <row r="6486" spans="1:5" ht="15" x14ac:dyDescent="0.35">
      <c r="A6486" s="58" t="s">
        <v>391</v>
      </c>
      <c r="B6486" s="58" t="s">
        <v>182</v>
      </c>
      <c r="C6486" s="58">
        <v>2</v>
      </c>
      <c r="D6486" s="58">
        <v>105</v>
      </c>
      <c r="E6486" s="59">
        <v>288.31259999999997</v>
      </c>
    </row>
    <row r="6487" spans="1:5" ht="15" x14ac:dyDescent="0.35">
      <c r="A6487" s="58" t="s">
        <v>391</v>
      </c>
      <c r="B6487" s="58" t="s">
        <v>182</v>
      </c>
      <c r="C6487" s="58">
        <v>3</v>
      </c>
      <c r="D6487" s="58">
        <v>106</v>
      </c>
      <c r="E6487" s="59">
        <v>261.11259999999999</v>
      </c>
    </row>
    <row r="6488" spans="1:5" ht="15" x14ac:dyDescent="0.35">
      <c r="A6488" s="58" t="s">
        <v>391</v>
      </c>
      <c r="B6488" s="58" t="s">
        <v>182</v>
      </c>
      <c r="C6488" s="58">
        <v>4</v>
      </c>
      <c r="D6488" s="58">
        <v>107</v>
      </c>
      <c r="E6488" s="59">
        <v>277.11259999999999</v>
      </c>
    </row>
    <row r="6489" spans="1:5" ht="15" x14ac:dyDescent="0.35">
      <c r="A6489" s="58" t="s">
        <v>391</v>
      </c>
      <c r="B6489" s="58" t="s">
        <v>182</v>
      </c>
      <c r="C6489" s="58">
        <v>5</v>
      </c>
      <c r="D6489" s="58">
        <v>108</v>
      </c>
      <c r="E6489" s="59">
        <v>276.11259999999999</v>
      </c>
    </row>
    <row r="6490" spans="1:5" ht="15" x14ac:dyDescent="0.35">
      <c r="A6490" s="58" t="s">
        <v>391</v>
      </c>
      <c r="B6490" s="58" t="s">
        <v>182</v>
      </c>
      <c r="C6490" s="58">
        <v>6</v>
      </c>
      <c r="D6490" s="58">
        <v>109</v>
      </c>
      <c r="E6490" s="59">
        <v>256.55709999999999</v>
      </c>
    </row>
    <row r="6491" spans="1:5" ht="15" x14ac:dyDescent="0.35">
      <c r="A6491" s="58" t="s">
        <v>391</v>
      </c>
      <c r="B6491" s="58" t="s">
        <v>182</v>
      </c>
      <c r="C6491" s="58">
        <v>7</v>
      </c>
      <c r="D6491" s="58">
        <v>110</v>
      </c>
      <c r="E6491" s="59">
        <v>241.11259999999999</v>
      </c>
    </row>
    <row r="6492" spans="1:5" ht="15" x14ac:dyDescent="0.35">
      <c r="A6492" s="58" t="s">
        <v>391</v>
      </c>
      <c r="B6492" s="58" t="s">
        <v>182</v>
      </c>
      <c r="C6492" s="58">
        <v>8</v>
      </c>
      <c r="D6492" s="58">
        <v>111</v>
      </c>
      <c r="E6492" s="59">
        <v>262.55709999999999</v>
      </c>
    </row>
    <row r="6493" spans="1:5" ht="15" x14ac:dyDescent="0.35">
      <c r="A6493" s="58" t="s">
        <v>391</v>
      </c>
      <c r="B6493" s="58" t="s">
        <v>182</v>
      </c>
      <c r="C6493" s="58">
        <v>9</v>
      </c>
      <c r="D6493" s="58">
        <v>112</v>
      </c>
      <c r="E6493" s="59">
        <v>300.66820000000001</v>
      </c>
    </row>
    <row r="6494" spans="1:5" ht="15" x14ac:dyDescent="0.35">
      <c r="A6494" s="58" t="s">
        <v>391</v>
      </c>
      <c r="B6494" s="58" t="s">
        <v>182</v>
      </c>
      <c r="C6494" s="58">
        <v>10</v>
      </c>
      <c r="D6494" s="58">
        <v>113</v>
      </c>
      <c r="E6494" s="59">
        <v>323.00150000000002</v>
      </c>
    </row>
    <row r="6495" spans="1:5" ht="15" x14ac:dyDescent="0.35">
      <c r="A6495" s="58" t="s">
        <v>391</v>
      </c>
      <c r="B6495" s="58" t="s">
        <v>182</v>
      </c>
      <c r="C6495" s="58">
        <v>11</v>
      </c>
      <c r="D6495" s="58">
        <v>114</v>
      </c>
      <c r="E6495" s="59">
        <v>282.33479999999997</v>
      </c>
    </row>
    <row r="6496" spans="1:5" ht="15" x14ac:dyDescent="0.35">
      <c r="A6496" s="58" t="s">
        <v>391</v>
      </c>
      <c r="B6496" s="58" t="s">
        <v>182</v>
      </c>
      <c r="C6496" s="58">
        <v>12</v>
      </c>
      <c r="D6496" s="58">
        <v>115</v>
      </c>
      <c r="E6496" s="59">
        <v>461.66820000000001</v>
      </c>
    </row>
    <row r="6497" spans="1:5" ht="15" x14ac:dyDescent="0.35">
      <c r="A6497" s="58" t="s">
        <v>391</v>
      </c>
      <c r="B6497" s="58" t="s">
        <v>176</v>
      </c>
      <c r="C6497" s="58">
        <v>1</v>
      </c>
      <c r="D6497" s="58">
        <v>104</v>
      </c>
      <c r="E6497" s="59">
        <v>198</v>
      </c>
    </row>
    <row r="6498" spans="1:5" ht="15" x14ac:dyDescent="0.35">
      <c r="A6498" s="58" t="s">
        <v>391</v>
      </c>
      <c r="B6498" s="58" t="s">
        <v>176</v>
      </c>
      <c r="C6498" s="58">
        <v>2</v>
      </c>
      <c r="D6498" s="58">
        <v>105</v>
      </c>
      <c r="E6498" s="59">
        <v>198</v>
      </c>
    </row>
    <row r="6499" spans="1:5" ht="15" x14ac:dyDescent="0.35">
      <c r="A6499" s="58" t="s">
        <v>391</v>
      </c>
      <c r="B6499" s="58" t="s">
        <v>176</v>
      </c>
      <c r="C6499" s="58">
        <v>3</v>
      </c>
      <c r="D6499" s="58">
        <v>106</v>
      </c>
      <c r="E6499" s="59">
        <v>198</v>
      </c>
    </row>
    <row r="6500" spans="1:5" ht="15" x14ac:dyDescent="0.35">
      <c r="A6500" s="58" t="s">
        <v>391</v>
      </c>
      <c r="B6500" s="58" t="s">
        <v>176</v>
      </c>
      <c r="C6500" s="58">
        <v>4</v>
      </c>
      <c r="D6500" s="58">
        <v>107</v>
      </c>
      <c r="E6500" s="59">
        <v>198</v>
      </c>
    </row>
    <row r="6501" spans="1:5" ht="15" x14ac:dyDescent="0.35">
      <c r="A6501" s="58" t="s">
        <v>391</v>
      </c>
      <c r="B6501" s="58" t="s">
        <v>176</v>
      </c>
      <c r="C6501" s="58">
        <v>5</v>
      </c>
      <c r="D6501" s="58">
        <v>108</v>
      </c>
      <c r="E6501" s="59">
        <v>198</v>
      </c>
    </row>
    <row r="6502" spans="1:5" ht="15" x14ac:dyDescent="0.35">
      <c r="A6502" s="58" t="s">
        <v>391</v>
      </c>
      <c r="B6502" s="58" t="s">
        <v>176</v>
      </c>
      <c r="C6502" s="58">
        <v>6</v>
      </c>
      <c r="D6502" s="58">
        <v>109</v>
      </c>
      <c r="E6502" s="59">
        <v>198</v>
      </c>
    </row>
    <row r="6503" spans="1:5" ht="15" x14ac:dyDescent="0.35">
      <c r="A6503" s="58" t="s">
        <v>391</v>
      </c>
      <c r="B6503" s="58" t="s">
        <v>176</v>
      </c>
      <c r="C6503" s="58">
        <v>7</v>
      </c>
      <c r="D6503" s="58">
        <v>110</v>
      </c>
      <c r="E6503" s="59">
        <v>198</v>
      </c>
    </row>
    <row r="6504" spans="1:5" ht="15" x14ac:dyDescent="0.35">
      <c r="A6504" s="58" t="s">
        <v>391</v>
      </c>
      <c r="B6504" s="58" t="s">
        <v>176</v>
      </c>
      <c r="C6504" s="58">
        <v>8</v>
      </c>
      <c r="D6504" s="58">
        <v>111</v>
      </c>
      <c r="E6504" s="59">
        <v>198</v>
      </c>
    </row>
    <row r="6505" spans="1:5" ht="15" x14ac:dyDescent="0.35">
      <c r="A6505" s="58" t="s">
        <v>391</v>
      </c>
      <c r="B6505" s="58" t="s">
        <v>176</v>
      </c>
      <c r="C6505" s="58">
        <v>9</v>
      </c>
      <c r="D6505" s="58">
        <v>112</v>
      </c>
      <c r="E6505" s="59">
        <v>198</v>
      </c>
    </row>
    <row r="6506" spans="1:5" ht="15" x14ac:dyDescent="0.35">
      <c r="A6506" s="58" t="s">
        <v>391</v>
      </c>
      <c r="B6506" s="58" t="s">
        <v>176</v>
      </c>
      <c r="C6506" s="58">
        <v>10</v>
      </c>
      <c r="D6506" s="58">
        <v>113</v>
      </c>
      <c r="E6506" s="59">
        <v>198</v>
      </c>
    </row>
    <row r="6507" spans="1:5" ht="15" x14ac:dyDescent="0.35">
      <c r="A6507" s="58" t="s">
        <v>391</v>
      </c>
      <c r="B6507" s="58" t="s">
        <v>176</v>
      </c>
      <c r="C6507" s="58">
        <v>11</v>
      </c>
      <c r="D6507" s="58">
        <v>114</v>
      </c>
      <c r="E6507" s="59">
        <v>198</v>
      </c>
    </row>
    <row r="6508" spans="1:5" ht="15" x14ac:dyDescent="0.35">
      <c r="A6508" s="58" t="s">
        <v>391</v>
      </c>
      <c r="B6508" s="58" t="s">
        <v>176</v>
      </c>
      <c r="C6508" s="58">
        <v>12</v>
      </c>
      <c r="D6508" s="58">
        <v>115</v>
      </c>
      <c r="E6508" s="59">
        <v>198</v>
      </c>
    </row>
    <row r="6509" spans="1:5" ht="15" x14ac:dyDescent="0.35">
      <c r="A6509" s="58" t="s">
        <v>391</v>
      </c>
      <c r="B6509" s="58" t="s">
        <v>172</v>
      </c>
      <c r="C6509" s="58">
        <v>1</v>
      </c>
      <c r="D6509" s="58">
        <v>104</v>
      </c>
      <c r="E6509" s="59">
        <v>348</v>
      </c>
    </row>
    <row r="6510" spans="1:5" ht="15" x14ac:dyDescent="0.35">
      <c r="A6510" s="58" t="s">
        <v>391</v>
      </c>
      <c r="B6510" s="58" t="s">
        <v>172</v>
      </c>
      <c r="C6510" s="58">
        <v>2</v>
      </c>
      <c r="D6510" s="58">
        <v>105</v>
      </c>
      <c r="E6510" s="59">
        <v>348</v>
      </c>
    </row>
    <row r="6511" spans="1:5" ht="15" x14ac:dyDescent="0.35">
      <c r="A6511" s="58" t="s">
        <v>391</v>
      </c>
      <c r="B6511" s="58" t="s">
        <v>172</v>
      </c>
      <c r="C6511" s="58">
        <v>3</v>
      </c>
      <c r="D6511" s="58">
        <v>106</v>
      </c>
      <c r="E6511" s="59">
        <v>348</v>
      </c>
    </row>
    <row r="6512" spans="1:5" ht="15" x14ac:dyDescent="0.35">
      <c r="A6512" s="58" t="s">
        <v>391</v>
      </c>
      <c r="B6512" s="58" t="s">
        <v>172</v>
      </c>
      <c r="C6512" s="58">
        <v>4</v>
      </c>
      <c r="D6512" s="58">
        <v>107</v>
      </c>
      <c r="E6512" s="59">
        <v>348</v>
      </c>
    </row>
    <row r="6513" spans="1:5" ht="15" x14ac:dyDescent="0.35">
      <c r="A6513" s="58" t="s">
        <v>391</v>
      </c>
      <c r="B6513" s="58" t="s">
        <v>172</v>
      </c>
      <c r="C6513" s="58">
        <v>5</v>
      </c>
      <c r="D6513" s="58">
        <v>108</v>
      </c>
      <c r="E6513" s="59">
        <v>348</v>
      </c>
    </row>
    <row r="6514" spans="1:5" ht="15" x14ac:dyDescent="0.35">
      <c r="A6514" s="58" t="s">
        <v>391</v>
      </c>
      <c r="B6514" s="58" t="s">
        <v>172</v>
      </c>
      <c r="C6514" s="58">
        <v>6</v>
      </c>
      <c r="D6514" s="58">
        <v>109</v>
      </c>
      <c r="E6514" s="59">
        <v>348</v>
      </c>
    </row>
    <row r="6515" spans="1:5" ht="15" x14ac:dyDescent="0.35">
      <c r="A6515" s="58" t="s">
        <v>391</v>
      </c>
      <c r="B6515" s="58" t="s">
        <v>172</v>
      </c>
      <c r="C6515" s="58">
        <v>7</v>
      </c>
      <c r="D6515" s="58">
        <v>110</v>
      </c>
      <c r="E6515" s="59">
        <v>348</v>
      </c>
    </row>
    <row r="6516" spans="1:5" ht="15" x14ac:dyDescent="0.35">
      <c r="A6516" s="58" t="s">
        <v>391</v>
      </c>
      <c r="B6516" s="58" t="s">
        <v>172</v>
      </c>
      <c r="C6516" s="58">
        <v>8</v>
      </c>
      <c r="D6516" s="58">
        <v>111</v>
      </c>
      <c r="E6516" s="59">
        <v>348</v>
      </c>
    </row>
    <row r="6517" spans="1:5" ht="15" x14ac:dyDescent="0.35">
      <c r="A6517" s="58" t="s">
        <v>391</v>
      </c>
      <c r="B6517" s="58" t="s">
        <v>172</v>
      </c>
      <c r="C6517" s="58">
        <v>9</v>
      </c>
      <c r="D6517" s="58">
        <v>112</v>
      </c>
      <c r="E6517" s="59">
        <v>348</v>
      </c>
    </row>
    <row r="6518" spans="1:5" ht="15" x14ac:dyDescent="0.35">
      <c r="A6518" s="58" t="s">
        <v>391</v>
      </c>
      <c r="B6518" s="58" t="s">
        <v>172</v>
      </c>
      <c r="C6518" s="58">
        <v>10</v>
      </c>
      <c r="D6518" s="58">
        <v>113</v>
      </c>
      <c r="E6518" s="59">
        <v>348</v>
      </c>
    </row>
    <row r="6519" spans="1:5" ht="15" x14ac:dyDescent="0.35">
      <c r="A6519" s="58" t="s">
        <v>391</v>
      </c>
      <c r="B6519" s="58" t="s">
        <v>172</v>
      </c>
      <c r="C6519" s="58">
        <v>11</v>
      </c>
      <c r="D6519" s="58">
        <v>114</v>
      </c>
      <c r="E6519" s="59">
        <v>348</v>
      </c>
    </row>
    <row r="6520" spans="1:5" ht="15" x14ac:dyDescent="0.35">
      <c r="A6520" s="58" t="s">
        <v>391</v>
      </c>
      <c r="B6520" s="58" t="s">
        <v>172</v>
      </c>
      <c r="C6520" s="58">
        <v>12</v>
      </c>
      <c r="D6520" s="58">
        <v>115</v>
      </c>
      <c r="E6520" s="59">
        <v>348</v>
      </c>
    </row>
    <row r="6521" spans="1:5" ht="15" x14ac:dyDescent="0.35">
      <c r="A6521" s="58" t="s">
        <v>391</v>
      </c>
      <c r="B6521" s="58" t="s">
        <v>180</v>
      </c>
      <c r="C6521" s="58">
        <v>1</v>
      </c>
      <c r="D6521" s="58">
        <v>104</v>
      </c>
      <c r="E6521" s="59">
        <v>235.11369999999999</v>
      </c>
    </row>
    <row r="6522" spans="1:5" ht="15" x14ac:dyDescent="0.35">
      <c r="A6522" s="58" t="s">
        <v>391</v>
      </c>
      <c r="B6522" s="58" t="s">
        <v>180</v>
      </c>
      <c r="C6522" s="58">
        <v>2</v>
      </c>
      <c r="D6522" s="58">
        <v>105</v>
      </c>
      <c r="E6522" s="59">
        <v>235.11369999999999</v>
      </c>
    </row>
    <row r="6523" spans="1:5" ht="15" x14ac:dyDescent="0.35">
      <c r="A6523" s="58" t="s">
        <v>391</v>
      </c>
      <c r="B6523" s="58" t="s">
        <v>180</v>
      </c>
      <c r="C6523" s="58">
        <v>3</v>
      </c>
      <c r="D6523" s="58">
        <v>106</v>
      </c>
      <c r="E6523" s="59">
        <v>235.11369999999999</v>
      </c>
    </row>
    <row r="6524" spans="1:5" ht="15" x14ac:dyDescent="0.35">
      <c r="A6524" s="58" t="s">
        <v>391</v>
      </c>
      <c r="B6524" s="58" t="s">
        <v>180</v>
      </c>
      <c r="C6524" s="58">
        <v>4</v>
      </c>
      <c r="D6524" s="58">
        <v>107</v>
      </c>
      <c r="E6524" s="59">
        <v>235.11369999999999</v>
      </c>
    </row>
    <row r="6525" spans="1:5" ht="15" x14ac:dyDescent="0.35">
      <c r="A6525" s="58" t="s">
        <v>391</v>
      </c>
      <c r="B6525" s="58" t="s">
        <v>180</v>
      </c>
      <c r="C6525" s="58">
        <v>5</v>
      </c>
      <c r="D6525" s="58">
        <v>108</v>
      </c>
      <c r="E6525" s="59">
        <v>235.11369999999999</v>
      </c>
    </row>
    <row r="6526" spans="1:5" ht="15" x14ac:dyDescent="0.35">
      <c r="A6526" s="58" t="s">
        <v>391</v>
      </c>
      <c r="B6526" s="58" t="s">
        <v>180</v>
      </c>
      <c r="C6526" s="58">
        <v>6</v>
      </c>
      <c r="D6526" s="58">
        <v>109</v>
      </c>
      <c r="E6526" s="59">
        <v>235.11369999999999</v>
      </c>
    </row>
    <row r="6527" spans="1:5" ht="15" x14ac:dyDescent="0.35">
      <c r="A6527" s="58" t="s">
        <v>391</v>
      </c>
      <c r="B6527" s="58" t="s">
        <v>180</v>
      </c>
      <c r="C6527" s="58">
        <v>7</v>
      </c>
      <c r="D6527" s="58">
        <v>110</v>
      </c>
      <c r="E6527" s="59">
        <v>235.11369999999999</v>
      </c>
    </row>
    <row r="6528" spans="1:5" ht="15" x14ac:dyDescent="0.35">
      <c r="A6528" s="58" t="s">
        <v>391</v>
      </c>
      <c r="B6528" s="58" t="s">
        <v>180</v>
      </c>
      <c r="C6528" s="58">
        <v>8</v>
      </c>
      <c r="D6528" s="58">
        <v>111</v>
      </c>
      <c r="E6528" s="59">
        <v>235.11369999999999</v>
      </c>
    </row>
    <row r="6529" spans="1:5" ht="15" x14ac:dyDescent="0.35">
      <c r="A6529" s="58" t="s">
        <v>391</v>
      </c>
      <c r="B6529" s="58" t="s">
        <v>180</v>
      </c>
      <c r="C6529" s="58">
        <v>9</v>
      </c>
      <c r="D6529" s="58">
        <v>112</v>
      </c>
      <c r="E6529" s="59">
        <v>235.11369999999999</v>
      </c>
    </row>
    <row r="6530" spans="1:5" ht="15" x14ac:dyDescent="0.35">
      <c r="A6530" s="58" t="s">
        <v>391</v>
      </c>
      <c r="B6530" s="58" t="s">
        <v>180</v>
      </c>
      <c r="C6530" s="58">
        <v>10</v>
      </c>
      <c r="D6530" s="58">
        <v>113</v>
      </c>
      <c r="E6530" s="59">
        <v>235.11369999999999</v>
      </c>
    </row>
    <row r="6531" spans="1:5" ht="15" x14ac:dyDescent="0.35">
      <c r="A6531" s="58" t="s">
        <v>391</v>
      </c>
      <c r="B6531" s="58" t="s">
        <v>180</v>
      </c>
      <c r="C6531" s="58">
        <v>11</v>
      </c>
      <c r="D6531" s="58">
        <v>114</v>
      </c>
      <c r="E6531" s="59">
        <v>235.11369999999999</v>
      </c>
    </row>
    <row r="6532" spans="1:5" ht="15" x14ac:dyDescent="0.35">
      <c r="A6532" s="58" t="s">
        <v>391</v>
      </c>
      <c r="B6532" s="58" t="s">
        <v>180</v>
      </c>
      <c r="C6532" s="58">
        <v>12</v>
      </c>
      <c r="D6532" s="58">
        <v>115</v>
      </c>
      <c r="E6532" s="59">
        <v>235.11369999999999</v>
      </c>
    </row>
    <row r="6533" spans="1:5" ht="15" x14ac:dyDescent="0.35">
      <c r="A6533" s="58" t="s">
        <v>250</v>
      </c>
      <c r="B6533" s="58" t="s">
        <v>182</v>
      </c>
      <c r="C6533" s="58">
        <v>1</v>
      </c>
      <c r="D6533" s="58">
        <v>104</v>
      </c>
      <c r="E6533" s="59">
        <v>1035.4635000000001</v>
      </c>
    </row>
    <row r="6534" spans="1:5" ht="15" x14ac:dyDescent="0.35">
      <c r="A6534" s="58" t="s">
        <v>250</v>
      </c>
      <c r="B6534" s="58" t="s">
        <v>182</v>
      </c>
      <c r="C6534" s="58">
        <v>2</v>
      </c>
      <c r="D6534" s="58">
        <v>105</v>
      </c>
      <c r="E6534" s="59">
        <v>341.93009999999998</v>
      </c>
    </row>
    <row r="6535" spans="1:5" ht="15" x14ac:dyDescent="0.35">
      <c r="A6535" s="58" t="s">
        <v>250</v>
      </c>
      <c r="B6535" s="58" t="s">
        <v>182</v>
      </c>
      <c r="C6535" s="58">
        <v>3</v>
      </c>
      <c r="D6535" s="58">
        <v>106</v>
      </c>
      <c r="E6535" s="59">
        <v>288.13010000000003</v>
      </c>
    </row>
    <row r="6536" spans="1:5" ht="15" x14ac:dyDescent="0.35">
      <c r="A6536" s="58" t="s">
        <v>250</v>
      </c>
      <c r="B6536" s="58" t="s">
        <v>182</v>
      </c>
      <c r="C6536" s="58">
        <v>4</v>
      </c>
      <c r="D6536" s="58">
        <v>107</v>
      </c>
      <c r="E6536" s="59">
        <v>344.55869999999999</v>
      </c>
    </row>
    <row r="6537" spans="1:5" ht="15" x14ac:dyDescent="0.35">
      <c r="A6537" s="58" t="s">
        <v>250</v>
      </c>
      <c r="B6537" s="58" t="s">
        <v>182</v>
      </c>
      <c r="C6537" s="58">
        <v>5</v>
      </c>
      <c r="D6537" s="58">
        <v>108</v>
      </c>
      <c r="E6537" s="59">
        <v>301.13010000000003</v>
      </c>
    </row>
    <row r="6538" spans="1:5" ht="15" x14ac:dyDescent="0.35">
      <c r="A6538" s="58" t="s">
        <v>250</v>
      </c>
      <c r="B6538" s="58" t="s">
        <v>182</v>
      </c>
      <c r="C6538" s="58">
        <v>6</v>
      </c>
      <c r="D6538" s="58">
        <v>109</v>
      </c>
      <c r="E6538" s="59">
        <v>274.35230000000001</v>
      </c>
    </row>
    <row r="6539" spans="1:5" ht="15" x14ac:dyDescent="0.35">
      <c r="A6539" s="58" t="s">
        <v>250</v>
      </c>
      <c r="B6539" s="58" t="s">
        <v>182</v>
      </c>
      <c r="C6539" s="58">
        <v>7</v>
      </c>
      <c r="D6539" s="58">
        <v>110</v>
      </c>
      <c r="E6539" s="59">
        <v>196.46350000000001</v>
      </c>
    </row>
    <row r="6540" spans="1:5" ht="15" x14ac:dyDescent="0.35">
      <c r="A6540" s="58" t="s">
        <v>250</v>
      </c>
      <c r="B6540" s="58" t="s">
        <v>182</v>
      </c>
      <c r="C6540" s="58">
        <v>8</v>
      </c>
      <c r="D6540" s="58">
        <v>111</v>
      </c>
      <c r="E6540" s="59">
        <v>114.5746</v>
      </c>
    </row>
    <row r="6541" spans="1:5" ht="15" x14ac:dyDescent="0.35">
      <c r="A6541" s="58" t="s">
        <v>250</v>
      </c>
      <c r="B6541" s="58" t="s">
        <v>182</v>
      </c>
      <c r="C6541" s="58">
        <v>9</v>
      </c>
      <c r="D6541" s="58">
        <v>112</v>
      </c>
      <c r="E6541" s="59">
        <v>138.1301</v>
      </c>
    </row>
    <row r="6542" spans="1:5" ht="15" x14ac:dyDescent="0.35">
      <c r="A6542" s="58" t="s">
        <v>250</v>
      </c>
      <c r="B6542" s="58" t="s">
        <v>182</v>
      </c>
      <c r="C6542" s="58">
        <v>10</v>
      </c>
      <c r="D6542" s="58">
        <v>113</v>
      </c>
      <c r="E6542" s="59">
        <v>219.79679999999999</v>
      </c>
    </row>
    <row r="6543" spans="1:5" ht="15" x14ac:dyDescent="0.35">
      <c r="A6543" s="58" t="s">
        <v>250</v>
      </c>
      <c r="B6543" s="58" t="s">
        <v>182</v>
      </c>
      <c r="C6543" s="58">
        <v>11</v>
      </c>
      <c r="D6543" s="58">
        <v>114</v>
      </c>
      <c r="E6543" s="59">
        <v>303.01900000000001</v>
      </c>
    </row>
    <row r="6544" spans="1:5" ht="15" x14ac:dyDescent="0.35">
      <c r="A6544" s="58" t="s">
        <v>250</v>
      </c>
      <c r="B6544" s="58" t="s">
        <v>182</v>
      </c>
      <c r="C6544" s="58">
        <v>12</v>
      </c>
      <c r="D6544" s="58">
        <v>115</v>
      </c>
      <c r="E6544" s="59">
        <v>338.24119999999999</v>
      </c>
    </row>
    <row r="6545" spans="1:5" ht="15" x14ac:dyDescent="0.35">
      <c r="A6545" s="58" t="s">
        <v>250</v>
      </c>
      <c r="B6545" s="58" t="s">
        <v>176</v>
      </c>
      <c r="C6545" s="58">
        <v>1</v>
      </c>
      <c r="D6545" s="58">
        <v>104</v>
      </c>
      <c r="E6545" s="59">
        <v>953.5</v>
      </c>
    </row>
    <row r="6546" spans="1:5" ht="15" x14ac:dyDescent="0.35">
      <c r="A6546" s="58" t="s">
        <v>250</v>
      </c>
      <c r="B6546" s="58" t="s">
        <v>176</v>
      </c>
      <c r="C6546" s="58">
        <v>2</v>
      </c>
      <c r="D6546" s="58">
        <v>105</v>
      </c>
      <c r="E6546" s="59">
        <v>953.5</v>
      </c>
    </row>
    <row r="6547" spans="1:5" ht="15" x14ac:dyDescent="0.35">
      <c r="A6547" s="58" t="s">
        <v>250</v>
      </c>
      <c r="B6547" s="58" t="s">
        <v>176</v>
      </c>
      <c r="C6547" s="58">
        <v>3</v>
      </c>
      <c r="D6547" s="58">
        <v>106</v>
      </c>
      <c r="E6547" s="59">
        <v>953.5</v>
      </c>
    </row>
    <row r="6548" spans="1:5" ht="15" x14ac:dyDescent="0.35">
      <c r="A6548" s="58" t="s">
        <v>250</v>
      </c>
      <c r="B6548" s="58" t="s">
        <v>176</v>
      </c>
      <c r="C6548" s="58">
        <v>4</v>
      </c>
      <c r="D6548" s="58">
        <v>107</v>
      </c>
      <c r="E6548" s="59">
        <v>953.5</v>
      </c>
    </row>
    <row r="6549" spans="1:5" ht="15" x14ac:dyDescent="0.35">
      <c r="A6549" s="58" t="s">
        <v>250</v>
      </c>
      <c r="B6549" s="58" t="s">
        <v>176</v>
      </c>
      <c r="C6549" s="58">
        <v>5</v>
      </c>
      <c r="D6549" s="58">
        <v>108</v>
      </c>
      <c r="E6549" s="59">
        <v>953.5</v>
      </c>
    </row>
    <row r="6550" spans="1:5" ht="15" x14ac:dyDescent="0.35">
      <c r="A6550" s="58" t="s">
        <v>250</v>
      </c>
      <c r="B6550" s="58" t="s">
        <v>176</v>
      </c>
      <c r="C6550" s="58">
        <v>6</v>
      </c>
      <c r="D6550" s="58">
        <v>109</v>
      </c>
      <c r="E6550" s="59">
        <v>953.5</v>
      </c>
    </row>
    <row r="6551" spans="1:5" ht="15" x14ac:dyDescent="0.35">
      <c r="A6551" s="58" t="s">
        <v>250</v>
      </c>
      <c r="B6551" s="58" t="s">
        <v>176</v>
      </c>
      <c r="C6551" s="58">
        <v>7</v>
      </c>
      <c r="D6551" s="58">
        <v>110</v>
      </c>
      <c r="E6551" s="59">
        <v>953.5</v>
      </c>
    </row>
    <row r="6552" spans="1:5" ht="15" x14ac:dyDescent="0.35">
      <c r="A6552" s="58" t="s">
        <v>250</v>
      </c>
      <c r="B6552" s="58" t="s">
        <v>176</v>
      </c>
      <c r="C6552" s="58">
        <v>8</v>
      </c>
      <c r="D6552" s="58">
        <v>111</v>
      </c>
      <c r="E6552" s="59">
        <v>953.5</v>
      </c>
    </row>
    <row r="6553" spans="1:5" ht="15" x14ac:dyDescent="0.35">
      <c r="A6553" s="58" t="s">
        <v>250</v>
      </c>
      <c r="B6553" s="58" t="s">
        <v>176</v>
      </c>
      <c r="C6553" s="58">
        <v>9</v>
      </c>
      <c r="D6553" s="58">
        <v>112</v>
      </c>
      <c r="E6553" s="59">
        <v>953.5</v>
      </c>
    </row>
    <row r="6554" spans="1:5" ht="15" x14ac:dyDescent="0.35">
      <c r="A6554" s="58" t="s">
        <v>250</v>
      </c>
      <c r="B6554" s="58" t="s">
        <v>176</v>
      </c>
      <c r="C6554" s="58">
        <v>10</v>
      </c>
      <c r="D6554" s="58">
        <v>113</v>
      </c>
      <c r="E6554" s="59">
        <v>953.5</v>
      </c>
    </row>
    <row r="6555" spans="1:5" ht="15" x14ac:dyDescent="0.35">
      <c r="A6555" s="58" t="s">
        <v>250</v>
      </c>
      <c r="B6555" s="58" t="s">
        <v>176</v>
      </c>
      <c r="C6555" s="58">
        <v>11</v>
      </c>
      <c r="D6555" s="58">
        <v>114</v>
      </c>
      <c r="E6555" s="59">
        <v>953.5</v>
      </c>
    </row>
    <row r="6556" spans="1:5" ht="15" x14ac:dyDescent="0.35">
      <c r="A6556" s="58" t="s">
        <v>250</v>
      </c>
      <c r="B6556" s="58" t="s">
        <v>176</v>
      </c>
      <c r="C6556" s="58">
        <v>12</v>
      </c>
      <c r="D6556" s="58">
        <v>115</v>
      </c>
      <c r="E6556" s="59">
        <v>953.5</v>
      </c>
    </row>
    <row r="6557" spans="1:5" ht="15" x14ac:dyDescent="0.35">
      <c r="A6557" s="58" t="s">
        <v>250</v>
      </c>
      <c r="B6557" s="58" t="s">
        <v>172</v>
      </c>
      <c r="C6557" s="58">
        <v>1</v>
      </c>
      <c r="D6557" s="58">
        <v>104</v>
      </c>
      <c r="E6557" s="59">
        <v>1026</v>
      </c>
    </row>
    <row r="6558" spans="1:5" ht="15" x14ac:dyDescent="0.35">
      <c r="A6558" s="58" t="s">
        <v>250</v>
      </c>
      <c r="B6558" s="58" t="s">
        <v>172</v>
      </c>
      <c r="C6558" s="58">
        <v>2</v>
      </c>
      <c r="D6558" s="58">
        <v>105</v>
      </c>
      <c r="E6558" s="59">
        <v>1026</v>
      </c>
    </row>
    <row r="6559" spans="1:5" ht="15" x14ac:dyDescent="0.35">
      <c r="A6559" s="58" t="s">
        <v>250</v>
      </c>
      <c r="B6559" s="58" t="s">
        <v>172</v>
      </c>
      <c r="C6559" s="58">
        <v>3</v>
      </c>
      <c r="D6559" s="58">
        <v>106</v>
      </c>
      <c r="E6559" s="59">
        <v>1026</v>
      </c>
    </row>
    <row r="6560" spans="1:5" ht="15" x14ac:dyDescent="0.35">
      <c r="A6560" s="58" t="s">
        <v>250</v>
      </c>
      <c r="B6560" s="58" t="s">
        <v>172</v>
      </c>
      <c r="C6560" s="58">
        <v>4</v>
      </c>
      <c r="D6560" s="58">
        <v>107</v>
      </c>
      <c r="E6560" s="59">
        <v>1026</v>
      </c>
    </row>
    <row r="6561" spans="1:5" ht="15" x14ac:dyDescent="0.35">
      <c r="A6561" s="58" t="s">
        <v>250</v>
      </c>
      <c r="B6561" s="58" t="s">
        <v>172</v>
      </c>
      <c r="C6561" s="58">
        <v>5</v>
      </c>
      <c r="D6561" s="58">
        <v>108</v>
      </c>
      <c r="E6561" s="59">
        <v>1026</v>
      </c>
    </row>
    <row r="6562" spans="1:5" ht="15" x14ac:dyDescent="0.35">
      <c r="A6562" s="58" t="s">
        <v>250</v>
      </c>
      <c r="B6562" s="58" t="s">
        <v>172</v>
      </c>
      <c r="C6562" s="58">
        <v>6</v>
      </c>
      <c r="D6562" s="58">
        <v>109</v>
      </c>
      <c r="E6562" s="59">
        <v>1026</v>
      </c>
    </row>
    <row r="6563" spans="1:5" ht="15" x14ac:dyDescent="0.35">
      <c r="A6563" s="58" t="s">
        <v>250</v>
      </c>
      <c r="B6563" s="58" t="s">
        <v>172</v>
      </c>
      <c r="C6563" s="58">
        <v>7</v>
      </c>
      <c r="D6563" s="58">
        <v>110</v>
      </c>
      <c r="E6563" s="59">
        <v>1026</v>
      </c>
    </row>
    <row r="6564" spans="1:5" ht="15" x14ac:dyDescent="0.35">
      <c r="A6564" s="58" t="s">
        <v>250</v>
      </c>
      <c r="B6564" s="58" t="s">
        <v>172</v>
      </c>
      <c r="C6564" s="58">
        <v>8</v>
      </c>
      <c r="D6564" s="58">
        <v>111</v>
      </c>
      <c r="E6564" s="59">
        <v>1026</v>
      </c>
    </row>
    <row r="6565" spans="1:5" ht="15" x14ac:dyDescent="0.35">
      <c r="A6565" s="58" t="s">
        <v>250</v>
      </c>
      <c r="B6565" s="58" t="s">
        <v>172</v>
      </c>
      <c r="C6565" s="58">
        <v>9</v>
      </c>
      <c r="D6565" s="58">
        <v>112</v>
      </c>
      <c r="E6565" s="59">
        <v>1026</v>
      </c>
    </row>
    <row r="6566" spans="1:5" ht="15" x14ac:dyDescent="0.35">
      <c r="A6566" s="58" t="s">
        <v>250</v>
      </c>
      <c r="B6566" s="58" t="s">
        <v>172</v>
      </c>
      <c r="C6566" s="58">
        <v>10</v>
      </c>
      <c r="D6566" s="58">
        <v>113</v>
      </c>
      <c r="E6566" s="59">
        <v>1026</v>
      </c>
    </row>
    <row r="6567" spans="1:5" ht="15" x14ac:dyDescent="0.35">
      <c r="A6567" s="58" t="s">
        <v>250</v>
      </c>
      <c r="B6567" s="58" t="s">
        <v>172</v>
      </c>
      <c r="C6567" s="58">
        <v>11</v>
      </c>
      <c r="D6567" s="58">
        <v>114</v>
      </c>
      <c r="E6567" s="59">
        <v>1026</v>
      </c>
    </row>
    <row r="6568" spans="1:5" ht="15" x14ac:dyDescent="0.35">
      <c r="A6568" s="58" t="s">
        <v>250</v>
      </c>
      <c r="B6568" s="58" t="s">
        <v>172</v>
      </c>
      <c r="C6568" s="58">
        <v>12</v>
      </c>
      <c r="D6568" s="58">
        <v>115</v>
      </c>
      <c r="E6568" s="59">
        <v>1026</v>
      </c>
    </row>
    <row r="6569" spans="1:5" ht="15" x14ac:dyDescent="0.35">
      <c r="A6569" s="58" t="s">
        <v>250</v>
      </c>
      <c r="B6569" s="58" t="s">
        <v>180</v>
      </c>
      <c r="C6569" s="58">
        <v>1</v>
      </c>
      <c r="D6569" s="58">
        <v>104</v>
      </c>
      <c r="E6569" s="59">
        <v>1073.6276</v>
      </c>
    </row>
    <row r="6570" spans="1:5" ht="15" x14ac:dyDescent="0.35">
      <c r="A6570" s="58" t="s">
        <v>250</v>
      </c>
      <c r="B6570" s="58" t="s">
        <v>180</v>
      </c>
      <c r="C6570" s="58">
        <v>2</v>
      </c>
      <c r="D6570" s="58">
        <v>105</v>
      </c>
      <c r="E6570" s="59">
        <v>1073.6276</v>
      </c>
    </row>
    <row r="6571" spans="1:5" ht="15" x14ac:dyDescent="0.35">
      <c r="A6571" s="58" t="s">
        <v>250</v>
      </c>
      <c r="B6571" s="58" t="s">
        <v>180</v>
      </c>
      <c r="C6571" s="58">
        <v>3</v>
      </c>
      <c r="D6571" s="58">
        <v>106</v>
      </c>
      <c r="E6571" s="59">
        <v>1073.6276</v>
      </c>
    </row>
    <row r="6572" spans="1:5" ht="15" x14ac:dyDescent="0.35">
      <c r="A6572" s="58" t="s">
        <v>250</v>
      </c>
      <c r="B6572" s="58" t="s">
        <v>180</v>
      </c>
      <c r="C6572" s="58">
        <v>4</v>
      </c>
      <c r="D6572" s="58">
        <v>107</v>
      </c>
      <c r="E6572" s="59">
        <v>1073.6276</v>
      </c>
    </row>
    <row r="6573" spans="1:5" ht="15" x14ac:dyDescent="0.35">
      <c r="A6573" s="58" t="s">
        <v>250</v>
      </c>
      <c r="B6573" s="58" t="s">
        <v>180</v>
      </c>
      <c r="C6573" s="58">
        <v>5</v>
      </c>
      <c r="D6573" s="58">
        <v>108</v>
      </c>
      <c r="E6573" s="59">
        <v>1073.6276</v>
      </c>
    </row>
    <row r="6574" spans="1:5" ht="15" x14ac:dyDescent="0.35">
      <c r="A6574" s="58" t="s">
        <v>250</v>
      </c>
      <c r="B6574" s="58" t="s">
        <v>180</v>
      </c>
      <c r="C6574" s="58">
        <v>6</v>
      </c>
      <c r="D6574" s="58">
        <v>109</v>
      </c>
      <c r="E6574" s="59">
        <v>1073.6276</v>
      </c>
    </row>
    <row r="6575" spans="1:5" ht="15" x14ac:dyDescent="0.35">
      <c r="A6575" s="58" t="s">
        <v>250</v>
      </c>
      <c r="B6575" s="58" t="s">
        <v>180</v>
      </c>
      <c r="C6575" s="58">
        <v>7</v>
      </c>
      <c r="D6575" s="58">
        <v>110</v>
      </c>
      <c r="E6575" s="59">
        <v>1073.6276</v>
      </c>
    </row>
    <row r="6576" spans="1:5" ht="15" x14ac:dyDescent="0.35">
      <c r="A6576" s="58" t="s">
        <v>250</v>
      </c>
      <c r="B6576" s="58" t="s">
        <v>180</v>
      </c>
      <c r="C6576" s="58">
        <v>8</v>
      </c>
      <c r="D6576" s="58">
        <v>111</v>
      </c>
      <c r="E6576" s="59">
        <v>1073.6276</v>
      </c>
    </row>
    <row r="6577" spans="1:5" ht="15" x14ac:dyDescent="0.35">
      <c r="A6577" s="58" t="s">
        <v>250</v>
      </c>
      <c r="B6577" s="58" t="s">
        <v>180</v>
      </c>
      <c r="C6577" s="58">
        <v>9</v>
      </c>
      <c r="D6577" s="58">
        <v>112</v>
      </c>
      <c r="E6577" s="59">
        <v>1073.6276</v>
      </c>
    </row>
    <row r="6578" spans="1:5" ht="15" x14ac:dyDescent="0.35">
      <c r="A6578" s="58" t="s">
        <v>250</v>
      </c>
      <c r="B6578" s="58" t="s">
        <v>180</v>
      </c>
      <c r="C6578" s="58">
        <v>10</v>
      </c>
      <c r="D6578" s="58">
        <v>113</v>
      </c>
      <c r="E6578" s="59">
        <v>1073.6276</v>
      </c>
    </row>
    <row r="6579" spans="1:5" ht="15" x14ac:dyDescent="0.35">
      <c r="A6579" s="58" t="s">
        <v>250</v>
      </c>
      <c r="B6579" s="58" t="s">
        <v>180</v>
      </c>
      <c r="C6579" s="58">
        <v>11</v>
      </c>
      <c r="D6579" s="58">
        <v>114</v>
      </c>
      <c r="E6579" s="59">
        <v>1073.6276</v>
      </c>
    </row>
    <row r="6580" spans="1:5" ht="15" x14ac:dyDescent="0.35">
      <c r="A6580" s="58" t="s">
        <v>250</v>
      </c>
      <c r="B6580" s="58" t="s">
        <v>180</v>
      </c>
      <c r="C6580" s="58">
        <v>12</v>
      </c>
      <c r="D6580" s="58">
        <v>115</v>
      </c>
      <c r="E6580" s="59">
        <v>1073.6276</v>
      </c>
    </row>
    <row r="6581" spans="1:5" ht="15" x14ac:dyDescent="0.35">
      <c r="A6581" s="58" t="s">
        <v>274</v>
      </c>
      <c r="B6581" s="58" t="s">
        <v>182</v>
      </c>
      <c r="C6581" s="58">
        <v>1</v>
      </c>
      <c r="D6581" s="58">
        <v>104</v>
      </c>
      <c r="E6581" s="59">
        <v>670.99440000000004</v>
      </c>
    </row>
    <row r="6582" spans="1:5" ht="15" x14ac:dyDescent="0.35">
      <c r="A6582" s="58" t="s">
        <v>274</v>
      </c>
      <c r="B6582" s="58" t="s">
        <v>182</v>
      </c>
      <c r="C6582" s="58">
        <v>2</v>
      </c>
      <c r="D6582" s="58">
        <v>105</v>
      </c>
      <c r="E6582" s="59">
        <v>389.50549999999998</v>
      </c>
    </row>
    <row r="6583" spans="1:5" ht="15" x14ac:dyDescent="0.35">
      <c r="A6583" s="58" t="s">
        <v>274</v>
      </c>
      <c r="B6583" s="58" t="s">
        <v>182</v>
      </c>
      <c r="C6583" s="58">
        <v>3</v>
      </c>
      <c r="D6583" s="58">
        <v>106</v>
      </c>
      <c r="E6583" s="59">
        <v>336.43880000000001</v>
      </c>
    </row>
    <row r="6584" spans="1:5" ht="15" x14ac:dyDescent="0.35">
      <c r="A6584" s="58" t="s">
        <v>274</v>
      </c>
      <c r="B6584" s="58" t="s">
        <v>182</v>
      </c>
      <c r="C6584" s="58">
        <v>4</v>
      </c>
      <c r="D6584" s="58">
        <v>107</v>
      </c>
      <c r="E6584" s="59">
        <v>311.67689999999999</v>
      </c>
    </row>
    <row r="6585" spans="1:5" ht="15" x14ac:dyDescent="0.35">
      <c r="A6585" s="58" t="s">
        <v>274</v>
      </c>
      <c r="B6585" s="58" t="s">
        <v>182</v>
      </c>
      <c r="C6585" s="58">
        <v>5</v>
      </c>
      <c r="D6585" s="58">
        <v>108</v>
      </c>
      <c r="E6585" s="59">
        <v>290.35550000000001</v>
      </c>
    </row>
    <row r="6586" spans="1:5" ht="15" x14ac:dyDescent="0.35">
      <c r="A6586" s="58" t="s">
        <v>274</v>
      </c>
      <c r="B6586" s="58" t="s">
        <v>182</v>
      </c>
      <c r="C6586" s="58">
        <v>6</v>
      </c>
      <c r="D6586" s="58">
        <v>109</v>
      </c>
      <c r="E6586" s="59">
        <v>298.54989999999998</v>
      </c>
    </row>
    <row r="6587" spans="1:5" ht="15" x14ac:dyDescent="0.35">
      <c r="A6587" s="58" t="s">
        <v>274</v>
      </c>
      <c r="B6587" s="58" t="s">
        <v>182</v>
      </c>
      <c r="C6587" s="58">
        <v>7</v>
      </c>
      <c r="D6587" s="58">
        <v>110</v>
      </c>
      <c r="E6587" s="59">
        <v>165.7722</v>
      </c>
    </row>
    <row r="6588" spans="1:5" ht="15" x14ac:dyDescent="0.35">
      <c r="A6588" s="58" t="s">
        <v>274</v>
      </c>
      <c r="B6588" s="58" t="s">
        <v>182</v>
      </c>
      <c r="C6588" s="58">
        <v>8</v>
      </c>
      <c r="D6588" s="58">
        <v>111</v>
      </c>
      <c r="E6588" s="59">
        <v>122.7722</v>
      </c>
    </row>
    <row r="6589" spans="1:5" ht="15" x14ac:dyDescent="0.35">
      <c r="A6589" s="58" t="s">
        <v>274</v>
      </c>
      <c r="B6589" s="58" t="s">
        <v>182</v>
      </c>
      <c r="C6589" s="58">
        <v>9</v>
      </c>
      <c r="D6589" s="58">
        <v>112</v>
      </c>
      <c r="E6589" s="59">
        <v>133.6611</v>
      </c>
    </row>
    <row r="6590" spans="1:5" ht="15" x14ac:dyDescent="0.35">
      <c r="A6590" s="58" t="s">
        <v>274</v>
      </c>
      <c r="B6590" s="58" t="s">
        <v>182</v>
      </c>
      <c r="C6590" s="58">
        <v>10</v>
      </c>
      <c r="D6590" s="58">
        <v>113</v>
      </c>
      <c r="E6590" s="59">
        <v>161.32769999999999</v>
      </c>
    </row>
    <row r="6591" spans="1:5" ht="15" x14ac:dyDescent="0.35">
      <c r="A6591" s="58" t="s">
        <v>274</v>
      </c>
      <c r="B6591" s="58" t="s">
        <v>182</v>
      </c>
      <c r="C6591" s="58">
        <v>11</v>
      </c>
      <c r="D6591" s="58">
        <v>114</v>
      </c>
      <c r="E6591" s="59">
        <v>166.7722</v>
      </c>
    </row>
    <row r="6592" spans="1:5" ht="15" x14ac:dyDescent="0.35">
      <c r="A6592" s="58" t="s">
        <v>274</v>
      </c>
      <c r="B6592" s="58" t="s">
        <v>182</v>
      </c>
      <c r="C6592" s="58">
        <v>12</v>
      </c>
      <c r="D6592" s="58">
        <v>115</v>
      </c>
      <c r="E6592" s="59">
        <v>169.54990000000001</v>
      </c>
    </row>
    <row r="6593" spans="1:5" ht="15" x14ac:dyDescent="0.35">
      <c r="A6593" s="58" t="s">
        <v>274</v>
      </c>
      <c r="B6593" s="58" t="s">
        <v>176</v>
      </c>
      <c r="C6593" s="58">
        <v>1</v>
      </c>
      <c r="D6593" s="58">
        <v>104</v>
      </c>
      <c r="E6593" s="59">
        <v>580</v>
      </c>
    </row>
    <row r="6594" spans="1:5" ht="15" x14ac:dyDescent="0.35">
      <c r="A6594" s="58" t="s">
        <v>274</v>
      </c>
      <c r="B6594" s="58" t="s">
        <v>176</v>
      </c>
      <c r="C6594" s="58">
        <v>2</v>
      </c>
      <c r="D6594" s="58">
        <v>105</v>
      </c>
      <c r="E6594" s="59">
        <v>580</v>
      </c>
    </row>
    <row r="6595" spans="1:5" ht="15" x14ac:dyDescent="0.35">
      <c r="A6595" s="58" t="s">
        <v>274</v>
      </c>
      <c r="B6595" s="58" t="s">
        <v>176</v>
      </c>
      <c r="C6595" s="58">
        <v>3</v>
      </c>
      <c r="D6595" s="58">
        <v>106</v>
      </c>
      <c r="E6595" s="59">
        <v>580</v>
      </c>
    </row>
    <row r="6596" spans="1:5" ht="15" x14ac:dyDescent="0.35">
      <c r="A6596" s="58" t="s">
        <v>274</v>
      </c>
      <c r="B6596" s="58" t="s">
        <v>176</v>
      </c>
      <c r="C6596" s="58">
        <v>4</v>
      </c>
      <c r="D6596" s="58">
        <v>107</v>
      </c>
      <c r="E6596" s="59">
        <v>580</v>
      </c>
    </row>
    <row r="6597" spans="1:5" ht="15" x14ac:dyDescent="0.35">
      <c r="A6597" s="58" t="s">
        <v>274</v>
      </c>
      <c r="B6597" s="58" t="s">
        <v>176</v>
      </c>
      <c r="C6597" s="58">
        <v>5</v>
      </c>
      <c r="D6597" s="58">
        <v>108</v>
      </c>
      <c r="E6597" s="59">
        <v>580</v>
      </c>
    </row>
    <row r="6598" spans="1:5" ht="15" x14ac:dyDescent="0.35">
      <c r="A6598" s="58" t="s">
        <v>274</v>
      </c>
      <c r="B6598" s="58" t="s">
        <v>176</v>
      </c>
      <c r="C6598" s="58">
        <v>6</v>
      </c>
      <c r="D6598" s="58">
        <v>109</v>
      </c>
      <c r="E6598" s="59">
        <v>580</v>
      </c>
    </row>
    <row r="6599" spans="1:5" ht="15" x14ac:dyDescent="0.35">
      <c r="A6599" s="58" t="s">
        <v>274</v>
      </c>
      <c r="B6599" s="58" t="s">
        <v>176</v>
      </c>
      <c r="C6599" s="58">
        <v>7</v>
      </c>
      <c r="D6599" s="58">
        <v>110</v>
      </c>
      <c r="E6599" s="59">
        <v>580</v>
      </c>
    </row>
    <row r="6600" spans="1:5" ht="15" x14ac:dyDescent="0.35">
      <c r="A6600" s="58" t="s">
        <v>274</v>
      </c>
      <c r="B6600" s="58" t="s">
        <v>176</v>
      </c>
      <c r="C6600" s="58">
        <v>8</v>
      </c>
      <c r="D6600" s="58">
        <v>111</v>
      </c>
      <c r="E6600" s="59">
        <v>580</v>
      </c>
    </row>
    <row r="6601" spans="1:5" ht="15" x14ac:dyDescent="0.35">
      <c r="A6601" s="58" t="s">
        <v>274</v>
      </c>
      <c r="B6601" s="58" t="s">
        <v>176</v>
      </c>
      <c r="C6601" s="58">
        <v>9</v>
      </c>
      <c r="D6601" s="58">
        <v>112</v>
      </c>
      <c r="E6601" s="59">
        <v>580</v>
      </c>
    </row>
    <row r="6602" spans="1:5" ht="15" x14ac:dyDescent="0.35">
      <c r="A6602" s="58" t="s">
        <v>274</v>
      </c>
      <c r="B6602" s="58" t="s">
        <v>176</v>
      </c>
      <c r="C6602" s="58">
        <v>10</v>
      </c>
      <c r="D6602" s="58">
        <v>113</v>
      </c>
      <c r="E6602" s="59">
        <v>580</v>
      </c>
    </row>
    <row r="6603" spans="1:5" ht="15" x14ac:dyDescent="0.35">
      <c r="A6603" s="58" t="s">
        <v>274</v>
      </c>
      <c r="B6603" s="58" t="s">
        <v>176</v>
      </c>
      <c r="C6603" s="58">
        <v>11</v>
      </c>
      <c r="D6603" s="58">
        <v>114</v>
      </c>
      <c r="E6603" s="59">
        <v>580</v>
      </c>
    </row>
    <row r="6604" spans="1:5" ht="15" x14ac:dyDescent="0.35">
      <c r="A6604" s="58" t="s">
        <v>274</v>
      </c>
      <c r="B6604" s="58" t="s">
        <v>176</v>
      </c>
      <c r="C6604" s="58">
        <v>12</v>
      </c>
      <c r="D6604" s="58">
        <v>115</v>
      </c>
      <c r="E6604" s="59">
        <v>580</v>
      </c>
    </row>
    <row r="6605" spans="1:5" ht="15" x14ac:dyDescent="0.35">
      <c r="A6605" s="58" t="s">
        <v>274</v>
      </c>
      <c r="B6605" s="58" t="s">
        <v>172</v>
      </c>
      <c r="C6605" s="58">
        <v>1</v>
      </c>
      <c r="D6605" s="58">
        <v>104</v>
      </c>
      <c r="E6605" s="59">
        <v>567</v>
      </c>
    </row>
    <row r="6606" spans="1:5" ht="15" x14ac:dyDescent="0.35">
      <c r="A6606" s="58" t="s">
        <v>274</v>
      </c>
      <c r="B6606" s="58" t="s">
        <v>172</v>
      </c>
      <c r="C6606" s="58">
        <v>2</v>
      </c>
      <c r="D6606" s="58">
        <v>105</v>
      </c>
      <c r="E6606" s="59">
        <v>567</v>
      </c>
    </row>
    <row r="6607" spans="1:5" ht="15" x14ac:dyDescent="0.35">
      <c r="A6607" s="58" t="s">
        <v>274</v>
      </c>
      <c r="B6607" s="58" t="s">
        <v>172</v>
      </c>
      <c r="C6607" s="58">
        <v>3</v>
      </c>
      <c r="D6607" s="58">
        <v>106</v>
      </c>
      <c r="E6607" s="59">
        <v>567</v>
      </c>
    </row>
    <row r="6608" spans="1:5" ht="15" x14ac:dyDescent="0.35">
      <c r="A6608" s="58" t="s">
        <v>274</v>
      </c>
      <c r="B6608" s="58" t="s">
        <v>172</v>
      </c>
      <c r="C6608" s="58">
        <v>4</v>
      </c>
      <c r="D6608" s="58">
        <v>107</v>
      </c>
      <c r="E6608" s="59">
        <v>567</v>
      </c>
    </row>
    <row r="6609" spans="1:5" ht="15" x14ac:dyDescent="0.35">
      <c r="A6609" s="58" t="s">
        <v>274</v>
      </c>
      <c r="B6609" s="58" t="s">
        <v>172</v>
      </c>
      <c r="C6609" s="58">
        <v>5</v>
      </c>
      <c r="D6609" s="58">
        <v>108</v>
      </c>
      <c r="E6609" s="59">
        <v>567</v>
      </c>
    </row>
    <row r="6610" spans="1:5" ht="15" x14ac:dyDescent="0.35">
      <c r="A6610" s="58" t="s">
        <v>274</v>
      </c>
      <c r="B6610" s="58" t="s">
        <v>172</v>
      </c>
      <c r="C6610" s="58">
        <v>6</v>
      </c>
      <c r="D6610" s="58">
        <v>109</v>
      </c>
      <c r="E6610" s="59">
        <v>567</v>
      </c>
    </row>
    <row r="6611" spans="1:5" ht="15" x14ac:dyDescent="0.35">
      <c r="A6611" s="58" t="s">
        <v>274</v>
      </c>
      <c r="B6611" s="58" t="s">
        <v>172</v>
      </c>
      <c r="C6611" s="58">
        <v>7</v>
      </c>
      <c r="D6611" s="58">
        <v>110</v>
      </c>
      <c r="E6611" s="59">
        <v>567</v>
      </c>
    </row>
    <row r="6612" spans="1:5" ht="15" x14ac:dyDescent="0.35">
      <c r="A6612" s="58" t="s">
        <v>274</v>
      </c>
      <c r="B6612" s="58" t="s">
        <v>172</v>
      </c>
      <c r="C6612" s="58">
        <v>8</v>
      </c>
      <c r="D6612" s="58">
        <v>111</v>
      </c>
      <c r="E6612" s="59">
        <v>567</v>
      </c>
    </row>
    <row r="6613" spans="1:5" ht="15" x14ac:dyDescent="0.35">
      <c r="A6613" s="58" t="s">
        <v>274</v>
      </c>
      <c r="B6613" s="58" t="s">
        <v>172</v>
      </c>
      <c r="C6613" s="58">
        <v>9</v>
      </c>
      <c r="D6613" s="58">
        <v>112</v>
      </c>
      <c r="E6613" s="59">
        <v>567</v>
      </c>
    </row>
    <row r="6614" spans="1:5" ht="15" x14ac:dyDescent="0.35">
      <c r="A6614" s="58" t="s">
        <v>274</v>
      </c>
      <c r="B6614" s="58" t="s">
        <v>172</v>
      </c>
      <c r="C6614" s="58">
        <v>10</v>
      </c>
      <c r="D6614" s="58">
        <v>113</v>
      </c>
      <c r="E6614" s="59">
        <v>567</v>
      </c>
    </row>
    <row r="6615" spans="1:5" ht="15" x14ac:dyDescent="0.35">
      <c r="A6615" s="58" t="s">
        <v>274</v>
      </c>
      <c r="B6615" s="58" t="s">
        <v>172</v>
      </c>
      <c r="C6615" s="58">
        <v>11</v>
      </c>
      <c r="D6615" s="58">
        <v>114</v>
      </c>
      <c r="E6615" s="59">
        <v>567</v>
      </c>
    </row>
    <row r="6616" spans="1:5" ht="15" x14ac:dyDescent="0.35">
      <c r="A6616" s="58" t="s">
        <v>274</v>
      </c>
      <c r="B6616" s="58" t="s">
        <v>172</v>
      </c>
      <c r="C6616" s="58">
        <v>12</v>
      </c>
      <c r="D6616" s="58">
        <v>115</v>
      </c>
      <c r="E6616" s="59">
        <v>567</v>
      </c>
    </row>
    <row r="6617" spans="1:5" ht="15" x14ac:dyDescent="0.35">
      <c r="A6617" s="58" t="s">
        <v>274</v>
      </c>
      <c r="B6617" s="58" t="s">
        <v>180</v>
      </c>
      <c r="C6617" s="58">
        <v>1</v>
      </c>
      <c r="D6617" s="58">
        <v>104</v>
      </c>
      <c r="E6617" s="59">
        <v>632.65300000000002</v>
      </c>
    </row>
    <row r="6618" spans="1:5" ht="15" x14ac:dyDescent="0.35">
      <c r="A6618" s="58" t="s">
        <v>274</v>
      </c>
      <c r="B6618" s="58" t="s">
        <v>180</v>
      </c>
      <c r="C6618" s="58">
        <v>2</v>
      </c>
      <c r="D6618" s="58">
        <v>105</v>
      </c>
      <c r="E6618" s="59">
        <v>632.65300000000002</v>
      </c>
    </row>
    <row r="6619" spans="1:5" ht="15" x14ac:dyDescent="0.35">
      <c r="A6619" s="58" t="s">
        <v>274</v>
      </c>
      <c r="B6619" s="58" t="s">
        <v>180</v>
      </c>
      <c r="C6619" s="58">
        <v>3</v>
      </c>
      <c r="D6619" s="58">
        <v>106</v>
      </c>
      <c r="E6619" s="59">
        <v>632.65300000000002</v>
      </c>
    </row>
    <row r="6620" spans="1:5" ht="15" x14ac:dyDescent="0.35">
      <c r="A6620" s="58" t="s">
        <v>274</v>
      </c>
      <c r="B6620" s="58" t="s">
        <v>180</v>
      </c>
      <c r="C6620" s="58">
        <v>4</v>
      </c>
      <c r="D6620" s="58">
        <v>107</v>
      </c>
      <c r="E6620" s="59">
        <v>632.65300000000002</v>
      </c>
    </row>
    <row r="6621" spans="1:5" ht="15" x14ac:dyDescent="0.35">
      <c r="A6621" s="58" t="s">
        <v>274</v>
      </c>
      <c r="B6621" s="58" t="s">
        <v>180</v>
      </c>
      <c r="C6621" s="58">
        <v>5</v>
      </c>
      <c r="D6621" s="58">
        <v>108</v>
      </c>
      <c r="E6621" s="59">
        <v>632.65300000000002</v>
      </c>
    </row>
    <row r="6622" spans="1:5" ht="15" x14ac:dyDescent="0.35">
      <c r="A6622" s="58" t="s">
        <v>274</v>
      </c>
      <c r="B6622" s="58" t="s">
        <v>180</v>
      </c>
      <c r="C6622" s="58">
        <v>6</v>
      </c>
      <c r="D6622" s="58">
        <v>109</v>
      </c>
      <c r="E6622" s="59">
        <v>632.65300000000002</v>
      </c>
    </row>
    <row r="6623" spans="1:5" ht="15" x14ac:dyDescent="0.35">
      <c r="A6623" s="58" t="s">
        <v>274</v>
      </c>
      <c r="B6623" s="58" t="s">
        <v>180</v>
      </c>
      <c r="C6623" s="58">
        <v>7</v>
      </c>
      <c r="D6623" s="58">
        <v>110</v>
      </c>
      <c r="E6623" s="59">
        <v>632.65300000000002</v>
      </c>
    </row>
    <row r="6624" spans="1:5" ht="15" x14ac:dyDescent="0.35">
      <c r="A6624" s="58" t="s">
        <v>274</v>
      </c>
      <c r="B6624" s="58" t="s">
        <v>180</v>
      </c>
      <c r="C6624" s="58">
        <v>8</v>
      </c>
      <c r="D6624" s="58">
        <v>111</v>
      </c>
      <c r="E6624" s="59">
        <v>632.65300000000002</v>
      </c>
    </row>
    <row r="6625" spans="1:5" ht="15" x14ac:dyDescent="0.35">
      <c r="A6625" s="58" t="s">
        <v>274</v>
      </c>
      <c r="B6625" s="58" t="s">
        <v>180</v>
      </c>
      <c r="C6625" s="58">
        <v>9</v>
      </c>
      <c r="D6625" s="58">
        <v>112</v>
      </c>
      <c r="E6625" s="59">
        <v>632.65300000000002</v>
      </c>
    </row>
    <row r="6626" spans="1:5" ht="15" x14ac:dyDescent="0.35">
      <c r="A6626" s="58" t="s">
        <v>274</v>
      </c>
      <c r="B6626" s="58" t="s">
        <v>180</v>
      </c>
      <c r="C6626" s="58">
        <v>10</v>
      </c>
      <c r="D6626" s="58">
        <v>113</v>
      </c>
      <c r="E6626" s="59">
        <v>632.65300000000002</v>
      </c>
    </row>
    <row r="6627" spans="1:5" ht="15" x14ac:dyDescent="0.35">
      <c r="A6627" s="58" t="s">
        <v>274</v>
      </c>
      <c r="B6627" s="58" t="s">
        <v>180</v>
      </c>
      <c r="C6627" s="58">
        <v>11</v>
      </c>
      <c r="D6627" s="58">
        <v>114</v>
      </c>
      <c r="E6627" s="59">
        <v>632.65300000000002</v>
      </c>
    </row>
    <row r="6628" spans="1:5" ht="15" x14ac:dyDescent="0.35">
      <c r="A6628" s="58" t="s">
        <v>274</v>
      </c>
      <c r="B6628" s="58" t="s">
        <v>180</v>
      </c>
      <c r="C6628" s="58">
        <v>12</v>
      </c>
      <c r="D6628" s="58">
        <v>115</v>
      </c>
      <c r="E6628" s="59">
        <v>632.65300000000002</v>
      </c>
    </row>
    <row r="6629" spans="1:5" ht="15" x14ac:dyDescent="0.35">
      <c r="A6629" s="58" t="s">
        <v>331</v>
      </c>
      <c r="B6629" s="58" t="s">
        <v>182</v>
      </c>
      <c r="C6629" s="58">
        <v>1</v>
      </c>
      <c r="D6629" s="58">
        <v>104</v>
      </c>
      <c r="E6629" s="59">
        <v>173.60929999999999</v>
      </c>
    </row>
    <row r="6630" spans="1:5" ht="15" x14ac:dyDescent="0.35">
      <c r="A6630" s="58" t="s">
        <v>331</v>
      </c>
      <c r="B6630" s="58" t="s">
        <v>182</v>
      </c>
      <c r="C6630" s="58">
        <v>2</v>
      </c>
      <c r="D6630" s="58">
        <v>105</v>
      </c>
      <c r="E6630" s="59">
        <v>183.9426</v>
      </c>
    </row>
    <row r="6631" spans="1:5" ht="15" x14ac:dyDescent="0.35">
      <c r="A6631" s="58" t="s">
        <v>331</v>
      </c>
      <c r="B6631" s="58" t="s">
        <v>182</v>
      </c>
      <c r="C6631" s="58">
        <v>3</v>
      </c>
      <c r="D6631" s="58">
        <v>106</v>
      </c>
      <c r="E6631" s="59">
        <v>187.77600000000001</v>
      </c>
    </row>
    <row r="6632" spans="1:5" ht="15" x14ac:dyDescent="0.35">
      <c r="A6632" s="58" t="s">
        <v>331</v>
      </c>
      <c r="B6632" s="58" t="s">
        <v>182</v>
      </c>
      <c r="C6632" s="58">
        <v>4</v>
      </c>
      <c r="D6632" s="58">
        <v>107</v>
      </c>
      <c r="E6632" s="59">
        <v>187.9426</v>
      </c>
    </row>
    <row r="6633" spans="1:5" ht="15" x14ac:dyDescent="0.35">
      <c r="A6633" s="58" t="s">
        <v>331</v>
      </c>
      <c r="B6633" s="58" t="s">
        <v>182</v>
      </c>
      <c r="C6633" s="58">
        <v>5</v>
      </c>
      <c r="D6633" s="58">
        <v>108</v>
      </c>
      <c r="E6633" s="59">
        <v>190.1926</v>
      </c>
    </row>
    <row r="6634" spans="1:5" ht="15" x14ac:dyDescent="0.35">
      <c r="A6634" s="58" t="s">
        <v>331</v>
      </c>
      <c r="B6634" s="58" t="s">
        <v>182</v>
      </c>
      <c r="C6634" s="58">
        <v>6</v>
      </c>
      <c r="D6634" s="58">
        <v>109</v>
      </c>
      <c r="E6634" s="59">
        <v>182.83150000000001</v>
      </c>
    </row>
    <row r="6635" spans="1:5" ht="15" x14ac:dyDescent="0.35">
      <c r="A6635" s="58" t="s">
        <v>331</v>
      </c>
      <c r="B6635" s="58" t="s">
        <v>182</v>
      </c>
      <c r="C6635" s="58">
        <v>7</v>
      </c>
      <c r="D6635" s="58">
        <v>110</v>
      </c>
      <c r="E6635" s="59">
        <v>181.27600000000001</v>
      </c>
    </row>
    <row r="6636" spans="1:5" ht="15" x14ac:dyDescent="0.35">
      <c r="A6636" s="58" t="s">
        <v>331</v>
      </c>
      <c r="B6636" s="58" t="s">
        <v>182</v>
      </c>
      <c r="C6636" s="58">
        <v>8</v>
      </c>
      <c r="D6636" s="58">
        <v>111</v>
      </c>
      <c r="E6636" s="59">
        <v>171.72040000000001</v>
      </c>
    </row>
    <row r="6637" spans="1:5" ht="15" x14ac:dyDescent="0.35">
      <c r="A6637" s="58" t="s">
        <v>331</v>
      </c>
      <c r="B6637" s="58" t="s">
        <v>182</v>
      </c>
      <c r="C6637" s="58">
        <v>9</v>
      </c>
      <c r="D6637" s="58">
        <v>112</v>
      </c>
      <c r="E6637" s="59">
        <v>197.9426</v>
      </c>
    </row>
    <row r="6638" spans="1:5" ht="15" x14ac:dyDescent="0.35">
      <c r="A6638" s="58" t="s">
        <v>331</v>
      </c>
      <c r="B6638" s="58" t="s">
        <v>182</v>
      </c>
      <c r="C6638" s="58">
        <v>10</v>
      </c>
      <c r="D6638" s="58">
        <v>113</v>
      </c>
      <c r="E6638" s="59">
        <v>212.72040000000001</v>
      </c>
    </row>
    <row r="6639" spans="1:5" ht="15" x14ac:dyDescent="0.35">
      <c r="A6639" s="58" t="s">
        <v>331</v>
      </c>
      <c r="B6639" s="58" t="s">
        <v>182</v>
      </c>
      <c r="C6639" s="58">
        <v>11</v>
      </c>
      <c r="D6639" s="58">
        <v>114</v>
      </c>
      <c r="E6639" s="59">
        <v>191.72040000000001</v>
      </c>
    </row>
    <row r="6640" spans="1:5" ht="15" x14ac:dyDescent="0.35">
      <c r="A6640" s="58" t="s">
        <v>331</v>
      </c>
      <c r="B6640" s="58" t="s">
        <v>182</v>
      </c>
      <c r="C6640" s="58">
        <v>12</v>
      </c>
      <c r="D6640" s="58">
        <v>115</v>
      </c>
      <c r="E6640" s="59">
        <v>193.83150000000001</v>
      </c>
    </row>
    <row r="6641" spans="1:5" ht="15" x14ac:dyDescent="0.35">
      <c r="A6641" s="58" t="s">
        <v>331</v>
      </c>
      <c r="B6641" s="58" t="s">
        <v>176</v>
      </c>
      <c r="C6641" s="58">
        <v>1</v>
      </c>
      <c r="D6641" s="58">
        <v>104</v>
      </c>
      <c r="E6641" s="59">
        <v>180.25</v>
      </c>
    </row>
    <row r="6642" spans="1:5" ht="15" x14ac:dyDescent="0.35">
      <c r="A6642" s="58" t="s">
        <v>331</v>
      </c>
      <c r="B6642" s="58" t="s">
        <v>176</v>
      </c>
      <c r="C6642" s="58">
        <v>2</v>
      </c>
      <c r="D6642" s="58">
        <v>105</v>
      </c>
      <c r="E6642" s="59">
        <v>180.25</v>
      </c>
    </row>
    <row r="6643" spans="1:5" ht="15" x14ac:dyDescent="0.35">
      <c r="A6643" s="58" t="s">
        <v>331</v>
      </c>
      <c r="B6643" s="58" t="s">
        <v>176</v>
      </c>
      <c r="C6643" s="58">
        <v>3</v>
      </c>
      <c r="D6643" s="58">
        <v>106</v>
      </c>
      <c r="E6643" s="59">
        <v>180.25</v>
      </c>
    </row>
    <row r="6644" spans="1:5" ht="15" x14ac:dyDescent="0.35">
      <c r="A6644" s="58" t="s">
        <v>331</v>
      </c>
      <c r="B6644" s="58" t="s">
        <v>176</v>
      </c>
      <c r="C6644" s="58">
        <v>4</v>
      </c>
      <c r="D6644" s="58">
        <v>107</v>
      </c>
      <c r="E6644" s="59">
        <v>180.25</v>
      </c>
    </row>
    <row r="6645" spans="1:5" ht="15" x14ac:dyDescent="0.35">
      <c r="A6645" s="58" t="s">
        <v>331</v>
      </c>
      <c r="B6645" s="58" t="s">
        <v>176</v>
      </c>
      <c r="C6645" s="58">
        <v>5</v>
      </c>
      <c r="D6645" s="58">
        <v>108</v>
      </c>
      <c r="E6645" s="59">
        <v>180.25</v>
      </c>
    </row>
    <row r="6646" spans="1:5" ht="15" x14ac:dyDescent="0.35">
      <c r="A6646" s="58" t="s">
        <v>331</v>
      </c>
      <c r="B6646" s="58" t="s">
        <v>176</v>
      </c>
      <c r="C6646" s="58">
        <v>6</v>
      </c>
      <c r="D6646" s="58">
        <v>109</v>
      </c>
      <c r="E6646" s="59">
        <v>180.25</v>
      </c>
    </row>
    <row r="6647" spans="1:5" ht="15" x14ac:dyDescent="0.35">
      <c r="A6647" s="58" t="s">
        <v>331</v>
      </c>
      <c r="B6647" s="58" t="s">
        <v>176</v>
      </c>
      <c r="C6647" s="58">
        <v>7</v>
      </c>
      <c r="D6647" s="58">
        <v>110</v>
      </c>
      <c r="E6647" s="59">
        <v>180.25</v>
      </c>
    </row>
    <row r="6648" spans="1:5" ht="15" x14ac:dyDescent="0.35">
      <c r="A6648" s="58" t="s">
        <v>331</v>
      </c>
      <c r="B6648" s="58" t="s">
        <v>176</v>
      </c>
      <c r="C6648" s="58">
        <v>8</v>
      </c>
      <c r="D6648" s="58">
        <v>111</v>
      </c>
      <c r="E6648" s="59">
        <v>180.25</v>
      </c>
    </row>
    <row r="6649" spans="1:5" ht="15" x14ac:dyDescent="0.35">
      <c r="A6649" s="58" t="s">
        <v>331</v>
      </c>
      <c r="B6649" s="58" t="s">
        <v>176</v>
      </c>
      <c r="C6649" s="58">
        <v>9</v>
      </c>
      <c r="D6649" s="58">
        <v>112</v>
      </c>
      <c r="E6649" s="59">
        <v>180.25</v>
      </c>
    </row>
    <row r="6650" spans="1:5" ht="15" x14ac:dyDescent="0.35">
      <c r="A6650" s="58" t="s">
        <v>331</v>
      </c>
      <c r="B6650" s="58" t="s">
        <v>176</v>
      </c>
      <c r="C6650" s="58">
        <v>10</v>
      </c>
      <c r="D6650" s="58">
        <v>113</v>
      </c>
      <c r="E6650" s="59">
        <v>180.25</v>
      </c>
    </row>
    <row r="6651" spans="1:5" ht="15" x14ac:dyDescent="0.35">
      <c r="A6651" s="58" t="s">
        <v>331</v>
      </c>
      <c r="B6651" s="58" t="s">
        <v>176</v>
      </c>
      <c r="C6651" s="58">
        <v>11</v>
      </c>
      <c r="D6651" s="58">
        <v>114</v>
      </c>
      <c r="E6651" s="59">
        <v>180.25</v>
      </c>
    </row>
    <row r="6652" spans="1:5" ht="15" x14ac:dyDescent="0.35">
      <c r="A6652" s="58" t="s">
        <v>331</v>
      </c>
      <c r="B6652" s="58" t="s">
        <v>176</v>
      </c>
      <c r="C6652" s="58">
        <v>12</v>
      </c>
      <c r="D6652" s="58">
        <v>115</v>
      </c>
      <c r="E6652" s="59">
        <v>180.25</v>
      </c>
    </row>
    <row r="6653" spans="1:5" ht="15" x14ac:dyDescent="0.35">
      <c r="A6653" s="58" t="s">
        <v>331</v>
      </c>
      <c r="B6653" s="58" t="s">
        <v>172</v>
      </c>
      <c r="C6653" s="58">
        <v>1</v>
      </c>
      <c r="D6653" s="58">
        <v>104</v>
      </c>
      <c r="E6653" s="59">
        <v>62</v>
      </c>
    </row>
    <row r="6654" spans="1:5" ht="15" x14ac:dyDescent="0.35">
      <c r="A6654" s="58" t="s">
        <v>331</v>
      </c>
      <c r="B6654" s="58" t="s">
        <v>172</v>
      </c>
      <c r="C6654" s="58">
        <v>2</v>
      </c>
      <c r="D6654" s="58">
        <v>105</v>
      </c>
      <c r="E6654" s="59">
        <v>62</v>
      </c>
    </row>
    <row r="6655" spans="1:5" ht="15" x14ac:dyDescent="0.35">
      <c r="A6655" s="58" t="s">
        <v>331</v>
      </c>
      <c r="B6655" s="58" t="s">
        <v>172</v>
      </c>
      <c r="C6655" s="58">
        <v>3</v>
      </c>
      <c r="D6655" s="58">
        <v>106</v>
      </c>
      <c r="E6655" s="59">
        <v>62</v>
      </c>
    </row>
    <row r="6656" spans="1:5" ht="15" x14ac:dyDescent="0.35">
      <c r="A6656" s="58" t="s">
        <v>331</v>
      </c>
      <c r="B6656" s="58" t="s">
        <v>172</v>
      </c>
      <c r="C6656" s="58">
        <v>4</v>
      </c>
      <c r="D6656" s="58">
        <v>107</v>
      </c>
      <c r="E6656" s="59">
        <v>62</v>
      </c>
    </row>
    <row r="6657" spans="1:5" ht="15" x14ac:dyDescent="0.35">
      <c r="A6657" s="58" t="s">
        <v>331</v>
      </c>
      <c r="B6657" s="58" t="s">
        <v>172</v>
      </c>
      <c r="C6657" s="58">
        <v>5</v>
      </c>
      <c r="D6657" s="58">
        <v>108</v>
      </c>
      <c r="E6657" s="59">
        <v>62</v>
      </c>
    </row>
    <row r="6658" spans="1:5" ht="15" x14ac:dyDescent="0.35">
      <c r="A6658" s="58" t="s">
        <v>331</v>
      </c>
      <c r="B6658" s="58" t="s">
        <v>172</v>
      </c>
      <c r="C6658" s="58">
        <v>6</v>
      </c>
      <c r="D6658" s="58">
        <v>109</v>
      </c>
      <c r="E6658" s="59">
        <v>62</v>
      </c>
    </row>
    <row r="6659" spans="1:5" ht="15" x14ac:dyDescent="0.35">
      <c r="A6659" s="58" t="s">
        <v>331</v>
      </c>
      <c r="B6659" s="58" t="s">
        <v>172</v>
      </c>
      <c r="C6659" s="58">
        <v>7</v>
      </c>
      <c r="D6659" s="58">
        <v>110</v>
      </c>
      <c r="E6659" s="59">
        <v>62</v>
      </c>
    </row>
    <row r="6660" spans="1:5" ht="15" x14ac:dyDescent="0.35">
      <c r="A6660" s="58" t="s">
        <v>331</v>
      </c>
      <c r="B6660" s="58" t="s">
        <v>172</v>
      </c>
      <c r="C6660" s="58">
        <v>8</v>
      </c>
      <c r="D6660" s="58">
        <v>111</v>
      </c>
      <c r="E6660" s="59">
        <v>62</v>
      </c>
    </row>
    <row r="6661" spans="1:5" ht="15" x14ac:dyDescent="0.35">
      <c r="A6661" s="58" t="s">
        <v>331</v>
      </c>
      <c r="B6661" s="58" t="s">
        <v>172</v>
      </c>
      <c r="C6661" s="58">
        <v>9</v>
      </c>
      <c r="D6661" s="58">
        <v>112</v>
      </c>
      <c r="E6661" s="59">
        <v>62</v>
      </c>
    </row>
    <row r="6662" spans="1:5" ht="15" x14ac:dyDescent="0.35">
      <c r="A6662" s="58" t="s">
        <v>331</v>
      </c>
      <c r="B6662" s="58" t="s">
        <v>172</v>
      </c>
      <c r="C6662" s="58">
        <v>10</v>
      </c>
      <c r="D6662" s="58">
        <v>113</v>
      </c>
      <c r="E6662" s="59">
        <v>62</v>
      </c>
    </row>
    <row r="6663" spans="1:5" ht="15" x14ac:dyDescent="0.35">
      <c r="A6663" s="58" t="s">
        <v>331</v>
      </c>
      <c r="B6663" s="58" t="s">
        <v>172</v>
      </c>
      <c r="C6663" s="58">
        <v>11</v>
      </c>
      <c r="D6663" s="58">
        <v>114</v>
      </c>
      <c r="E6663" s="59">
        <v>62</v>
      </c>
    </row>
    <row r="6664" spans="1:5" ht="15" x14ac:dyDescent="0.35">
      <c r="A6664" s="58" t="s">
        <v>331</v>
      </c>
      <c r="B6664" s="58" t="s">
        <v>172</v>
      </c>
      <c r="C6664" s="58">
        <v>12</v>
      </c>
      <c r="D6664" s="58">
        <v>115</v>
      </c>
      <c r="E6664" s="59">
        <v>62</v>
      </c>
    </row>
    <row r="6665" spans="1:5" ht="15" x14ac:dyDescent="0.35">
      <c r="A6665" s="58" t="s">
        <v>331</v>
      </c>
      <c r="B6665" s="58" t="s">
        <v>180</v>
      </c>
      <c r="C6665" s="58">
        <v>1</v>
      </c>
      <c r="D6665" s="58">
        <v>104</v>
      </c>
      <c r="E6665" s="59">
        <v>203.44130000000001</v>
      </c>
    </row>
    <row r="6666" spans="1:5" ht="15" x14ac:dyDescent="0.35">
      <c r="A6666" s="58" t="s">
        <v>331</v>
      </c>
      <c r="B6666" s="58" t="s">
        <v>180</v>
      </c>
      <c r="C6666" s="58">
        <v>2</v>
      </c>
      <c r="D6666" s="58">
        <v>105</v>
      </c>
      <c r="E6666" s="59">
        <v>203.44130000000001</v>
      </c>
    </row>
    <row r="6667" spans="1:5" ht="15" x14ac:dyDescent="0.35">
      <c r="A6667" s="58" t="s">
        <v>331</v>
      </c>
      <c r="B6667" s="58" t="s">
        <v>180</v>
      </c>
      <c r="C6667" s="58">
        <v>3</v>
      </c>
      <c r="D6667" s="58">
        <v>106</v>
      </c>
      <c r="E6667" s="59">
        <v>203.44130000000001</v>
      </c>
    </row>
    <row r="6668" spans="1:5" ht="15" x14ac:dyDescent="0.35">
      <c r="A6668" s="58" t="s">
        <v>331</v>
      </c>
      <c r="B6668" s="58" t="s">
        <v>180</v>
      </c>
      <c r="C6668" s="58">
        <v>4</v>
      </c>
      <c r="D6668" s="58">
        <v>107</v>
      </c>
      <c r="E6668" s="59">
        <v>203.44130000000001</v>
      </c>
    </row>
    <row r="6669" spans="1:5" ht="15" x14ac:dyDescent="0.35">
      <c r="A6669" s="58" t="s">
        <v>331</v>
      </c>
      <c r="B6669" s="58" t="s">
        <v>180</v>
      </c>
      <c r="C6669" s="58">
        <v>5</v>
      </c>
      <c r="D6669" s="58">
        <v>108</v>
      </c>
      <c r="E6669" s="59">
        <v>203.44130000000001</v>
      </c>
    </row>
    <row r="6670" spans="1:5" ht="15" x14ac:dyDescent="0.35">
      <c r="A6670" s="58" t="s">
        <v>331</v>
      </c>
      <c r="B6670" s="58" t="s">
        <v>180</v>
      </c>
      <c r="C6670" s="58">
        <v>6</v>
      </c>
      <c r="D6670" s="58">
        <v>109</v>
      </c>
      <c r="E6670" s="59">
        <v>203.44130000000001</v>
      </c>
    </row>
    <row r="6671" spans="1:5" ht="15" x14ac:dyDescent="0.35">
      <c r="A6671" s="58" t="s">
        <v>331</v>
      </c>
      <c r="B6671" s="58" t="s">
        <v>180</v>
      </c>
      <c r="C6671" s="58">
        <v>7</v>
      </c>
      <c r="D6671" s="58">
        <v>110</v>
      </c>
      <c r="E6671" s="59">
        <v>203.44130000000001</v>
      </c>
    </row>
    <row r="6672" spans="1:5" ht="15" x14ac:dyDescent="0.35">
      <c r="A6672" s="58" t="s">
        <v>331</v>
      </c>
      <c r="B6672" s="58" t="s">
        <v>180</v>
      </c>
      <c r="C6672" s="58">
        <v>8</v>
      </c>
      <c r="D6672" s="58">
        <v>111</v>
      </c>
      <c r="E6672" s="59">
        <v>203.44130000000001</v>
      </c>
    </row>
    <row r="6673" spans="1:5" ht="15" x14ac:dyDescent="0.35">
      <c r="A6673" s="58" t="s">
        <v>331</v>
      </c>
      <c r="B6673" s="58" t="s">
        <v>180</v>
      </c>
      <c r="C6673" s="58">
        <v>9</v>
      </c>
      <c r="D6673" s="58">
        <v>112</v>
      </c>
      <c r="E6673" s="59">
        <v>203.44130000000001</v>
      </c>
    </row>
    <row r="6674" spans="1:5" ht="15" x14ac:dyDescent="0.35">
      <c r="A6674" s="58" t="s">
        <v>331</v>
      </c>
      <c r="B6674" s="58" t="s">
        <v>180</v>
      </c>
      <c r="C6674" s="58">
        <v>10</v>
      </c>
      <c r="D6674" s="58">
        <v>113</v>
      </c>
      <c r="E6674" s="59">
        <v>203.44130000000001</v>
      </c>
    </row>
    <row r="6675" spans="1:5" ht="15" x14ac:dyDescent="0.35">
      <c r="A6675" s="58" t="s">
        <v>331</v>
      </c>
      <c r="B6675" s="58" t="s">
        <v>180</v>
      </c>
      <c r="C6675" s="58">
        <v>11</v>
      </c>
      <c r="D6675" s="58">
        <v>114</v>
      </c>
      <c r="E6675" s="59">
        <v>203.44130000000001</v>
      </c>
    </row>
    <row r="6676" spans="1:5" ht="15" x14ac:dyDescent="0.35">
      <c r="A6676" s="58" t="s">
        <v>331</v>
      </c>
      <c r="B6676" s="58" t="s">
        <v>180</v>
      </c>
      <c r="C6676" s="58">
        <v>12</v>
      </c>
      <c r="D6676" s="58">
        <v>115</v>
      </c>
      <c r="E6676" s="59">
        <v>203.44130000000001</v>
      </c>
    </row>
    <row r="6677" spans="1:5" ht="15" x14ac:dyDescent="0.35">
      <c r="A6677" s="58" t="s">
        <v>389</v>
      </c>
      <c r="B6677" s="58" t="s">
        <v>182</v>
      </c>
      <c r="C6677" s="58">
        <v>1</v>
      </c>
      <c r="D6677" s="58">
        <v>104</v>
      </c>
      <c r="E6677" s="59">
        <v>41.6526</v>
      </c>
    </row>
    <row r="6678" spans="1:5" ht="15" x14ac:dyDescent="0.35">
      <c r="A6678" s="58" t="s">
        <v>389</v>
      </c>
      <c r="B6678" s="58" t="s">
        <v>182</v>
      </c>
      <c r="C6678" s="58">
        <v>2</v>
      </c>
      <c r="D6678" s="58">
        <v>105</v>
      </c>
      <c r="E6678" s="59">
        <v>43.119300000000003</v>
      </c>
    </row>
    <row r="6679" spans="1:5" ht="15" x14ac:dyDescent="0.35">
      <c r="A6679" s="58" t="s">
        <v>389</v>
      </c>
      <c r="B6679" s="58" t="s">
        <v>182</v>
      </c>
      <c r="C6679" s="58">
        <v>3</v>
      </c>
      <c r="D6679" s="58">
        <v>106</v>
      </c>
      <c r="E6679" s="59">
        <v>34.319299999999998</v>
      </c>
    </row>
    <row r="6680" spans="1:5" ht="15" x14ac:dyDescent="0.35">
      <c r="A6680" s="58" t="s">
        <v>389</v>
      </c>
      <c r="B6680" s="58" t="s">
        <v>182</v>
      </c>
      <c r="C6680" s="58">
        <v>4</v>
      </c>
      <c r="D6680" s="58">
        <v>107</v>
      </c>
      <c r="E6680" s="59">
        <v>27.605</v>
      </c>
    </row>
    <row r="6681" spans="1:5" ht="15" x14ac:dyDescent="0.35">
      <c r="A6681" s="58" t="s">
        <v>389</v>
      </c>
      <c r="B6681" s="58" t="s">
        <v>182</v>
      </c>
      <c r="C6681" s="58">
        <v>5</v>
      </c>
      <c r="D6681" s="58">
        <v>108</v>
      </c>
      <c r="E6681" s="59">
        <v>22.569299999999998</v>
      </c>
    </row>
    <row r="6682" spans="1:5" ht="15" x14ac:dyDescent="0.35">
      <c r="A6682" s="58" t="s">
        <v>389</v>
      </c>
      <c r="B6682" s="58" t="s">
        <v>182</v>
      </c>
      <c r="C6682" s="58">
        <v>6</v>
      </c>
      <c r="D6682" s="58">
        <v>109</v>
      </c>
      <c r="E6682" s="59">
        <v>18.6526</v>
      </c>
    </row>
    <row r="6683" spans="1:5" ht="15" x14ac:dyDescent="0.35">
      <c r="A6683" s="58" t="s">
        <v>389</v>
      </c>
      <c r="B6683" s="58" t="s">
        <v>182</v>
      </c>
      <c r="C6683" s="58">
        <v>7</v>
      </c>
      <c r="D6683" s="58">
        <v>110</v>
      </c>
      <c r="E6683" s="59">
        <v>11.2082</v>
      </c>
    </row>
    <row r="6684" spans="1:5" ht="15" x14ac:dyDescent="0.35">
      <c r="A6684" s="58" t="s">
        <v>389</v>
      </c>
      <c r="B6684" s="58" t="s">
        <v>182</v>
      </c>
      <c r="C6684" s="58">
        <v>8</v>
      </c>
      <c r="D6684" s="58">
        <v>111</v>
      </c>
      <c r="E6684" s="59">
        <v>0</v>
      </c>
    </row>
    <row r="6685" spans="1:5" ht="15" x14ac:dyDescent="0.35">
      <c r="A6685" s="58" t="s">
        <v>389</v>
      </c>
      <c r="B6685" s="58" t="s">
        <v>182</v>
      </c>
      <c r="C6685" s="58">
        <v>9</v>
      </c>
      <c r="D6685" s="58">
        <v>112</v>
      </c>
      <c r="E6685" s="59">
        <v>0</v>
      </c>
    </row>
    <row r="6686" spans="1:5" ht="15" x14ac:dyDescent="0.35">
      <c r="A6686" s="58" t="s">
        <v>389</v>
      </c>
      <c r="B6686" s="58" t="s">
        <v>182</v>
      </c>
      <c r="C6686" s="58">
        <v>10</v>
      </c>
      <c r="D6686" s="58">
        <v>113</v>
      </c>
      <c r="E6686" s="59">
        <v>0</v>
      </c>
    </row>
    <row r="6687" spans="1:5" ht="15" x14ac:dyDescent="0.35">
      <c r="A6687" s="58" t="s">
        <v>389</v>
      </c>
      <c r="B6687" s="58" t="s">
        <v>182</v>
      </c>
      <c r="C6687" s="58">
        <v>11</v>
      </c>
      <c r="D6687" s="58">
        <v>114</v>
      </c>
      <c r="E6687" s="59">
        <v>0</v>
      </c>
    </row>
    <row r="6688" spans="1:5" ht="15" x14ac:dyDescent="0.35">
      <c r="A6688" s="58" t="s">
        <v>389</v>
      </c>
      <c r="B6688" s="58" t="s">
        <v>182</v>
      </c>
      <c r="C6688" s="58">
        <v>12</v>
      </c>
      <c r="D6688" s="58">
        <v>115</v>
      </c>
      <c r="E6688" s="59">
        <v>0</v>
      </c>
    </row>
    <row r="6689" spans="1:5" ht="15" x14ac:dyDescent="0.35">
      <c r="A6689" s="58" t="s">
        <v>389</v>
      </c>
      <c r="B6689" s="58" t="s">
        <v>176</v>
      </c>
      <c r="C6689" s="58">
        <v>1</v>
      </c>
      <c r="D6689" s="58">
        <v>104</v>
      </c>
      <c r="E6689" s="59">
        <v>49</v>
      </c>
    </row>
    <row r="6690" spans="1:5" ht="15" x14ac:dyDescent="0.35">
      <c r="A6690" s="58" t="s">
        <v>389</v>
      </c>
      <c r="B6690" s="58" t="s">
        <v>176</v>
      </c>
      <c r="C6690" s="58">
        <v>2</v>
      </c>
      <c r="D6690" s="58">
        <v>105</v>
      </c>
      <c r="E6690" s="59">
        <v>49</v>
      </c>
    </row>
    <row r="6691" spans="1:5" ht="15" x14ac:dyDescent="0.35">
      <c r="A6691" s="58" t="s">
        <v>389</v>
      </c>
      <c r="B6691" s="58" t="s">
        <v>176</v>
      </c>
      <c r="C6691" s="58">
        <v>3</v>
      </c>
      <c r="D6691" s="58">
        <v>106</v>
      </c>
      <c r="E6691" s="59">
        <v>49</v>
      </c>
    </row>
    <row r="6692" spans="1:5" ht="15" x14ac:dyDescent="0.35">
      <c r="A6692" s="58" t="s">
        <v>389</v>
      </c>
      <c r="B6692" s="58" t="s">
        <v>176</v>
      </c>
      <c r="C6692" s="58">
        <v>4</v>
      </c>
      <c r="D6692" s="58">
        <v>107</v>
      </c>
      <c r="E6692" s="59">
        <v>49</v>
      </c>
    </row>
    <row r="6693" spans="1:5" ht="15" x14ac:dyDescent="0.35">
      <c r="A6693" s="58" t="s">
        <v>389</v>
      </c>
      <c r="B6693" s="58" t="s">
        <v>176</v>
      </c>
      <c r="C6693" s="58">
        <v>5</v>
      </c>
      <c r="D6693" s="58">
        <v>108</v>
      </c>
      <c r="E6693" s="59">
        <v>49</v>
      </c>
    </row>
    <row r="6694" spans="1:5" ht="15" x14ac:dyDescent="0.35">
      <c r="A6694" s="58" t="s">
        <v>389</v>
      </c>
      <c r="B6694" s="58" t="s">
        <v>176</v>
      </c>
      <c r="C6694" s="58">
        <v>6</v>
      </c>
      <c r="D6694" s="58">
        <v>109</v>
      </c>
      <c r="E6694" s="59">
        <v>49</v>
      </c>
    </row>
    <row r="6695" spans="1:5" ht="15" x14ac:dyDescent="0.35">
      <c r="A6695" s="58" t="s">
        <v>389</v>
      </c>
      <c r="B6695" s="58" t="s">
        <v>176</v>
      </c>
      <c r="C6695" s="58">
        <v>7</v>
      </c>
      <c r="D6695" s="58">
        <v>110</v>
      </c>
      <c r="E6695" s="59">
        <v>49</v>
      </c>
    </row>
    <row r="6696" spans="1:5" ht="15" x14ac:dyDescent="0.35">
      <c r="A6696" s="58" t="s">
        <v>389</v>
      </c>
      <c r="B6696" s="58" t="s">
        <v>176</v>
      </c>
      <c r="C6696" s="58">
        <v>8</v>
      </c>
      <c r="D6696" s="58">
        <v>111</v>
      </c>
      <c r="E6696" s="59">
        <v>49</v>
      </c>
    </row>
    <row r="6697" spans="1:5" ht="15" x14ac:dyDescent="0.35">
      <c r="A6697" s="58" t="s">
        <v>389</v>
      </c>
      <c r="B6697" s="58" t="s">
        <v>176</v>
      </c>
      <c r="C6697" s="58">
        <v>9</v>
      </c>
      <c r="D6697" s="58">
        <v>112</v>
      </c>
      <c r="E6697" s="59">
        <v>49</v>
      </c>
    </row>
    <row r="6698" spans="1:5" ht="15" x14ac:dyDescent="0.35">
      <c r="A6698" s="58" t="s">
        <v>389</v>
      </c>
      <c r="B6698" s="58" t="s">
        <v>176</v>
      </c>
      <c r="C6698" s="58">
        <v>10</v>
      </c>
      <c r="D6698" s="58">
        <v>113</v>
      </c>
      <c r="E6698" s="59">
        <v>49</v>
      </c>
    </row>
    <row r="6699" spans="1:5" ht="15" x14ac:dyDescent="0.35">
      <c r="A6699" s="58" t="s">
        <v>389</v>
      </c>
      <c r="B6699" s="58" t="s">
        <v>176</v>
      </c>
      <c r="C6699" s="58">
        <v>11</v>
      </c>
      <c r="D6699" s="58">
        <v>114</v>
      </c>
      <c r="E6699" s="59">
        <v>49</v>
      </c>
    </row>
    <row r="6700" spans="1:5" ht="15" x14ac:dyDescent="0.35">
      <c r="A6700" s="58" t="s">
        <v>389</v>
      </c>
      <c r="B6700" s="58" t="s">
        <v>176</v>
      </c>
      <c r="C6700" s="58">
        <v>12</v>
      </c>
      <c r="D6700" s="58">
        <v>115</v>
      </c>
      <c r="E6700" s="59">
        <v>49</v>
      </c>
    </row>
    <row r="6701" spans="1:5" ht="15" x14ac:dyDescent="0.35">
      <c r="A6701" s="58" t="s">
        <v>389</v>
      </c>
      <c r="B6701" s="58" t="s">
        <v>172</v>
      </c>
      <c r="C6701" s="58">
        <v>1</v>
      </c>
      <c r="D6701" s="58">
        <v>104</v>
      </c>
      <c r="E6701" s="59">
        <v>10</v>
      </c>
    </row>
    <row r="6702" spans="1:5" ht="15" x14ac:dyDescent="0.35">
      <c r="A6702" s="58" t="s">
        <v>389</v>
      </c>
      <c r="B6702" s="58" t="s">
        <v>172</v>
      </c>
      <c r="C6702" s="58">
        <v>2</v>
      </c>
      <c r="D6702" s="58">
        <v>105</v>
      </c>
      <c r="E6702" s="59">
        <v>10</v>
      </c>
    </row>
    <row r="6703" spans="1:5" ht="15" x14ac:dyDescent="0.35">
      <c r="A6703" s="58" t="s">
        <v>389</v>
      </c>
      <c r="B6703" s="58" t="s">
        <v>172</v>
      </c>
      <c r="C6703" s="58">
        <v>3</v>
      </c>
      <c r="D6703" s="58">
        <v>106</v>
      </c>
      <c r="E6703" s="59">
        <v>10</v>
      </c>
    </row>
    <row r="6704" spans="1:5" ht="15" x14ac:dyDescent="0.35">
      <c r="A6704" s="58" t="s">
        <v>389</v>
      </c>
      <c r="B6704" s="58" t="s">
        <v>172</v>
      </c>
      <c r="C6704" s="58">
        <v>4</v>
      </c>
      <c r="D6704" s="58">
        <v>107</v>
      </c>
      <c r="E6704" s="59">
        <v>10</v>
      </c>
    </row>
    <row r="6705" spans="1:5" ht="15" x14ac:dyDescent="0.35">
      <c r="A6705" s="58" t="s">
        <v>389</v>
      </c>
      <c r="B6705" s="58" t="s">
        <v>172</v>
      </c>
      <c r="C6705" s="58">
        <v>5</v>
      </c>
      <c r="D6705" s="58">
        <v>108</v>
      </c>
      <c r="E6705" s="59">
        <v>10</v>
      </c>
    </row>
    <row r="6706" spans="1:5" ht="15" x14ac:dyDescent="0.35">
      <c r="A6706" s="58" t="s">
        <v>389</v>
      </c>
      <c r="B6706" s="58" t="s">
        <v>172</v>
      </c>
      <c r="C6706" s="58">
        <v>6</v>
      </c>
      <c r="D6706" s="58">
        <v>109</v>
      </c>
      <c r="E6706" s="59">
        <v>10</v>
      </c>
    </row>
    <row r="6707" spans="1:5" ht="15" x14ac:dyDescent="0.35">
      <c r="A6707" s="58" t="s">
        <v>389</v>
      </c>
      <c r="B6707" s="58" t="s">
        <v>172</v>
      </c>
      <c r="C6707" s="58">
        <v>7</v>
      </c>
      <c r="D6707" s="58">
        <v>110</v>
      </c>
      <c r="E6707" s="59">
        <v>10</v>
      </c>
    </row>
    <row r="6708" spans="1:5" ht="15" x14ac:dyDescent="0.35">
      <c r="A6708" s="58" t="s">
        <v>389</v>
      </c>
      <c r="B6708" s="58" t="s">
        <v>172</v>
      </c>
      <c r="C6708" s="58">
        <v>8</v>
      </c>
      <c r="D6708" s="58">
        <v>111</v>
      </c>
      <c r="E6708" s="59">
        <v>10</v>
      </c>
    </row>
    <row r="6709" spans="1:5" ht="15" x14ac:dyDescent="0.35">
      <c r="A6709" s="58" t="s">
        <v>389</v>
      </c>
      <c r="B6709" s="58" t="s">
        <v>172</v>
      </c>
      <c r="C6709" s="58">
        <v>9</v>
      </c>
      <c r="D6709" s="58">
        <v>112</v>
      </c>
      <c r="E6709" s="59">
        <v>10</v>
      </c>
    </row>
    <row r="6710" spans="1:5" ht="15" x14ac:dyDescent="0.35">
      <c r="A6710" s="58" t="s">
        <v>389</v>
      </c>
      <c r="B6710" s="58" t="s">
        <v>172</v>
      </c>
      <c r="C6710" s="58">
        <v>10</v>
      </c>
      <c r="D6710" s="58">
        <v>113</v>
      </c>
      <c r="E6710" s="59">
        <v>10</v>
      </c>
    </row>
    <row r="6711" spans="1:5" ht="15" x14ac:dyDescent="0.35">
      <c r="A6711" s="58" t="s">
        <v>389</v>
      </c>
      <c r="B6711" s="58" t="s">
        <v>172</v>
      </c>
      <c r="C6711" s="58">
        <v>11</v>
      </c>
      <c r="D6711" s="58">
        <v>114</v>
      </c>
      <c r="E6711" s="59">
        <v>10</v>
      </c>
    </row>
    <row r="6712" spans="1:5" ht="15" x14ac:dyDescent="0.35">
      <c r="A6712" s="58" t="s">
        <v>389</v>
      </c>
      <c r="B6712" s="58" t="s">
        <v>172</v>
      </c>
      <c r="C6712" s="58">
        <v>12</v>
      </c>
      <c r="D6712" s="58">
        <v>115</v>
      </c>
      <c r="E6712" s="59">
        <v>10</v>
      </c>
    </row>
    <row r="6713" spans="1:5" ht="15" x14ac:dyDescent="0.35">
      <c r="A6713" s="58" t="s">
        <v>389</v>
      </c>
      <c r="B6713" s="58" t="s">
        <v>180</v>
      </c>
      <c r="C6713" s="58">
        <v>1</v>
      </c>
      <c r="D6713" s="58">
        <v>104</v>
      </c>
      <c r="E6713" s="59">
        <v>47.223100000000002</v>
      </c>
    </row>
    <row r="6714" spans="1:5" ht="15" x14ac:dyDescent="0.35">
      <c r="A6714" s="58" t="s">
        <v>389</v>
      </c>
      <c r="B6714" s="58" t="s">
        <v>180</v>
      </c>
      <c r="C6714" s="58">
        <v>2</v>
      </c>
      <c r="D6714" s="58">
        <v>105</v>
      </c>
      <c r="E6714" s="59">
        <v>47.223100000000002</v>
      </c>
    </row>
    <row r="6715" spans="1:5" ht="15" x14ac:dyDescent="0.35">
      <c r="A6715" s="58" t="s">
        <v>389</v>
      </c>
      <c r="B6715" s="58" t="s">
        <v>180</v>
      </c>
      <c r="C6715" s="58">
        <v>3</v>
      </c>
      <c r="D6715" s="58">
        <v>106</v>
      </c>
      <c r="E6715" s="59">
        <v>47.223100000000002</v>
      </c>
    </row>
    <row r="6716" spans="1:5" ht="15" x14ac:dyDescent="0.35">
      <c r="A6716" s="58" t="s">
        <v>389</v>
      </c>
      <c r="B6716" s="58" t="s">
        <v>180</v>
      </c>
      <c r="C6716" s="58">
        <v>4</v>
      </c>
      <c r="D6716" s="58">
        <v>107</v>
      </c>
      <c r="E6716" s="59">
        <v>47.223100000000002</v>
      </c>
    </row>
    <row r="6717" spans="1:5" ht="15" x14ac:dyDescent="0.35">
      <c r="A6717" s="58" t="s">
        <v>389</v>
      </c>
      <c r="B6717" s="58" t="s">
        <v>180</v>
      </c>
      <c r="C6717" s="58">
        <v>5</v>
      </c>
      <c r="D6717" s="58">
        <v>108</v>
      </c>
      <c r="E6717" s="59">
        <v>47.223100000000002</v>
      </c>
    </row>
    <row r="6718" spans="1:5" ht="15" x14ac:dyDescent="0.35">
      <c r="A6718" s="58" t="s">
        <v>389</v>
      </c>
      <c r="B6718" s="58" t="s">
        <v>180</v>
      </c>
      <c r="C6718" s="58">
        <v>6</v>
      </c>
      <c r="D6718" s="58">
        <v>109</v>
      </c>
      <c r="E6718" s="59">
        <v>47.223100000000002</v>
      </c>
    </row>
    <row r="6719" spans="1:5" ht="15" x14ac:dyDescent="0.35">
      <c r="A6719" s="58" t="s">
        <v>389</v>
      </c>
      <c r="B6719" s="58" t="s">
        <v>180</v>
      </c>
      <c r="C6719" s="58">
        <v>7</v>
      </c>
      <c r="D6719" s="58">
        <v>110</v>
      </c>
      <c r="E6719" s="59">
        <v>47.223100000000002</v>
      </c>
    </row>
    <row r="6720" spans="1:5" ht="15" x14ac:dyDescent="0.35">
      <c r="A6720" s="58" t="s">
        <v>389</v>
      </c>
      <c r="B6720" s="58" t="s">
        <v>180</v>
      </c>
      <c r="C6720" s="58">
        <v>8</v>
      </c>
      <c r="D6720" s="58">
        <v>111</v>
      </c>
      <c r="E6720" s="59">
        <v>47.223100000000002</v>
      </c>
    </row>
    <row r="6721" spans="1:5" ht="15" x14ac:dyDescent="0.35">
      <c r="A6721" s="58" t="s">
        <v>389</v>
      </c>
      <c r="B6721" s="58" t="s">
        <v>180</v>
      </c>
      <c r="C6721" s="58">
        <v>9</v>
      </c>
      <c r="D6721" s="58">
        <v>112</v>
      </c>
      <c r="E6721" s="59">
        <v>47.223100000000002</v>
      </c>
    </row>
    <row r="6722" spans="1:5" ht="15" x14ac:dyDescent="0.35">
      <c r="A6722" s="58" t="s">
        <v>389</v>
      </c>
      <c r="B6722" s="58" t="s">
        <v>180</v>
      </c>
      <c r="C6722" s="58">
        <v>10</v>
      </c>
      <c r="D6722" s="58">
        <v>113</v>
      </c>
      <c r="E6722" s="59">
        <v>47.223100000000002</v>
      </c>
    </row>
    <row r="6723" spans="1:5" ht="15" x14ac:dyDescent="0.35">
      <c r="A6723" s="58" t="s">
        <v>389</v>
      </c>
      <c r="B6723" s="58" t="s">
        <v>180</v>
      </c>
      <c r="C6723" s="58">
        <v>11</v>
      </c>
      <c r="D6723" s="58">
        <v>114</v>
      </c>
      <c r="E6723" s="59">
        <v>47.223100000000002</v>
      </c>
    </row>
    <row r="6724" spans="1:5" ht="15" x14ac:dyDescent="0.35">
      <c r="A6724" s="58" t="s">
        <v>389</v>
      </c>
      <c r="B6724" s="58" t="s">
        <v>180</v>
      </c>
      <c r="C6724" s="58">
        <v>12</v>
      </c>
      <c r="D6724" s="58">
        <v>115</v>
      </c>
      <c r="E6724" s="59">
        <v>47.223100000000002</v>
      </c>
    </row>
    <row r="6725" spans="1:5" ht="15" x14ac:dyDescent="0.35">
      <c r="A6725" s="58" t="s">
        <v>310</v>
      </c>
      <c r="B6725" s="58" t="s">
        <v>182</v>
      </c>
      <c r="C6725" s="58">
        <v>1</v>
      </c>
      <c r="D6725" s="58">
        <v>104</v>
      </c>
      <c r="E6725" s="59">
        <v>75.201400000000007</v>
      </c>
    </row>
    <row r="6726" spans="1:5" ht="15" x14ac:dyDescent="0.35">
      <c r="A6726" s="58" t="s">
        <v>310</v>
      </c>
      <c r="B6726" s="58" t="s">
        <v>182</v>
      </c>
      <c r="C6726" s="58">
        <v>2</v>
      </c>
      <c r="D6726" s="58">
        <v>105</v>
      </c>
      <c r="E6726" s="59">
        <v>110.15689999999999</v>
      </c>
    </row>
    <row r="6727" spans="1:5" ht="15" x14ac:dyDescent="0.35">
      <c r="A6727" s="58" t="s">
        <v>310</v>
      </c>
      <c r="B6727" s="58" t="s">
        <v>182</v>
      </c>
      <c r="C6727" s="58">
        <v>3</v>
      </c>
      <c r="D6727" s="58">
        <v>106</v>
      </c>
      <c r="E6727" s="59">
        <v>95.923599999999993</v>
      </c>
    </row>
    <row r="6728" spans="1:5" ht="15" x14ac:dyDescent="0.35">
      <c r="A6728" s="58" t="s">
        <v>310</v>
      </c>
      <c r="B6728" s="58" t="s">
        <v>182</v>
      </c>
      <c r="C6728" s="58">
        <v>4</v>
      </c>
      <c r="D6728" s="58">
        <v>107</v>
      </c>
      <c r="E6728" s="59">
        <v>87.899799999999999</v>
      </c>
    </row>
    <row r="6729" spans="1:5" ht="15" x14ac:dyDescent="0.35">
      <c r="A6729" s="58" t="s">
        <v>310</v>
      </c>
      <c r="B6729" s="58" t="s">
        <v>182</v>
      </c>
      <c r="C6729" s="58">
        <v>5</v>
      </c>
      <c r="D6729" s="58">
        <v>108</v>
      </c>
      <c r="E6729" s="59">
        <v>107.2569</v>
      </c>
    </row>
    <row r="6730" spans="1:5" ht="15" x14ac:dyDescent="0.35">
      <c r="A6730" s="58" t="s">
        <v>310</v>
      </c>
      <c r="B6730" s="58" t="s">
        <v>182</v>
      </c>
      <c r="C6730" s="58">
        <v>6</v>
      </c>
      <c r="D6730" s="58">
        <v>109</v>
      </c>
      <c r="E6730" s="59">
        <v>100.64579999999999</v>
      </c>
    </row>
    <row r="6731" spans="1:5" ht="15" x14ac:dyDescent="0.35">
      <c r="A6731" s="58" t="s">
        <v>310</v>
      </c>
      <c r="B6731" s="58" t="s">
        <v>182</v>
      </c>
      <c r="C6731" s="58">
        <v>7</v>
      </c>
      <c r="D6731" s="58">
        <v>110</v>
      </c>
      <c r="E6731" s="59">
        <v>94.201400000000007</v>
      </c>
    </row>
    <row r="6732" spans="1:5" ht="15" x14ac:dyDescent="0.35">
      <c r="A6732" s="58" t="s">
        <v>310</v>
      </c>
      <c r="B6732" s="58" t="s">
        <v>182</v>
      </c>
      <c r="C6732" s="58">
        <v>8</v>
      </c>
      <c r="D6732" s="58">
        <v>111</v>
      </c>
      <c r="E6732" s="59">
        <v>64.423599999999993</v>
      </c>
    </row>
    <row r="6733" spans="1:5" ht="15" x14ac:dyDescent="0.35">
      <c r="A6733" s="58" t="s">
        <v>310</v>
      </c>
      <c r="B6733" s="58" t="s">
        <v>182</v>
      </c>
      <c r="C6733" s="58">
        <v>9</v>
      </c>
      <c r="D6733" s="58">
        <v>112</v>
      </c>
      <c r="E6733" s="59">
        <v>75.645799999999994</v>
      </c>
    </row>
    <row r="6734" spans="1:5" ht="15" x14ac:dyDescent="0.35">
      <c r="A6734" s="58" t="s">
        <v>310</v>
      </c>
      <c r="B6734" s="58" t="s">
        <v>182</v>
      </c>
      <c r="C6734" s="58">
        <v>10</v>
      </c>
      <c r="D6734" s="58">
        <v>113</v>
      </c>
      <c r="E6734" s="59">
        <v>83.534700000000001</v>
      </c>
    </row>
    <row r="6735" spans="1:5" ht="15" x14ac:dyDescent="0.35">
      <c r="A6735" s="58" t="s">
        <v>310</v>
      </c>
      <c r="B6735" s="58" t="s">
        <v>182</v>
      </c>
      <c r="C6735" s="58">
        <v>11</v>
      </c>
      <c r="D6735" s="58">
        <v>114</v>
      </c>
      <c r="E6735" s="59">
        <v>70.979200000000006</v>
      </c>
    </row>
    <row r="6736" spans="1:5" ht="15" x14ac:dyDescent="0.35">
      <c r="A6736" s="58" t="s">
        <v>310</v>
      </c>
      <c r="B6736" s="58" t="s">
        <v>182</v>
      </c>
      <c r="C6736" s="58">
        <v>12</v>
      </c>
      <c r="D6736" s="58">
        <v>115</v>
      </c>
      <c r="E6736" s="59">
        <v>75.756900000000002</v>
      </c>
    </row>
    <row r="6737" spans="1:5" ht="15" x14ac:dyDescent="0.35">
      <c r="A6737" s="58" t="s">
        <v>310</v>
      </c>
      <c r="B6737" s="58" t="s">
        <v>176</v>
      </c>
      <c r="C6737" s="58">
        <v>1</v>
      </c>
      <c r="D6737" s="58">
        <v>104</v>
      </c>
      <c r="E6737" s="59">
        <v>94.25</v>
      </c>
    </row>
    <row r="6738" spans="1:5" ht="15" x14ac:dyDescent="0.35">
      <c r="A6738" s="58" t="s">
        <v>310</v>
      </c>
      <c r="B6738" s="58" t="s">
        <v>176</v>
      </c>
      <c r="C6738" s="58">
        <v>2</v>
      </c>
      <c r="D6738" s="58">
        <v>105</v>
      </c>
      <c r="E6738" s="59">
        <v>94.25</v>
      </c>
    </row>
    <row r="6739" spans="1:5" ht="15" x14ac:dyDescent="0.35">
      <c r="A6739" s="58" t="s">
        <v>310</v>
      </c>
      <c r="B6739" s="58" t="s">
        <v>176</v>
      </c>
      <c r="C6739" s="58">
        <v>3</v>
      </c>
      <c r="D6739" s="58">
        <v>106</v>
      </c>
      <c r="E6739" s="59">
        <v>94.25</v>
      </c>
    </row>
    <row r="6740" spans="1:5" ht="15" x14ac:dyDescent="0.35">
      <c r="A6740" s="58" t="s">
        <v>310</v>
      </c>
      <c r="B6740" s="58" t="s">
        <v>176</v>
      </c>
      <c r="C6740" s="58">
        <v>4</v>
      </c>
      <c r="D6740" s="58">
        <v>107</v>
      </c>
      <c r="E6740" s="59">
        <v>94.25</v>
      </c>
    </row>
    <row r="6741" spans="1:5" ht="15" x14ac:dyDescent="0.35">
      <c r="A6741" s="58" t="s">
        <v>310</v>
      </c>
      <c r="B6741" s="58" t="s">
        <v>176</v>
      </c>
      <c r="C6741" s="58">
        <v>5</v>
      </c>
      <c r="D6741" s="58">
        <v>108</v>
      </c>
      <c r="E6741" s="59">
        <v>94.25</v>
      </c>
    </row>
    <row r="6742" spans="1:5" ht="15" x14ac:dyDescent="0.35">
      <c r="A6742" s="58" t="s">
        <v>310</v>
      </c>
      <c r="B6742" s="58" t="s">
        <v>176</v>
      </c>
      <c r="C6742" s="58">
        <v>6</v>
      </c>
      <c r="D6742" s="58">
        <v>109</v>
      </c>
      <c r="E6742" s="59">
        <v>94.25</v>
      </c>
    </row>
    <row r="6743" spans="1:5" ht="15" x14ac:dyDescent="0.35">
      <c r="A6743" s="58" t="s">
        <v>310</v>
      </c>
      <c r="B6743" s="58" t="s">
        <v>176</v>
      </c>
      <c r="C6743" s="58">
        <v>7</v>
      </c>
      <c r="D6743" s="58">
        <v>110</v>
      </c>
      <c r="E6743" s="59">
        <v>94.25</v>
      </c>
    </row>
    <row r="6744" spans="1:5" ht="15" x14ac:dyDescent="0.35">
      <c r="A6744" s="58" t="s">
        <v>310</v>
      </c>
      <c r="B6744" s="58" t="s">
        <v>176</v>
      </c>
      <c r="C6744" s="58">
        <v>8</v>
      </c>
      <c r="D6744" s="58">
        <v>111</v>
      </c>
      <c r="E6744" s="59">
        <v>94.25</v>
      </c>
    </row>
    <row r="6745" spans="1:5" ht="15" x14ac:dyDescent="0.35">
      <c r="A6745" s="58" t="s">
        <v>310</v>
      </c>
      <c r="B6745" s="58" t="s">
        <v>176</v>
      </c>
      <c r="C6745" s="58">
        <v>9</v>
      </c>
      <c r="D6745" s="58">
        <v>112</v>
      </c>
      <c r="E6745" s="59">
        <v>94.25</v>
      </c>
    </row>
    <row r="6746" spans="1:5" ht="15" x14ac:dyDescent="0.35">
      <c r="A6746" s="58" t="s">
        <v>310</v>
      </c>
      <c r="B6746" s="58" t="s">
        <v>176</v>
      </c>
      <c r="C6746" s="58">
        <v>10</v>
      </c>
      <c r="D6746" s="58">
        <v>113</v>
      </c>
      <c r="E6746" s="59">
        <v>94.25</v>
      </c>
    </row>
    <row r="6747" spans="1:5" ht="15" x14ac:dyDescent="0.35">
      <c r="A6747" s="58" t="s">
        <v>310</v>
      </c>
      <c r="B6747" s="58" t="s">
        <v>176</v>
      </c>
      <c r="C6747" s="58">
        <v>11</v>
      </c>
      <c r="D6747" s="58">
        <v>114</v>
      </c>
      <c r="E6747" s="59">
        <v>94.25</v>
      </c>
    </row>
    <row r="6748" spans="1:5" ht="15" x14ac:dyDescent="0.35">
      <c r="A6748" s="58" t="s">
        <v>310</v>
      </c>
      <c r="B6748" s="58" t="s">
        <v>176</v>
      </c>
      <c r="C6748" s="58">
        <v>12</v>
      </c>
      <c r="D6748" s="58">
        <v>115</v>
      </c>
      <c r="E6748" s="59">
        <v>94.25</v>
      </c>
    </row>
    <row r="6749" spans="1:5" ht="15" x14ac:dyDescent="0.35">
      <c r="A6749" s="58" t="s">
        <v>310</v>
      </c>
      <c r="B6749" s="58" t="s">
        <v>172</v>
      </c>
      <c r="C6749" s="58">
        <v>1</v>
      </c>
      <c r="D6749" s="58">
        <v>104</v>
      </c>
      <c r="E6749" s="59">
        <v>101</v>
      </c>
    </row>
    <row r="6750" spans="1:5" ht="15" x14ac:dyDescent="0.35">
      <c r="A6750" s="58" t="s">
        <v>310</v>
      </c>
      <c r="B6750" s="58" t="s">
        <v>172</v>
      </c>
      <c r="C6750" s="58">
        <v>2</v>
      </c>
      <c r="D6750" s="58">
        <v>105</v>
      </c>
      <c r="E6750" s="59">
        <v>101</v>
      </c>
    </row>
    <row r="6751" spans="1:5" ht="15" x14ac:dyDescent="0.35">
      <c r="A6751" s="58" t="s">
        <v>310</v>
      </c>
      <c r="B6751" s="58" t="s">
        <v>172</v>
      </c>
      <c r="C6751" s="58">
        <v>3</v>
      </c>
      <c r="D6751" s="58">
        <v>106</v>
      </c>
      <c r="E6751" s="59">
        <v>101</v>
      </c>
    </row>
    <row r="6752" spans="1:5" ht="15" x14ac:dyDescent="0.35">
      <c r="A6752" s="58" t="s">
        <v>310</v>
      </c>
      <c r="B6752" s="58" t="s">
        <v>172</v>
      </c>
      <c r="C6752" s="58">
        <v>4</v>
      </c>
      <c r="D6752" s="58">
        <v>107</v>
      </c>
      <c r="E6752" s="59">
        <v>101</v>
      </c>
    </row>
    <row r="6753" spans="1:5" ht="15" x14ac:dyDescent="0.35">
      <c r="A6753" s="58" t="s">
        <v>310</v>
      </c>
      <c r="B6753" s="58" t="s">
        <v>172</v>
      </c>
      <c r="C6753" s="58">
        <v>5</v>
      </c>
      <c r="D6753" s="58">
        <v>108</v>
      </c>
      <c r="E6753" s="59">
        <v>101</v>
      </c>
    </row>
    <row r="6754" spans="1:5" ht="15" x14ac:dyDescent="0.35">
      <c r="A6754" s="58" t="s">
        <v>310</v>
      </c>
      <c r="B6754" s="58" t="s">
        <v>172</v>
      </c>
      <c r="C6754" s="58">
        <v>6</v>
      </c>
      <c r="D6754" s="58">
        <v>109</v>
      </c>
      <c r="E6754" s="59">
        <v>101</v>
      </c>
    </row>
    <row r="6755" spans="1:5" ht="15" x14ac:dyDescent="0.35">
      <c r="A6755" s="58" t="s">
        <v>310</v>
      </c>
      <c r="B6755" s="58" t="s">
        <v>172</v>
      </c>
      <c r="C6755" s="58">
        <v>7</v>
      </c>
      <c r="D6755" s="58">
        <v>110</v>
      </c>
      <c r="E6755" s="59">
        <v>101</v>
      </c>
    </row>
    <row r="6756" spans="1:5" ht="15" x14ac:dyDescent="0.35">
      <c r="A6756" s="58" t="s">
        <v>310</v>
      </c>
      <c r="B6756" s="58" t="s">
        <v>172</v>
      </c>
      <c r="C6756" s="58">
        <v>8</v>
      </c>
      <c r="D6756" s="58">
        <v>111</v>
      </c>
      <c r="E6756" s="59">
        <v>101</v>
      </c>
    </row>
    <row r="6757" spans="1:5" ht="15" x14ac:dyDescent="0.35">
      <c r="A6757" s="58" t="s">
        <v>310</v>
      </c>
      <c r="B6757" s="58" t="s">
        <v>172</v>
      </c>
      <c r="C6757" s="58">
        <v>9</v>
      </c>
      <c r="D6757" s="58">
        <v>112</v>
      </c>
      <c r="E6757" s="59">
        <v>101</v>
      </c>
    </row>
    <row r="6758" spans="1:5" ht="15" x14ac:dyDescent="0.35">
      <c r="A6758" s="58" t="s">
        <v>310</v>
      </c>
      <c r="B6758" s="58" t="s">
        <v>172</v>
      </c>
      <c r="C6758" s="58">
        <v>10</v>
      </c>
      <c r="D6758" s="58">
        <v>113</v>
      </c>
      <c r="E6758" s="59">
        <v>101</v>
      </c>
    </row>
    <row r="6759" spans="1:5" ht="15" x14ac:dyDescent="0.35">
      <c r="A6759" s="58" t="s">
        <v>310</v>
      </c>
      <c r="B6759" s="58" t="s">
        <v>172</v>
      </c>
      <c r="C6759" s="58">
        <v>11</v>
      </c>
      <c r="D6759" s="58">
        <v>114</v>
      </c>
      <c r="E6759" s="59">
        <v>101</v>
      </c>
    </row>
    <row r="6760" spans="1:5" ht="15" x14ac:dyDescent="0.35">
      <c r="A6760" s="58" t="s">
        <v>310</v>
      </c>
      <c r="B6760" s="58" t="s">
        <v>172</v>
      </c>
      <c r="C6760" s="58">
        <v>12</v>
      </c>
      <c r="D6760" s="58">
        <v>115</v>
      </c>
      <c r="E6760" s="59">
        <v>101</v>
      </c>
    </row>
    <row r="6761" spans="1:5" ht="15" x14ac:dyDescent="0.35">
      <c r="A6761" s="58" t="s">
        <v>310</v>
      </c>
      <c r="B6761" s="58" t="s">
        <v>180</v>
      </c>
      <c r="C6761" s="58">
        <v>1</v>
      </c>
      <c r="D6761" s="58">
        <v>104</v>
      </c>
      <c r="E6761" s="59">
        <v>83.253500000000003</v>
      </c>
    </row>
    <row r="6762" spans="1:5" ht="15" x14ac:dyDescent="0.35">
      <c r="A6762" s="58" t="s">
        <v>310</v>
      </c>
      <c r="B6762" s="58" t="s">
        <v>180</v>
      </c>
      <c r="C6762" s="58">
        <v>2</v>
      </c>
      <c r="D6762" s="58">
        <v>105</v>
      </c>
      <c r="E6762" s="59">
        <v>83.253500000000003</v>
      </c>
    </row>
    <row r="6763" spans="1:5" ht="15" x14ac:dyDescent="0.35">
      <c r="A6763" s="58" t="s">
        <v>310</v>
      </c>
      <c r="B6763" s="58" t="s">
        <v>180</v>
      </c>
      <c r="C6763" s="58">
        <v>3</v>
      </c>
      <c r="D6763" s="58">
        <v>106</v>
      </c>
      <c r="E6763" s="59">
        <v>83.253500000000003</v>
      </c>
    </row>
    <row r="6764" spans="1:5" ht="15" x14ac:dyDescent="0.35">
      <c r="A6764" s="58" t="s">
        <v>310</v>
      </c>
      <c r="B6764" s="58" t="s">
        <v>180</v>
      </c>
      <c r="C6764" s="58">
        <v>4</v>
      </c>
      <c r="D6764" s="58">
        <v>107</v>
      </c>
      <c r="E6764" s="59">
        <v>83.253500000000003</v>
      </c>
    </row>
    <row r="6765" spans="1:5" ht="15" x14ac:dyDescent="0.35">
      <c r="A6765" s="58" t="s">
        <v>310</v>
      </c>
      <c r="B6765" s="58" t="s">
        <v>180</v>
      </c>
      <c r="C6765" s="58">
        <v>5</v>
      </c>
      <c r="D6765" s="58">
        <v>108</v>
      </c>
      <c r="E6765" s="59">
        <v>83.253500000000003</v>
      </c>
    </row>
    <row r="6766" spans="1:5" ht="15" x14ac:dyDescent="0.35">
      <c r="A6766" s="58" t="s">
        <v>310</v>
      </c>
      <c r="B6766" s="58" t="s">
        <v>180</v>
      </c>
      <c r="C6766" s="58">
        <v>6</v>
      </c>
      <c r="D6766" s="58">
        <v>109</v>
      </c>
      <c r="E6766" s="59">
        <v>83.253500000000003</v>
      </c>
    </row>
    <row r="6767" spans="1:5" ht="15" x14ac:dyDescent="0.35">
      <c r="A6767" s="58" t="s">
        <v>310</v>
      </c>
      <c r="B6767" s="58" t="s">
        <v>180</v>
      </c>
      <c r="C6767" s="58">
        <v>7</v>
      </c>
      <c r="D6767" s="58">
        <v>110</v>
      </c>
      <c r="E6767" s="59">
        <v>83.253500000000003</v>
      </c>
    </row>
    <row r="6768" spans="1:5" ht="15" x14ac:dyDescent="0.35">
      <c r="A6768" s="58" t="s">
        <v>310</v>
      </c>
      <c r="B6768" s="58" t="s">
        <v>180</v>
      </c>
      <c r="C6768" s="58">
        <v>8</v>
      </c>
      <c r="D6768" s="58">
        <v>111</v>
      </c>
      <c r="E6768" s="59">
        <v>83.253500000000003</v>
      </c>
    </row>
    <row r="6769" spans="1:5" ht="15" x14ac:dyDescent="0.35">
      <c r="A6769" s="58" t="s">
        <v>310</v>
      </c>
      <c r="B6769" s="58" t="s">
        <v>180</v>
      </c>
      <c r="C6769" s="58">
        <v>9</v>
      </c>
      <c r="D6769" s="58">
        <v>112</v>
      </c>
      <c r="E6769" s="59">
        <v>83.253500000000003</v>
      </c>
    </row>
    <row r="6770" spans="1:5" ht="15" x14ac:dyDescent="0.35">
      <c r="A6770" s="58" t="s">
        <v>310</v>
      </c>
      <c r="B6770" s="58" t="s">
        <v>180</v>
      </c>
      <c r="C6770" s="58">
        <v>10</v>
      </c>
      <c r="D6770" s="58">
        <v>113</v>
      </c>
      <c r="E6770" s="59">
        <v>83.253500000000003</v>
      </c>
    </row>
    <row r="6771" spans="1:5" ht="15" x14ac:dyDescent="0.35">
      <c r="A6771" s="58" t="s">
        <v>310</v>
      </c>
      <c r="B6771" s="58" t="s">
        <v>180</v>
      </c>
      <c r="C6771" s="58">
        <v>11</v>
      </c>
      <c r="D6771" s="58">
        <v>114</v>
      </c>
      <c r="E6771" s="59">
        <v>83.253500000000003</v>
      </c>
    </row>
    <row r="6772" spans="1:5" ht="15" x14ac:dyDescent="0.35">
      <c r="A6772" s="58" t="s">
        <v>310</v>
      </c>
      <c r="B6772" s="58" t="s">
        <v>180</v>
      </c>
      <c r="C6772" s="58">
        <v>12</v>
      </c>
      <c r="D6772" s="58">
        <v>115</v>
      </c>
      <c r="E6772" s="59">
        <v>83.253500000000003</v>
      </c>
    </row>
    <row r="6773" spans="1:5" ht="15" x14ac:dyDescent="0.35">
      <c r="A6773" s="58" t="s">
        <v>323</v>
      </c>
      <c r="B6773" s="58" t="s">
        <v>182</v>
      </c>
      <c r="C6773" s="58">
        <v>1</v>
      </c>
      <c r="D6773" s="58">
        <v>104</v>
      </c>
      <c r="E6773" s="59">
        <v>58.856999999999999</v>
      </c>
    </row>
    <row r="6774" spans="1:5" ht="15" x14ac:dyDescent="0.35">
      <c r="A6774" s="58" t="s">
        <v>323</v>
      </c>
      <c r="B6774" s="58" t="s">
        <v>182</v>
      </c>
      <c r="C6774" s="58">
        <v>2</v>
      </c>
      <c r="D6774" s="58">
        <v>105</v>
      </c>
      <c r="E6774" s="59">
        <v>93.190399999999997</v>
      </c>
    </row>
    <row r="6775" spans="1:5" ht="15" x14ac:dyDescent="0.35">
      <c r="A6775" s="58" t="s">
        <v>323</v>
      </c>
      <c r="B6775" s="58" t="s">
        <v>182</v>
      </c>
      <c r="C6775" s="58">
        <v>3</v>
      </c>
      <c r="D6775" s="58">
        <v>106</v>
      </c>
      <c r="E6775" s="59">
        <v>107.357</v>
      </c>
    </row>
    <row r="6776" spans="1:5" ht="15" x14ac:dyDescent="0.35">
      <c r="A6776" s="58" t="s">
        <v>323</v>
      </c>
      <c r="B6776" s="58" t="s">
        <v>182</v>
      </c>
      <c r="C6776" s="58">
        <v>4</v>
      </c>
      <c r="D6776" s="58">
        <v>107</v>
      </c>
      <c r="E6776" s="59">
        <v>96.476100000000002</v>
      </c>
    </row>
    <row r="6777" spans="1:5" ht="15" x14ac:dyDescent="0.35">
      <c r="A6777" s="58" t="s">
        <v>323</v>
      </c>
      <c r="B6777" s="58" t="s">
        <v>182</v>
      </c>
      <c r="C6777" s="58">
        <v>5</v>
      </c>
      <c r="D6777" s="58">
        <v>108</v>
      </c>
      <c r="E6777" s="59">
        <v>108.5654</v>
      </c>
    </row>
    <row r="6778" spans="1:5" ht="15" x14ac:dyDescent="0.35">
      <c r="A6778" s="58" t="s">
        <v>323</v>
      </c>
      <c r="B6778" s="58" t="s">
        <v>182</v>
      </c>
      <c r="C6778" s="58">
        <v>6</v>
      </c>
      <c r="D6778" s="58">
        <v>109</v>
      </c>
      <c r="E6778" s="59">
        <v>99.856999999999999</v>
      </c>
    </row>
    <row r="6779" spans="1:5" ht="15" x14ac:dyDescent="0.35">
      <c r="A6779" s="58" t="s">
        <v>323</v>
      </c>
      <c r="B6779" s="58" t="s">
        <v>182</v>
      </c>
      <c r="C6779" s="58">
        <v>7</v>
      </c>
      <c r="D6779" s="58">
        <v>110</v>
      </c>
      <c r="E6779" s="59">
        <v>109.9682</v>
      </c>
    </row>
    <row r="6780" spans="1:5" ht="15" x14ac:dyDescent="0.35">
      <c r="A6780" s="58" t="s">
        <v>323</v>
      </c>
      <c r="B6780" s="58" t="s">
        <v>182</v>
      </c>
      <c r="C6780" s="58">
        <v>8</v>
      </c>
      <c r="D6780" s="58">
        <v>111</v>
      </c>
      <c r="E6780" s="59">
        <v>76.523700000000005</v>
      </c>
    </row>
    <row r="6781" spans="1:5" ht="15" x14ac:dyDescent="0.35">
      <c r="A6781" s="58" t="s">
        <v>323</v>
      </c>
      <c r="B6781" s="58" t="s">
        <v>182</v>
      </c>
      <c r="C6781" s="58">
        <v>9</v>
      </c>
      <c r="D6781" s="58">
        <v>112</v>
      </c>
      <c r="E6781" s="59">
        <v>89.301500000000004</v>
      </c>
    </row>
    <row r="6782" spans="1:5" ht="15" x14ac:dyDescent="0.35">
      <c r="A6782" s="58" t="s">
        <v>323</v>
      </c>
      <c r="B6782" s="58" t="s">
        <v>182</v>
      </c>
      <c r="C6782" s="58">
        <v>10</v>
      </c>
      <c r="D6782" s="58">
        <v>113</v>
      </c>
      <c r="E6782" s="59">
        <v>96.634799999999998</v>
      </c>
    </row>
    <row r="6783" spans="1:5" ht="15" x14ac:dyDescent="0.35">
      <c r="A6783" s="58" t="s">
        <v>323</v>
      </c>
      <c r="B6783" s="58" t="s">
        <v>182</v>
      </c>
      <c r="C6783" s="58">
        <v>11</v>
      </c>
      <c r="D6783" s="58">
        <v>114</v>
      </c>
      <c r="E6783" s="59">
        <v>96.301500000000004</v>
      </c>
    </row>
    <row r="6784" spans="1:5" ht="15" x14ac:dyDescent="0.35">
      <c r="A6784" s="58" t="s">
        <v>323</v>
      </c>
      <c r="B6784" s="58" t="s">
        <v>182</v>
      </c>
      <c r="C6784" s="58">
        <v>12</v>
      </c>
      <c r="D6784" s="58">
        <v>115</v>
      </c>
      <c r="E6784" s="59">
        <v>84.856999999999999</v>
      </c>
    </row>
    <row r="6785" spans="1:5" ht="15" x14ac:dyDescent="0.35">
      <c r="A6785" s="58" t="s">
        <v>323</v>
      </c>
      <c r="B6785" s="58" t="s">
        <v>176</v>
      </c>
      <c r="C6785" s="58">
        <v>1</v>
      </c>
      <c r="D6785" s="58">
        <v>104</v>
      </c>
      <c r="E6785" s="59">
        <v>118.875</v>
      </c>
    </row>
    <row r="6786" spans="1:5" ht="15" x14ac:dyDescent="0.35">
      <c r="A6786" s="58" t="s">
        <v>323</v>
      </c>
      <c r="B6786" s="58" t="s">
        <v>176</v>
      </c>
      <c r="C6786" s="58">
        <v>2</v>
      </c>
      <c r="D6786" s="58">
        <v>105</v>
      </c>
      <c r="E6786" s="59">
        <v>118.875</v>
      </c>
    </row>
    <row r="6787" spans="1:5" ht="15" x14ac:dyDescent="0.35">
      <c r="A6787" s="58" t="s">
        <v>323</v>
      </c>
      <c r="B6787" s="58" t="s">
        <v>176</v>
      </c>
      <c r="C6787" s="58">
        <v>3</v>
      </c>
      <c r="D6787" s="58">
        <v>106</v>
      </c>
      <c r="E6787" s="59">
        <v>118.875</v>
      </c>
    </row>
    <row r="6788" spans="1:5" ht="15" x14ac:dyDescent="0.35">
      <c r="A6788" s="58" t="s">
        <v>323</v>
      </c>
      <c r="B6788" s="58" t="s">
        <v>176</v>
      </c>
      <c r="C6788" s="58">
        <v>4</v>
      </c>
      <c r="D6788" s="58">
        <v>107</v>
      </c>
      <c r="E6788" s="59">
        <v>118.875</v>
      </c>
    </row>
    <row r="6789" spans="1:5" ht="15" x14ac:dyDescent="0.35">
      <c r="A6789" s="58" t="s">
        <v>323</v>
      </c>
      <c r="B6789" s="58" t="s">
        <v>176</v>
      </c>
      <c r="C6789" s="58">
        <v>5</v>
      </c>
      <c r="D6789" s="58">
        <v>108</v>
      </c>
      <c r="E6789" s="59">
        <v>118.875</v>
      </c>
    </row>
    <row r="6790" spans="1:5" ht="15" x14ac:dyDescent="0.35">
      <c r="A6790" s="58" t="s">
        <v>323</v>
      </c>
      <c r="B6790" s="58" t="s">
        <v>176</v>
      </c>
      <c r="C6790" s="58">
        <v>6</v>
      </c>
      <c r="D6790" s="58">
        <v>109</v>
      </c>
      <c r="E6790" s="59">
        <v>118.875</v>
      </c>
    </row>
    <row r="6791" spans="1:5" ht="15" x14ac:dyDescent="0.35">
      <c r="A6791" s="58" t="s">
        <v>323</v>
      </c>
      <c r="B6791" s="58" t="s">
        <v>176</v>
      </c>
      <c r="C6791" s="58">
        <v>7</v>
      </c>
      <c r="D6791" s="58">
        <v>110</v>
      </c>
      <c r="E6791" s="59">
        <v>118.875</v>
      </c>
    </row>
    <row r="6792" spans="1:5" ht="15" x14ac:dyDescent="0.35">
      <c r="A6792" s="58" t="s">
        <v>323</v>
      </c>
      <c r="B6792" s="58" t="s">
        <v>176</v>
      </c>
      <c r="C6792" s="58">
        <v>8</v>
      </c>
      <c r="D6792" s="58">
        <v>111</v>
      </c>
      <c r="E6792" s="59">
        <v>118.875</v>
      </c>
    </row>
    <row r="6793" spans="1:5" ht="15" x14ac:dyDescent="0.35">
      <c r="A6793" s="58" t="s">
        <v>323</v>
      </c>
      <c r="B6793" s="58" t="s">
        <v>176</v>
      </c>
      <c r="C6793" s="58">
        <v>9</v>
      </c>
      <c r="D6793" s="58">
        <v>112</v>
      </c>
      <c r="E6793" s="59">
        <v>118.875</v>
      </c>
    </row>
    <row r="6794" spans="1:5" ht="15" x14ac:dyDescent="0.35">
      <c r="A6794" s="58" t="s">
        <v>323</v>
      </c>
      <c r="B6794" s="58" t="s">
        <v>176</v>
      </c>
      <c r="C6794" s="58">
        <v>10</v>
      </c>
      <c r="D6794" s="58">
        <v>113</v>
      </c>
      <c r="E6794" s="59">
        <v>118.875</v>
      </c>
    </row>
    <row r="6795" spans="1:5" ht="15" x14ac:dyDescent="0.35">
      <c r="A6795" s="58" t="s">
        <v>323</v>
      </c>
      <c r="B6795" s="58" t="s">
        <v>176</v>
      </c>
      <c r="C6795" s="58">
        <v>11</v>
      </c>
      <c r="D6795" s="58">
        <v>114</v>
      </c>
      <c r="E6795" s="59">
        <v>118.875</v>
      </c>
    </row>
    <row r="6796" spans="1:5" ht="15" x14ac:dyDescent="0.35">
      <c r="A6796" s="58" t="s">
        <v>323</v>
      </c>
      <c r="B6796" s="58" t="s">
        <v>176</v>
      </c>
      <c r="C6796" s="58">
        <v>12</v>
      </c>
      <c r="D6796" s="58">
        <v>115</v>
      </c>
      <c r="E6796" s="59">
        <v>118.875</v>
      </c>
    </row>
    <row r="6797" spans="1:5" ht="15" x14ac:dyDescent="0.35">
      <c r="A6797" s="58" t="s">
        <v>323</v>
      </c>
      <c r="B6797" s="58" t="s">
        <v>172</v>
      </c>
      <c r="C6797" s="58">
        <v>1</v>
      </c>
      <c r="D6797" s="58">
        <v>104</v>
      </c>
      <c r="E6797" s="59">
        <v>313</v>
      </c>
    </row>
    <row r="6798" spans="1:5" ht="15" x14ac:dyDescent="0.35">
      <c r="A6798" s="58" t="s">
        <v>323</v>
      </c>
      <c r="B6798" s="58" t="s">
        <v>172</v>
      </c>
      <c r="C6798" s="58">
        <v>2</v>
      </c>
      <c r="D6798" s="58">
        <v>105</v>
      </c>
      <c r="E6798" s="59">
        <v>313</v>
      </c>
    </row>
    <row r="6799" spans="1:5" ht="15" x14ac:dyDescent="0.35">
      <c r="A6799" s="58" t="s">
        <v>323</v>
      </c>
      <c r="B6799" s="58" t="s">
        <v>172</v>
      </c>
      <c r="C6799" s="58">
        <v>3</v>
      </c>
      <c r="D6799" s="58">
        <v>106</v>
      </c>
      <c r="E6799" s="59">
        <v>313</v>
      </c>
    </row>
    <row r="6800" spans="1:5" ht="15" x14ac:dyDescent="0.35">
      <c r="A6800" s="58" t="s">
        <v>323</v>
      </c>
      <c r="B6800" s="58" t="s">
        <v>172</v>
      </c>
      <c r="C6800" s="58">
        <v>4</v>
      </c>
      <c r="D6800" s="58">
        <v>107</v>
      </c>
      <c r="E6800" s="59">
        <v>313</v>
      </c>
    </row>
    <row r="6801" spans="1:5" ht="15" x14ac:dyDescent="0.35">
      <c r="A6801" s="58" t="s">
        <v>323</v>
      </c>
      <c r="B6801" s="58" t="s">
        <v>172</v>
      </c>
      <c r="C6801" s="58">
        <v>5</v>
      </c>
      <c r="D6801" s="58">
        <v>108</v>
      </c>
      <c r="E6801" s="59">
        <v>313</v>
      </c>
    </row>
    <row r="6802" spans="1:5" ht="15" x14ac:dyDescent="0.35">
      <c r="A6802" s="58" t="s">
        <v>323</v>
      </c>
      <c r="B6802" s="58" t="s">
        <v>172</v>
      </c>
      <c r="C6802" s="58">
        <v>6</v>
      </c>
      <c r="D6802" s="58">
        <v>109</v>
      </c>
      <c r="E6802" s="59">
        <v>313</v>
      </c>
    </row>
    <row r="6803" spans="1:5" ht="15" x14ac:dyDescent="0.35">
      <c r="A6803" s="58" t="s">
        <v>323</v>
      </c>
      <c r="B6803" s="58" t="s">
        <v>172</v>
      </c>
      <c r="C6803" s="58">
        <v>7</v>
      </c>
      <c r="D6803" s="58">
        <v>110</v>
      </c>
      <c r="E6803" s="59">
        <v>313</v>
      </c>
    </row>
    <row r="6804" spans="1:5" ht="15" x14ac:dyDescent="0.35">
      <c r="A6804" s="58" t="s">
        <v>323</v>
      </c>
      <c r="B6804" s="58" t="s">
        <v>172</v>
      </c>
      <c r="C6804" s="58">
        <v>8</v>
      </c>
      <c r="D6804" s="58">
        <v>111</v>
      </c>
      <c r="E6804" s="59">
        <v>313</v>
      </c>
    </row>
    <row r="6805" spans="1:5" ht="15" x14ac:dyDescent="0.35">
      <c r="A6805" s="58" t="s">
        <v>323</v>
      </c>
      <c r="B6805" s="58" t="s">
        <v>172</v>
      </c>
      <c r="C6805" s="58">
        <v>9</v>
      </c>
      <c r="D6805" s="58">
        <v>112</v>
      </c>
      <c r="E6805" s="59">
        <v>313</v>
      </c>
    </row>
    <row r="6806" spans="1:5" ht="15" x14ac:dyDescent="0.35">
      <c r="A6806" s="58" t="s">
        <v>323</v>
      </c>
      <c r="B6806" s="58" t="s">
        <v>172</v>
      </c>
      <c r="C6806" s="58">
        <v>10</v>
      </c>
      <c r="D6806" s="58">
        <v>113</v>
      </c>
      <c r="E6806" s="59">
        <v>313</v>
      </c>
    </row>
    <row r="6807" spans="1:5" ht="15" x14ac:dyDescent="0.35">
      <c r="A6807" s="58" t="s">
        <v>323</v>
      </c>
      <c r="B6807" s="58" t="s">
        <v>172</v>
      </c>
      <c r="C6807" s="58">
        <v>11</v>
      </c>
      <c r="D6807" s="58">
        <v>114</v>
      </c>
      <c r="E6807" s="59">
        <v>313</v>
      </c>
    </row>
    <row r="6808" spans="1:5" ht="15" x14ac:dyDescent="0.35">
      <c r="A6808" s="58" t="s">
        <v>323</v>
      </c>
      <c r="B6808" s="58" t="s">
        <v>172</v>
      </c>
      <c r="C6808" s="58">
        <v>12</v>
      </c>
      <c r="D6808" s="58">
        <v>115</v>
      </c>
      <c r="E6808" s="59">
        <v>313</v>
      </c>
    </row>
    <row r="6809" spans="1:5" ht="15" x14ac:dyDescent="0.35">
      <c r="A6809" s="58" t="s">
        <v>323</v>
      </c>
      <c r="B6809" s="58" t="s">
        <v>180</v>
      </c>
      <c r="C6809" s="58">
        <v>1</v>
      </c>
      <c r="D6809" s="58">
        <v>104</v>
      </c>
      <c r="E6809" s="59">
        <v>87.661699999999996</v>
      </c>
    </row>
    <row r="6810" spans="1:5" ht="15" x14ac:dyDescent="0.35">
      <c r="A6810" s="58" t="s">
        <v>323</v>
      </c>
      <c r="B6810" s="58" t="s">
        <v>180</v>
      </c>
      <c r="C6810" s="58">
        <v>2</v>
      </c>
      <c r="D6810" s="58">
        <v>105</v>
      </c>
      <c r="E6810" s="59">
        <v>87.661699999999996</v>
      </c>
    </row>
    <row r="6811" spans="1:5" ht="15" x14ac:dyDescent="0.35">
      <c r="A6811" s="58" t="s">
        <v>323</v>
      </c>
      <c r="B6811" s="58" t="s">
        <v>180</v>
      </c>
      <c r="C6811" s="58">
        <v>3</v>
      </c>
      <c r="D6811" s="58">
        <v>106</v>
      </c>
      <c r="E6811" s="59">
        <v>87.661699999999996</v>
      </c>
    </row>
    <row r="6812" spans="1:5" ht="15" x14ac:dyDescent="0.35">
      <c r="A6812" s="58" t="s">
        <v>323</v>
      </c>
      <c r="B6812" s="58" t="s">
        <v>180</v>
      </c>
      <c r="C6812" s="58">
        <v>4</v>
      </c>
      <c r="D6812" s="58">
        <v>107</v>
      </c>
      <c r="E6812" s="59">
        <v>87.661699999999996</v>
      </c>
    </row>
    <row r="6813" spans="1:5" ht="15" x14ac:dyDescent="0.35">
      <c r="A6813" s="58" t="s">
        <v>323</v>
      </c>
      <c r="B6813" s="58" t="s">
        <v>180</v>
      </c>
      <c r="C6813" s="58">
        <v>5</v>
      </c>
      <c r="D6813" s="58">
        <v>108</v>
      </c>
      <c r="E6813" s="59">
        <v>87.661699999999996</v>
      </c>
    </row>
    <row r="6814" spans="1:5" ht="15" x14ac:dyDescent="0.35">
      <c r="A6814" s="58" t="s">
        <v>323</v>
      </c>
      <c r="B6814" s="58" t="s">
        <v>180</v>
      </c>
      <c r="C6814" s="58">
        <v>6</v>
      </c>
      <c r="D6814" s="58">
        <v>109</v>
      </c>
      <c r="E6814" s="59">
        <v>87.661699999999996</v>
      </c>
    </row>
    <row r="6815" spans="1:5" ht="15" x14ac:dyDescent="0.35">
      <c r="A6815" s="58" t="s">
        <v>323</v>
      </c>
      <c r="B6815" s="58" t="s">
        <v>180</v>
      </c>
      <c r="C6815" s="58">
        <v>7</v>
      </c>
      <c r="D6815" s="58">
        <v>110</v>
      </c>
      <c r="E6815" s="59">
        <v>87.661699999999996</v>
      </c>
    </row>
    <row r="6816" spans="1:5" ht="15" x14ac:dyDescent="0.35">
      <c r="A6816" s="58" t="s">
        <v>323</v>
      </c>
      <c r="B6816" s="58" t="s">
        <v>180</v>
      </c>
      <c r="C6816" s="58">
        <v>8</v>
      </c>
      <c r="D6816" s="58">
        <v>111</v>
      </c>
      <c r="E6816" s="59">
        <v>87.661699999999996</v>
      </c>
    </row>
    <row r="6817" spans="1:5" ht="15" x14ac:dyDescent="0.35">
      <c r="A6817" s="58" t="s">
        <v>323</v>
      </c>
      <c r="B6817" s="58" t="s">
        <v>180</v>
      </c>
      <c r="C6817" s="58">
        <v>9</v>
      </c>
      <c r="D6817" s="58">
        <v>112</v>
      </c>
      <c r="E6817" s="59">
        <v>87.661699999999996</v>
      </c>
    </row>
    <row r="6818" spans="1:5" ht="15" x14ac:dyDescent="0.35">
      <c r="A6818" s="58" t="s">
        <v>323</v>
      </c>
      <c r="B6818" s="58" t="s">
        <v>180</v>
      </c>
      <c r="C6818" s="58">
        <v>10</v>
      </c>
      <c r="D6818" s="58">
        <v>113</v>
      </c>
      <c r="E6818" s="59">
        <v>87.661699999999996</v>
      </c>
    </row>
    <row r="6819" spans="1:5" ht="15" x14ac:dyDescent="0.35">
      <c r="A6819" s="58" t="s">
        <v>323</v>
      </c>
      <c r="B6819" s="58" t="s">
        <v>180</v>
      </c>
      <c r="C6819" s="58">
        <v>11</v>
      </c>
      <c r="D6819" s="58">
        <v>114</v>
      </c>
      <c r="E6819" s="59">
        <v>87.661699999999996</v>
      </c>
    </row>
    <row r="6820" spans="1:5" ht="15" x14ac:dyDescent="0.35">
      <c r="A6820" s="58" t="s">
        <v>323</v>
      </c>
      <c r="B6820" s="58" t="s">
        <v>180</v>
      </c>
      <c r="C6820" s="58">
        <v>12</v>
      </c>
      <c r="D6820" s="58">
        <v>115</v>
      </c>
      <c r="E6820" s="59">
        <v>87.661699999999996</v>
      </c>
    </row>
    <row r="6821" spans="1:5" ht="15" x14ac:dyDescent="0.35">
      <c r="A6821" s="58" t="s">
        <v>287</v>
      </c>
      <c r="B6821" s="58" t="s">
        <v>182</v>
      </c>
      <c r="C6821" s="58">
        <v>1</v>
      </c>
      <c r="D6821" s="58">
        <v>104</v>
      </c>
      <c r="E6821" s="59">
        <v>102.35809999999999</v>
      </c>
    </row>
    <row r="6822" spans="1:5" ht="15" x14ac:dyDescent="0.35">
      <c r="A6822" s="58" t="s">
        <v>287</v>
      </c>
      <c r="B6822" s="58" t="s">
        <v>182</v>
      </c>
      <c r="C6822" s="58">
        <v>2</v>
      </c>
      <c r="D6822" s="58">
        <v>105</v>
      </c>
      <c r="E6822" s="59">
        <v>130.31360000000001</v>
      </c>
    </row>
    <row r="6823" spans="1:5" ht="15" x14ac:dyDescent="0.35">
      <c r="A6823" s="58" t="s">
        <v>287</v>
      </c>
      <c r="B6823" s="58" t="s">
        <v>182</v>
      </c>
      <c r="C6823" s="58">
        <v>3</v>
      </c>
      <c r="D6823" s="58">
        <v>106</v>
      </c>
      <c r="E6823" s="59">
        <v>138.4136</v>
      </c>
    </row>
    <row r="6824" spans="1:5" ht="15" x14ac:dyDescent="0.35">
      <c r="A6824" s="58" t="s">
        <v>287</v>
      </c>
      <c r="B6824" s="58" t="s">
        <v>182</v>
      </c>
      <c r="C6824" s="58">
        <v>4</v>
      </c>
      <c r="D6824" s="58">
        <v>107</v>
      </c>
      <c r="E6824" s="59">
        <v>143.0565</v>
      </c>
    </row>
    <row r="6825" spans="1:5" ht="15" x14ac:dyDescent="0.35">
      <c r="A6825" s="58" t="s">
        <v>287</v>
      </c>
      <c r="B6825" s="58" t="s">
        <v>182</v>
      </c>
      <c r="C6825" s="58">
        <v>5</v>
      </c>
      <c r="D6825" s="58">
        <v>108</v>
      </c>
      <c r="E6825" s="59">
        <v>153.9136</v>
      </c>
    </row>
    <row r="6826" spans="1:5" ht="15" x14ac:dyDescent="0.35">
      <c r="A6826" s="58" t="s">
        <v>287</v>
      </c>
      <c r="B6826" s="58" t="s">
        <v>182</v>
      </c>
      <c r="C6826" s="58">
        <v>6</v>
      </c>
      <c r="D6826" s="58">
        <v>109</v>
      </c>
      <c r="E6826" s="59">
        <v>145.0248</v>
      </c>
    </row>
    <row r="6827" spans="1:5" ht="15" x14ac:dyDescent="0.35">
      <c r="A6827" s="58" t="s">
        <v>287</v>
      </c>
      <c r="B6827" s="58" t="s">
        <v>182</v>
      </c>
      <c r="C6827" s="58">
        <v>7</v>
      </c>
      <c r="D6827" s="58">
        <v>110</v>
      </c>
      <c r="E6827" s="59">
        <v>137.80250000000001</v>
      </c>
    </row>
    <row r="6828" spans="1:5" ht="15" x14ac:dyDescent="0.35">
      <c r="A6828" s="58" t="s">
        <v>287</v>
      </c>
      <c r="B6828" s="58" t="s">
        <v>182</v>
      </c>
      <c r="C6828" s="58">
        <v>8</v>
      </c>
      <c r="D6828" s="58">
        <v>111</v>
      </c>
      <c r="E6828" s="59">
        <v>113.35809999999999</v>
      </c>
    </row>
    <row r="6829" spans="1:5" ht="15" x14ac:dyDescent="0.35">
      <c r="A6829" s="58" t="s">
        <v>287</v>
      </c>
      <c r="B6829" s="58" t="s">
        <v>182</v>
      </c>
      <c r="C6829" s="58">
        <v>9</v>
      </c>
      <c r="D6829" s="58">
        <v>112</v>
      </c>
      <c r="E6829" s="59">
        <v>116.13590000000001</v>
      </c>
    </row>
    <row r="6830" spans="1:5" ht="15" x14ac:dyDescent="0.35">
      <c r="A6830" s="58" t="s">
        <v>287</v>
      </c>
      <c r="B6830" s="58" t="s">
        <v>182</v>
      </c>
      <c r="C6830" s="58">
        <v>10</v>
      </c>
      <c r="D6830" s="58">
        <v>113</v>
      </c>
      <c r="E6830" s="59">
        <v>116.13590000000001</v>
      </c>
    </row>
    <row r="6831" spans="1:5" ht="15" x14ac:dyDescent="0.35">
      <c r="A6831" s="58" t="s">
        <v>287</v>
      </c>
      <c r="B6831" s="58" t="s">
        <v>182</v>
      </c>
      <c r="C6831" s="58">
        <v>11</v>
      </c>
      <c r="D6831" s="58">
        <v>114</v>
      </c>
      <c r="E6831" s="59">
        <v>108.9136</v>
      </c>
    </row>
    <row r="6832" spans="1:5" ht="15" x14ac:dyDescent="0.35">
      <c r="A6832" s="58" t="s">
        <v>287</v>
      </c>
      <c r="B6832" s="58" t="s">
        <v>182</v>
      </c>
      <c r="C6832" s="58">
        <v>12</v>
      </c>
      <c r="D6832" s="58">
        <v>115</v>
      </c>
      <c r="E6832" s="59">
        <v>90.247</v>
      </c>
    </row>
    <row r="6833" spans="1:5" ht="15" x14ac:dyDescent="0.35">
      <c r="A6833" s="58" t="s">
        <v>287</v>
      </c>
      <c r="B6833" s="58" t="s">
        <v>176</v>
      </c>
      <c r="C6833" s="58">
        <v>1</v>
      </c>
      <c r="D6833" s="58">
        <v>104</v>
      </c>
      <c r="E6833" s="59">
        <v>154.875</v>
      </c>
    </row>
    <row r="6834" spans="1:5" ht="15" x14ac:dyDescent="0.35">
      <c r="A6834" s="58" t="s">
        <v>287</v>
      </c>
      <c r="B6834" s="58" t="s">
        <v>176</v>
      </c>
      <c r="C6834" s="58">
        <v>2</v>
      </c>
      <c r="D6834" s="58">
        <v>105</v>
      </c>
      <c r="E6834" s="59">
        <v>154.875</v>
      </c>
    </row>
    <row r="6835" spans="1:5" ht="15" x14ac:dyDescent="0.35">
      <c r="A6835" s="58" t="s">
        <v>287</v>
      </c>
      <c r="B6835" s="58" t="s">
        <v>176</v>
      </c>
      <c r="C6835" s="58">
        <v>3</v>
      </c>
      <c r="D6835" s="58">
        <v>106</v>
      </c>
      <c r="E6835" s="59">
        <v>154.875</v>
      </c>
    </row>
    <row r="6836" spans="1:5" ht="15" x14ac:dyDescent="0.35">
      <c r="A6836" s="58" t="s">
        <v>287</v>
      </c>
      <c r="B6836" s="58" t="s">
        <v>176</v>
      </c>
      <c r="C6836" s="58">
        <v>4</v>
      </c>
      <c r="D6836" s="58">
        <v>107</v>
      </c>
      <c r="E6836" s="59">
        <v>154.875</v>
      </c>
    </row>
    <row r="6837" spans="1:5" ht="15" x14ac:dyDescent="0.35">
      <c r="A6837" s="58" t="s">
        <v>287</v>
      </c>
      <c r="B6837" s="58" t="s">
        <v>176</v>
      </c>
      <c r="C6837" s="58">
        <v>5</v>
      </c>
      <c r="D6837" s="58">
        <v>108</v>
      </c>
      <c r="E6837" s="59">
        <v>154.875</v>
      </c>
    </row>
    <row r="6838" spans="1:5" ht="15" x14ac:dyDescent="0.35">
      <c r="A6838" s="58" t="s">
        <v>287</v>
      </c>
      <c r="B6838" s="58" t="s">
        <v>176</v>
      </c>
      <c r="C6838" s="58">
        <v>6</v>
      </c>
      <c r="D6838" s="58">
        <v>109</v>
      </c>
      <c r="E6838" s="59">
        <v>154.875</v>
      </c>
    </row>
    <row r="6839" spans="1:5" ht="15" x14ac:dyDescent="0.35">
      <c r="A6839" s="58" t="s">
        <v>287</v>
      </c>
      <c r="B6839" s="58" t="s">
        <v>176</v>
      </c>
      <c r="C6839" s="58">
        <v>7</v>
      </c>
      <c r="D6839" s="58">
        <v>110</v>
      </c>
      <c r="E6839" s="59">
        <v>154.875</v>
      </c>
    </row>
    <row r="6840" spans="1:5" ht="15" x14ac:dyDescent="0.35">
      <c r="A6840" s="58" t="s">
        <v>287</v>
      </c>
      <c r="B6840" s="58" t="s">
        <v>176</v>
      </c>
      <c r="C6840" s="58">
        <v>8</v>
      </c>
      <c r="D6840" s="58">
        <v>111</v>
      </c>
      <c r="E6840" s="59">
        <v>154.875</v>
      </c>
    </row>
    <row r="6841" spans="1:5" ht="15" x14ac:dyDescent="0.35">
      <c r="A6841" s="58" t="s">
        <v>287</v>
      </c>
      <c r="B6841" s="58" t="s">
        <v>176</v>
      </c>
      <c r="C6841" s="58">
        <v>9</v>
      </c>
      <c r="D6841" s="58">
        <v>112</v>
      </c>
      <c r="E6841" s="59">
        <v>154.875</v>
      </c>
    </row>
    <row r="6842" spans="1:5" ht="15" x14ac:dyDescent="0.35">
      <c r="A6842" s="58" t="s">
        <v>287</v>
      </c>
      <c r="B6842" s="58" t="s">
        <v>176</v>
      </c>
      <c r="C6842" s="58">
        <v>10</v>
      </c>
      <c r="D6842" s="58">
        <v>113</v>
      </c>
      <c r="E6842" s="59">
        <v>154.875</v>
      </c>
    </row>
    <row r="6843" spans="1:5" ht="15" x14ac:dyDescent="0.35">
      <c r="A6843" s="58" t="s">
        <v>287</v>
      </c>
      <c r="B6843" s="58" t="s">
        <v>176</v>
      </c>
      <c r="C6843" s="58">
        <v>11</v>
      </c>
      <c r="D6843" s="58">
        <v>114</v>
      </c>
      <c r="E6843" s="59">
        <v>154.875</v>
      </c>
    </row>
    <row r="6844" spans="1:5" ht="15" x14ac:dyDescent="0.35">
      <c r="A6844" s="58" t="s">
        <v>287</v>
      </c>
      <c r="B6844" s="58" t="s">
        <v>176</v>
      </c>
      <c r="C6844" s="58">
        <v>12</v>
      </c>
      <c r="D6844" s="58">
        <v>115</v>
      </c>
      <c r="E6844" s="59">
        <v>154.875</v>
      </c>
    </row>
    <row r="6845" spans="1:5" ht="15" x14ac:dyDescent="0.35">
      <c r="A6845" s="58" t="s">
        <v>287</v>
      </c>
      <c r="B6845" s="58" t="s">
        <v>172</v>
      </c>
      <c r="C6845" s="58">
        <v>1</v>
      </c>
      <c r="D6845" s="58">
        <v>104</v>
      </c>
      <c r="E6845" s="59">
        <v>510</v>
      </c>
    </row>
    <row r="6846" spans="1:5" ht="15" x14ac:dyDescent="0.35">
      <c r="A6846" s="58" t="s">
        <v>287</v>
      </c>
      <c r="B6846" s="58" t="s">
        <v>172</v>
      </c>
      <c r="C6846" s="58">
        <v>2</v>
      </c>
      <c r="D6846" s="58">
        <v>105</v>
      </c>
      <c r="E6846" s="59">
        <v>510</v>
      </c>
    </row>
    <row r="6847" spans="1:5" ht="15" x14ac:dyDescent="0.35">
      <c r="A6847" s="58" t="s">
        <v>287</v>
      </c>
      <c r="B6847" s="58" t="s">
        <v>172</v>
      </c>
      <c r="C6847" s="58">
        <v>3</v>
      </c>
      <c r="D6847" s="58">
        <v>106</v>
      </c>
      <c r="E6847" s="59">
        <v>510</v>
      </c>
    </row>
    <row r="6848" spans="1:5" ht="15" x14ac:dyDescent="0.35">
      <c r="A6848" s="58" t="s">
        <v>287</v>
      </c>
      <c r="B6848" s="58" t="s">
        <v>172</v>
      </c>
      <c r="C6848" s="58">
        <v>4</v>
      </c>
      <c r="D6848" s="58">
        <v>107</v>
      </c>
      <c r="E6848" s="59">
        <v>510</v>
      </c>
    </row>
    <row r="6849" spans="1:5" ht="15" x14ac:dyDescent="0.35">
      <c r="A6849" s="58" t="s">
        <v>287</v>
      </c>
      <c r="B6849" s="58" t="s">
        <v>172</v>
      </c>
      <c r="C6849" s="58">
        <v>5</v>
      </c>
      <c r="D6849" s="58">
        <v>108</v>
      </c>
      <c r="E6849" s="59">
        <v>510</v>
      </c>
    </row>
    <row r="6850" spans="1:5" ht="15" x14ac:dyDescent="0.35">
      <c r="A6850" s="58" t="s">
        <v>287</v>
      </c>
      <c r="B6850" s="58" t="s">
        <v>172</v>
      </c>
      <c r="C6850" s="58">
        <v>6</v>
      </c>
      <c r="D6850" s="58">
        <v>109</v>
      </c>
      <c r="E6850" s="59">
        <v>510</v>
      </c>
    </row>
    <row r="6851" spans="1:5" ht="15" x14ac:dyDescent="0.35">
      <c r="A6851" s="58" t="s">
        <v>287</v>
      </c>
      <c r="B6851" s="58" t="s">
        <v>172</v>
      </c>
      <c r="C6851" s="58">
        <v>7</v>
      </c>
      <c r="D6851" s="58">
        <v>110</v>
      </c>
      <c r="E6851" s="59">
        <v>510</v>
      </c>
    </row>
    <row r="6852" spans="1:5" ht="15" x14ac:dyDescent="0.35">
      <c r="A6852" s="58" t="s">
        <v>287</v>
      </c>
      <c r="B6852" s="58" t="s">
        <v>172</v>
      </c>
      <c r="C6852" s="58">
        <v>8</v>
      </c>
      <c r="D6852" s="58">
        <v>111</v>
      </c>
      <c r="E6852" s="59">
        <v>510</v>
      </c>
    </row>
    <row r="6853" spans="1:5" ht="15" x14ac:dyDescent="0.35">
      <c r="A6853" s="58" t="s">
        <v>287</v>
      </c>
      <c r="B6853" s="58" t="s">
        <v>172</v>
      </c>
      <c r="C6853" s="58">
        <v>9</v>
      </c>
      <c r="D6853" s="58">
        <v>112</v>
      </c>
      <c r="E6853" s="59">
        <v>510</v>
      </c>
    </row>
    <row r="6854" spans="1:5" ht="15" x14ac:dyDescent="0.35">
      <c r="A6854" s="58" t="s">
        <v>287</v>
      </c>
      <c r="B6854" s="58" t="s">
        <v>172</v>
      </c>
      <c r="C6854" s="58">
        <v>10</v>
      </c>
      <c r="D6854" s="58">
        <v>113</v>
      </c>
      <c r="E6854" s="59">
        <v>510</v>
      </c>
    </row>
    <row r="6855" spans="1:5" ht="15" x14ac:dyDescent="0.35">
      <c r="A6855" s="58" t="s">
        <v>287</v>
      </c>
      <c r="B6855" s="58" t="s">
        <v>172</v>
      </c>
      <c r="C6855" s="58">
        <v>11</v>
      </c>
      <c r="D6855" s="58">
        <v>114</v>
      </c>
      <c r="E6855" s="59">
        <v>510</v>
      </c>
    </row>
    <row r="6856" spans="1:5" ht="15" x14ac:dyDescent="0.35">
      <c r="A6856" s="58" t="s">
        <v>287</v>
      </c>
      <c r="B6856" s="58" t="s">
        <v>172</v>
      </c>
      <c r="C6856" s="58">
        <v>12</v>
      </c>
      <c r="D6856" s="58">
        <v>115</v>
      </c>
      <c r="E6856" s="59">
        <v>510</v>
      </c>
    </row>
    <row r="6857" spans="1:5" ht="15" x14ac:dyDescent="0.35">
      <c r="A6857" s="58" t="s">
        <v>287</v>
      </c>
      <c r="B6857" s="58" t="s">
        <v>180</v>
      </c>
      <c r="C6857" s="58">
        <v>1</v>
      </c>
      <c r="D6857" s="58">
        <v>104</v>
      </c>
      <c r="E6857" s="59">
        <v>159.8629</v>
      </c>
    </row>
    <row r="6858" spans="1:5" ht="15" x14ac:dyDescent="0.35">
      <c r="A6858" s="58" t="s">
        <v>287</v>
      </c>
      <c r="B6858" s="58" t="s">
        <v>180</v>
      </c>
      <c r="C6858" s="58">
        <v>2</v>
      </c>
      <c r="D6858" s="58">
        <v>105</v>
      </c>
      <c r="E6858" s="59">
        <v>159.8629</v>
      </c>
    </row>
    <row r="6859" spans="1:5" ht="15" x14ac:dyDescent="0.35">
      <c r="A6859" s="58" t="s">
        <v>287</v>
      </c>
      <c r="B6859" s="58" t="s">
        <v>180</v>
      </c>
      <c r="C6859" s="58">
        <v>3</v>
      </c>
      <c r="D6859" s="58">
        <v>106</v>
      </c>
      <c r="E6859" s="59">
        <v>159.8629</v>
      </c>
    </row>
    <row r="6860" spans="1:5" ht="15" x14ac:dyDescent="0.35">
      <c r="A6860" s="58" t="s">
        <v>287</v>
      </c>
      <c r="B6860" s="58" t="s">
        <v>180</v>
      </c>
      <c r="C6860" s="58">
        <v>4</v>
      </c>
      <c r="D6860" s="58">
        <v>107</v>
      </c>
      <c r="E6860" s="59">
        <v>159.8629</v>
      </c>
    </row>
    <row r="6861" spans="1:5" ht="15" x14ac:dyDescent="0.35">
      <c r="A6861" s="58" t="s">
        <v>287</v>
      </c>
      <c r="B6861" s="58" t="s">
        <v>180</v>
      </c>
      <c r="C6861" s="58">
        <v>5</v>
      </c>
      <c r="D6861" s="58">
        <v>108</v>
      </c>
      <c r="E6861" s="59">
        <v>159.8629</v>
      </c>
    </row>
    <row r="6862" spans="1:5" ht="15" x14ac:dyDescent="0.35">
      <c r="A6862" s="58" t="s">
        <v>287</v>
      </c>
      <c r="B6862" s="58" t="s">
        <v>180</v>
      </c>
      <c r="C6862" s="58">
        <v>6</v>
      </c>
      <c r="D6862" s="58">
        <v>109</v>
      </c>
      <c r="E6862" s="59">
        <v>159.8629</v>
      </c>
    </row>
    <row r="6863" spans="1:5" ht="15" x14ac:dyDescent="0.35">
      <c r="A6863" s="58" t="s">
        <v>287</v>
      </c>
      <c r="B6863" s="58" t="s">
        <v>180</v>
      </c>
      <c r="C6863" s="58">
        <v>7</v>
      </c>
      <c r="D6863" s="58">
        <v>110</v>
      </c>
      <c r="E6863" s="59">
        <v>159.8629</v>
      </c>
    </row>
    <row r="6864" spans="1:5" ht="15" x14ac:dyDescent="0.35">
      <c r="A6864" s="58" t="s">
        <v>287</v>
      </c>
      <c r="B6864" s="58" t="s">
        <v>180</v>
      </c>
      <c r="C6864" s="58">
        <v>8</v>
      </c>
      <c r="D6864" s="58">
        <v>111</v>
      </c>
      <c r="E6864" s="59">
        <v>159.8629</v>
      </c>
    </row>
    <row r="6865" spans="1:5" ht="15" x14ac:dyDescent="0.35">
      <c r="A6865" s="58" t="s">
        <v>287</v>
      </c>
      <c r="B6865" s="58" t="s">
        <v>180</v>
      </c>
      <c r="C6865" s="58">
        <v>9</v>
      </c>
      <c r="D6865" s="58">
        <v>112</v>
      </c>
      <c r="E6865" s="59">
        <v>159.8629</v>
      </c>
    </row>
    <row r="6866" spans="1:5" ht="15" x14ac:dyDescent="0.35">
      <c r="A6866" s="58" t="s">
        <v>287</v>
      </c>
      <c r="B6866" s="58" t="s">
        <v>180</v>
      </c>
      <c r="C6866" s="58">
        <v>10</v>
      </c>
      <c r="D6866" s="58">
        <v>113</v>
      </c>
      <c r="E6866" s="59">
        <v>159.8629</v>
      </c>
    </row>
    <row r="6867" spans="1:5" ht="15" x14ac:dyDescent="0.35">
      <c r="A6867" s="58" t="s">
        <v>287</v>
      </c>
      <c r="B6867" s="58" t="s">
        <v>180</v>
      </c>
      <c r="C6867" s="58">
        <v>11</v>
      </c>
      <c r="D6867" s="58">
        <v>114</v>
      </c>
      <c r="E6867" s="59">
        <v>159.8629</v>
      </c>
    </row>
    <row r="6868" spans="1:5" ht="15" x14ac:dyDescent="0.35">
      <c r="A6868" s="58" t="s">
        <v>287</v>
      </c>
      <c r="B6868" s="58" t="s">
        <v>180</v>
      </c>
      <c r="C6868" s="58">
        <v>12</v>
      </c>
      <c r="D6868" s="58">
        <v>115</v>
      </c>
      <c r="E6868" s="59">
        <v>159.8629</v>
      </c>
    </row>
    <row r="6869" spans="1:5" ht="15" x14ac:dyDescent="0.35">
      <c r="A6869" s="58" t="s">
        <v>381</v>
      </c>
      <c r="B6869" s="58" t="s">
        <v>182</v>
      </c>
      <c r="C6869" s="58">
        <v>1</v>
      </c>
      <c r="D6869" s="58">
        <v>104</v>
      </c>
      <c r="E6869" s="59">
        <v>6.4619999999999997</v>
      </c>
    </row>
    <row r="6870" spans="1:5" ht="15" x14ac:dyDescent="0.35">
      <c r="A6870" s="58" t="s">
        <v>381</v>
      </c>
      <c r="B6870" s="58" t="s">
        <v>182</v>
      </c>
      <c r="C6870" s="58">
        <v>2</v>
      </c>
      <c r="D6870" s="58">
        <v>105</v>
      </c>
      <c r="E6870" s="59">
        <v>258.2842</v>
      </c>
    </row>
    <row r="6871" spans="1:5" ht="15" x14ac:dyDescent="0.35">
      <c r="A6871" s="58" t="s">
        <v>381</v>
      </c>
      <c r="B6871" s="58" t="s">
        <v>182</v>
      </c>
      <c r="C6871" s="58">
        <v>3</v>
      </c>
      <c r="D6871" s="58">
        <v>106</v>
      </c>
      <c r="E6871" s="59">
        <v>217.3509</v>
      </c>
    </row>
    <row r="6872" spans="1:5" ht="15" x14ac:dyDescent="0.35">
      <c r="A6872" s="58" t="s">
        <v>381</v>
      </c>
      <c r="B6872" s="58" t="s">
        <v>182</v>
      </c>
      <c r="C6872" s="58">
        <v>4</v>
      </c>
      <c r="D6872" s="58">
        <v>107</v>
      </c>
      <c r="E6872" s="59">
        <v>186.6842</v>
      </c>
    </row>
    <row r="6873" spans="1:5" ht="15" x14ac:dyDescent="0.35">
      <c r="A6873" s="58" t="s">
        <v>381</v>
      </c>
      <c r="B6873" s="58" t="s">
        <v>182</v>
      </c>
      <c r="C6873" s="58">
        <v>5</v>
      </c>
      <c r="D6873" s="58">
        <v>108</v>
      </c>
      <c r="E6873" s="59">
        <v>164.0592</v>
      </c>
    </row>
    <row r="6874" spans="1:5" ht="15" x14ac:dyDescent="0.35">
      <c r="A6874" s="58" t="s">
        <v>381</v>
      </c>
      <c r="B6874" s="58" t="s">
        <v>182</v>
      </c>
      <c r="C6874" s="58">
        <v>6</v>
      </c>
      <c r="D6874" s="58">
        <v>109</v>
      </c>
      <c r="E6874" s="59">
        <v>145.6842</v>
      </c>
    </row>
    <row r="6875" spans="1:5" ht="15" x14ac:dyDescent="0.35">
      <c r="A6875" s="58" t="s">
        <v>381</v>
      </c>
      <c r="B6875" s="58" t="s">
        <v>182</v>
      </c>
      <c r="C6875" s="58">
        <v>7</v>
      </c>
      <c r="D6875" s="58">
        <v>110</v>
      </c>
      <c r="E6875" s="59">
        <v>58.239800000000002</v>
      </c>
    </row>
    <row r="6876" spans="1:5" ht="15" x14ac:dyDescent="0.35">
      <c r="A6876" s="58" t="s">
        <v>381</v>
      </c>
      <c r="B6876" s="58" t="s">
        <v>182</v>
      </c>
      <c r="C6876" s="58">
        <v>8</v>
      </c>
      <c r="D6876" s="58">
        <v>111</v>
      </c>
      <c r="E6876" s="59">
        <v>56.128700000000002</v>
      </c>
    </row>
    <row r="6877" spans="1:5" ht="15" x14ac:dyDescent="0.35">
      <c r="A6877" s="58" t="s">
        <v>381</v>
      </c>
      <c r="B6877" s="58" t="s">
        <v>182</v>
      </c>
      <c r="C6877" s="58">
        <v>9</v>
      </c>
      <c r="D6877" s="58">
        <v>112</v>
      </c>
      <c r="E6877" s="59">
        <v>63.573099999999997</v>
      </c>
    </row>
    <row r="6878" spans="1:5" ht="15" x14ac:dyDescent="0.35">
      <c r="A6878" s="58" t="s">
        <v>381</v>
      </c>
      <c r="B6878" s="58" t="s">
        <v>182</v>
      </c>
      <c r="C6878" s="58">
        <v>10</v>
      </c>
      <c r="D6878" s="58">
        <v>113</v>
      </c>
      <c r="E6878" s="59">
        <v>72.350899999999996</v>
      </c>
    </row>
    <row r="6879" spans="1:5" ht="15" x14ac:dyDescent="0.35">
      <c r="A6879" s="58" t="s">
        <v>381</v>
      </c>
      <c r="B6879" s="58" t="s">
        <v>182</v>
      </c>
      <c r="C6879" s="58">
        <v>11</v>
      </c>
      <c r="D6879" s="58">
        <v>114</v>
      </c>
      <c r="E6879" s="59">
        <v>10.462</v>
      </c>
    </row>
    <row r="6880" spans="1:5" ht="15" x14ac:dyDescent="0.35">
      <c r="A6880" s="58" t="s">
        <v>381</v>
      </c>
      <c r="B6880" s="58" t="s">
        <v>182</v>
      </c>
      <c r="C6880" s="58">
        <v>12</v>
      </c>
      <c r="D6880" s="58">
        <v>115</v>
      </c>
      <c r="E6880" s="59">
        <v>7.5731000000000002</v>
      </c>
    </row>
    <row r="6881" spans="1:5" ht="15" x14ac:dyDescent="0.35">
      <c r="A6881" s="58" t="s">
        <v>381</v>
      </c>
      <c r="B6881" s="58" t="s">
        <v>176</v>
      </c>
      <c r="C6881" s="58">
        <v>1</v>
      </c>
      <c r="D6881" s="58">
        <v>104</v>
      </c>
      <c r="E6881" s="59">
        <v>70.875</v>
      </c>
    </row>
    <row r="6882" spans="1:5" ht="15" x14ac:dyDescent="0.35">
      <c r="A6882" s="58" t="s">
        <v>381</v>
      </c>
      <c r="B6882" s="58" t="s">
        <v>176</v>
      </c>
      <c r="C6882" s="58">
        <v>2</v>
      </c>
      <c r="D6882" s="58">
        <v>105</v>
      </c>
      <c r="E6882" s="59">
        <v>70.875</v>
      </c>
    </row>
    <row r="6883" spans="1:5" ht="15" x14ac:dyDescent="0.35">
      <c r="A6883" s="58" t="s">
        <v>381</v>
      </c>
      <c r="B6883" s="58" t="s">
        <v>176</v>
      </c>
      <c r="C6883" s="58">
        <v>3</v>
      </c>
      <c r="D6883" s="58">
        <v>106</v>
      </c>
      <c r="E6883" s="59">
        <v>70.875</v>
      </c>
    </row>
    <row r="6884" spans="1:5" ht="15" x14ac:dyDescent="0.35">
      <c r="A6884" s="58" t="s">
        <v>381</v>
      </c>
      <c r="B6884" s="58" t="s">
        <v>176</v>
      </c>
      <c r="C6884" s="58">
        <v>4</v>
      </c>
      <c r="D6884" s="58">
        <v>107</v>
      </c>
      <c r="E6884" s="59">
        <v>70.875</v>
      </c>
    </row>
    <row r="6885" spans="1:5" ht="15" x14ac:dyDescent="0.35">
      <c r="A6885" s="58" t="s">
        <v>381</v>
      </c>
      <c r="B6885" s="58" t="s">
        <v>176</v>
      </c>
      <c r="C6885" s="58">
        <v>5</v>
      </c>
      <c r="D6885" s="58">
        <v>108</v>
      </c>
      <c r="E6885" s="59">
        <v>70.875</v>
      </c>
    </row>
    <row r="6886" spans="1:5" ht="15" x14ac:dyDescent="0.35">
      <c r="A6886" s="58" t="s">
        <v>381</v>
      </c>
      <c r="B6886" s="58" t="s">
        <v>176</v>
      </c>
      <c r="C6886" s="58">
        <v>6</v>
      </c>
      <c r="D6886" s="58">
        <v>109</v>
      </c>
      <c r="E6886" s="59">
        <v>70.875</v>
      </c>
    </row>
    <row r="6887" spans="1:5" ht="15" x14ac:dyDescent="0.35">
      <c r="A6887" s="58" t="s">
        <v>381</v>
      </c>
      <c r="B6887" s="58" t="s">
        <v>176</v>
      </c>
      <c r="C6887" s="58">
        <v>7</v>
      </c>
      <c r="D6887" s="58">
        <v>110</v>
      </c>
      <c r="E6887" s="59">
        <v>70.875</v>
      </c>
    </row>
    <row r="6888" spans="1:5" ht="15" x14ac:dyDescent="0.35">
      <c r="A6888" s="58" t="s">
        <v>381</v>
      </c>
      <c r="B6888" s="58" t="s">
        <v>176</v>
      </c>
      <c r="C6888" s="58">
        <v>8</v>
      </c>
      <c r="D6888" s="58">
        <v>111</v>
      </c>
      <c r="E6888" s="59">
        <v>70.875</v>
      </c>
    </row>
    <row r="6889" spans="1:5" ht="15" x14ac:dyDescent="0.35">
      <c r="A6889" s="58" t="s">
        <v>381</v>
      </c>
      <c r="B6889" s="58" t="s">
        <v>176</v>
      </c>
      <c r="C6889" s="58">
        <v>9</v>
      </c>
      <c r="D6889" s="58">
        <v>112</v>
      </c>
      <c r="E6889" s="59">
        <v>70.875</v>
      </c>
    </row>
    <row r="6890" spans="1:5" ht="15" x14ac:dyDescent="0.35">
      <c r="A6890" s="58" t="s">
        <v>381</v>
      </c>
      <c r="B6890" s="58" t="s">
        <v>176</v>
      </c>
      <c r="C6890" s="58">
        <v>10</v>
      </c>
      <c r="D6890" s="58">
        <v>113</v>
      </c>
      <c r="E6890" s="59">
        <v>70.875</v>
      </c>
    </row>
    <row r="6891" spans="1:5" ht="15" x14ac:dyDescent="0.35">
      <c r="A6891" s="58" t="s">
        <v>381</v>
      </c>
      <c r="B6891" s="58" t="s">
        <v>176</v>
      </c>
      <c r="C6891" s="58">
        <v>11</v>
      </c>
      <c r="D6891" s="58">
        <v>114</v>
      </c>
      <c r="E6891" s="59">
        <v>70.875</v>
      </c>
    </row>
    <row r="6892" spans="1:5" ht="15" x14ac:dyDescent="0.35">
      <c r="A6892" s="58" t="s">
        <v>381</v>
      </c>
      <c r="B6892" s="58" t="s">
        <v>176</v>
      </c>
      <c r="C6892" s="58">
        <v>12</v>
      </c>
      <c r="D6892" s="58">
        <v>115</v>
      </c>
      <c r="E6892" s="59">
        <v>70.875</v>
      </c>
    </row>
    <row r="6893" spans="1:5" ht="15" x14ac:dyDescent="0.35">
      <c r="A6893" s="58" t="s">
        <v>381</v>
      </c>
      <c r="B6893" s="58" t="s">
        <v>172</v>
      </c>
      <c r="C6893" s="58">
        <v>1</v>
      </c>
      <c r="D6893" s="58">
        <v>104</v>
      </c>
      <c r="E6893" s="59">
        <v>36</v>
      </c>
    </row>
    <row r="6894" spans="1:5" ht="15" x14ac:dyDescent="0.35">
      <c r="A6894" s="58" t="s">
        <v>381</v>
      </c>
      <c r="B6894" s="58" t="s">
        <v>172</v>
      </c>
      <c r="C6894" s="58">
        <v>2</v>
      </c>
      <c r="D6894" s="58">
        <v>105</v>
      </c>
      <c r="E6894" s="59">
        <v>36</v>
      </c>
    </row>
    <row r="6895" spans="1:5" ht="15" x14ac:dyDescent="0.35">
      <c r="A6895" s="58" t="s">
        <v>381</v>
      </c>
      <c r="B6895" s="58" t="s">
        <v>172</v>
      </c>
      <c r="C6895" s="58">
        <v>3</v>
      </c>
      <c r="D6895" s="58">
        <v>106</v>
      </c>
      <c r="E6895" s="59">
        <v>36</v>
      </c>
    </row>
    <row r="6896" spans="1:5" ht="15" x14ac:dyDescent="0.35">
      <c r="A6896" s="58" t="s">
        <v>381</v>
      </c>
      <c r="B6896" s="58" t="s">
        <v>172</v>
      </c>
      <c r="C6896" s="58">
        <v>4</v>
      </c>
      <c r="D6896" s="58">
        <v>107</v>
      </c>
      <c r="E6896" s="59">
        <v>36</v>
      </c>
    </row>
    <row r="6897" spans="1:5" ht="15" x14ac:dyDescent="0.35">
      <c r="A6897" s="58" t="s">
        <v>381</v>
      </c>
      <c r="B6897" s="58" t="s">
        <v>172</v>
      </c>
      <c r="C6897" s="58">
        <v>5</v>
      </c>
      <c r="D6897" s="58">
        <v>108</v>
      </c>
      <c r="E6897" s="59">
        <v>36</v>
      </c>
    </row>
    <row r="6898" spans="1:5" ht="15" x14ac:dyDescent="0.35">
      <c r="A6898" s="58" t="s">
        <v>381</v>
      </c>
      <c r="B6898" s="58" t="s">
        <v>172</v>
      </c>
      <c r="C6898" s="58">
        <v>6</v>
      </c>
      <c r="D6898" s="58">
        <v>109</v>
      </c>
      <c r="E6898" s="59">
        <v>36</v>
      </c>
    </row>
    <row r="6899" spans="1:5" ht="15" x14ac:dyDescent="0.35">
      <c r="A6899" s="58" t="s">
        <v>381</v>
      </c>
      <c r="B6899" s="58" t="s">
        <v>172</v>
      </c>
      <c r="C6899" s="58">
        <v>7</v>
      </c>
      <c r="D6899" s="58">
        <v>110</v>
      </c>
      <c r="E6899" s="59">
        <v>36</v>
      </c>
    </row>
    <row r="6900" spans="1:5" ht="15" x14ac:dyDescent="0.35">
      <c r="A6900" s="58" t="s">
        <v>381</v>
      </c>
      <c r="B6900" s="58" t="s">
        <v>172</v>
      </c>
      <c r="C6900" s="58">
        <v>8</v>
      </c>
      <c r="D6900" s="58">
        <v>111</v>
      </c>
      <c r="E6900" s="59">
        <v>36</v>
      </c>
    </row>
    <row r="6901" spans="1:5" ht="15" x14ac:dyDescent="0.35">
      <c r="A6901" s="58" t="s">
        <v>381</v>
      </c>
      <c r="B6901" s="58" t="s">
        <v>172</v>
      </c>
      <c r="C6901" s="58">
        <v>9</v>
      </c>
      <c r="D6901" s="58">
        <v>112</v>
      </c>
      <c r="E6901" s="59">
        <v>36</v>
      </c>
    </row>
    <row r="6902" spans="1:5" ht="15" x14ac:dyDescent="0.35">
      <c r="A6902" s="58" t="s">
        <v>381</v>
      </c>
      <c r="B6902" s="58" t="s">
        <v>172</v>
      </c>
      <c r="C6902" s="58">
        <v>10</v>
      </c>
      <c r="D6902" s="58">
        <v>113</v>
      </c>
      <c r="E6902" s="59">
        <v>36</v>
      </c>
    </row>
    <row r="6903" spans="1:5" ht="15" x14ac:dyDescent="0.35">
      <c r="A6903" s="58" t="s">
        <v>381</v>
      </c>
      <c r="B6903" s="58" t="s">
        <v>172</v>
      </c>
      <c r="C6903" s="58">
        <v>11</v>
      </c>
      <c r="D6903" s="58">
        <v>114</v>
      </c>
      <c r="E6903" s="59">
        <v>36</v>
      </c>
    </row>
    <row r="6904" spans="1:5" ht="15" x14ac:dyDescent="0.35">
      <c r="A6904" s="58" t="s">
        <v>381</v>
      </c>
      <c r="B6904" s="58" t="s">
        <v>172</v>
      </c>
      <c r="C6904" s="58">
        <v>12</v>
      </c>
      <c r="D6904" s="58">
        <v>115</v>
      </c>
      <c r="E6904" s="59">
        <v>36</v>
      </c>
    </row>
    <row r="6905" spans="1:5" ht="15" x14ac:dyDescent="0.35">
      <c r="A6905" s="58" t="s">
        <v>381</v>
      </c>
      <c r="B6905" s="58" t="s">
        <v>180</v>
      </c>
      <c r="C6905" s="58">
        <v>1</v>
      </c>
      <c r="D6905" s="58">
        <v>104</v>
      </c>
      <c r="E6905" s="59">
        <v>34.864899999999999</v>
      </c>
    </row>
    <row r="6906" spans="1:5" ht="15" x14ac:dyDescent="0.35">
      <c r="A6906" s="58" t="s">
        <v>381</v>
      </c>
      <c r="B6906" s="58" t="s">
        <v>180</v>
      </c>
      <c r="C6906" s="58">
        <v>2</v>
      </c>
      <c r="D6906" s="58">
        <v>105</v>
      </c>
      <c r="E6906" s="59">
        <v>34.864899999999999</v>
      </c>
    </row>
    <row r="6907" spans="1:5" ht="15" x14ac:dyDescent="0.35">
      <c r="A6907" s="58" t="s">
        <v>381</v>
      </c>
      <c r="B6907" s="58" t="s">
        <v>180</v>
      </c>
      <c r="C6907" s="58">
        <v>3</v>
      </c>
      <c r="D6907" s="58">
        <v>106</v>
      </c>
      <c r="E6907" s="59">
        <v>34.864899999999999</v>
      </c>
    </row>
    <row r="6908" spans="1:5" ht="15" x14ac:dyDescent="0.35">
      <c r="A6908" s="58" t="s">
        <v>381</v>
      </c>
      <c r="B6908" s="58" t="s">
        <v>180</v>
      </c>
      <c r="C6908" s="58">
        <v>4</v>
      </c>
      <c r="D6908" s="58">
        <v>107</v>
      </c>
      <c r="E6908" s="59">
        <v>34.864899999999999</v>
      </c>
    </row>
    <row r="6909" spans="1:5" ht="15" x14ac:dyDescent="0.35">
      <c r="A6909" s="58" t="s">
        <v>381</v>
      </c>
      <c r="B6909" s="58" t="s">
        <v>180</v>
      </c>
      <c r="C6909" s="58">
        <v>5</v>
      </c>
      <c r="D6909" s="58">
        <v>108</v>
      </c>
      <c r="E6909" s="59">
        <v>34.864899999999999</v>
      </c>
    </row>
    <row r="6910" spans="1:5" ht="15" x14ac:dyDescent="0.35">
      <c r="A6910" s="58" t="s">
        <v>381</v>
      </c>
      <c r="B6910" s="58" t="s">
        <v>180</v>
      </c>
      <c r="C6910" s="58">
        <v>6</v>
      </c>
      <c r="D6910" s="58">
        <v>109</v>
      </c>
      <c r="E6910" s="59">
        <v>34.864899999999999</v>
      </c>
    </row>
    <row r="6911" spans="1:5" ht="15" x14ac:dyDescent="0.35">
      <c r="A6911" s="58" t="s">
        <v>381</v>
      </c>
      <c r="B6911" s="58" t="s">
        <v>180</v>
      </c>
      <c r="C6911" s="58">
        <v>7</v>
      </c>
      <c r="D6911" s="58">
        <v>110</v>
      </c>
      <c r="E6911" s="59">
        <v>34.864899999999999</v>
      </c>
    </row>
    <row r="6912" spans="1:5" ht="15" x14ac:dyDescent="0.35">
      <c r="A6912" s="58" t="s">
        <v>381</v>
      </c>
      <c r="B6912" s="58" t="s">
        <v>180</v>
      </c>
      <c r="C6912" s="58">
        <v>8</v>
      </c>
      <c r="D6912" s="58">
        <v>111</v>
      </c>
      <c r="E6912" s="59">
        <v>34.864899999999999</v>
      </c>
    </row>
    <row r="6913" spans="1:5" ht="15" x14ac:dyDescent="0.35">
      <c r="A6913" s="58" t="s">
        <v>381</v>
      </c>
      <c r="B6913" s="58" t="s">
        <v>180</v>
      </c>
      <c r="C6913" s="58">
        <v>9</v>
      </c>
      <c r="D6913" s="58">
        <v>112</v>
      </c>
      <c r="E6913" s="59">
        <v>34.864899999999999</v>
      </c>
    </row>
    <row r="6914" spans="1:5" ht="15" x14ac:dyDescent="0.35">
      <c r="A6914" s="58" t="s">
        <v>381</v>
      </c>
      <c r="B6914" s="58" t="s">
        <v>180</v>
      </c>
      <c r="C6914" s="58">
        <v>10</v>
      </c>
      <c r="D6914" s="58">
        <v>113</v>
      </c>
      <c r="E6914" s="59">
        <v>34.864899999999999</v>
      </c>
    </row>
    <row r="6915" spans="1:5" ht="15" x14ac:dyDescent="0.35">
      <c r="A6915" s="58" t="s">
        <v>381</v>
      </c>
      <c r="B6915" s="58" t="s">
        <v>180</v>
      </c>
      <c r="C6915" s="58">
        <v>11</v>
      </c>
      <c r="D6915" s="58">
        <v>114</v>
      </c>
      <c r="E6915" s="59">
        <v>34.864899999999999</v>
      </c>
    </row>
    <row r="6916" spans="1:5" ht="15" x14ac:dyDescent="0.35">
      <c r="A6916" s="58" t="s">
        <v>381</v>
      </c>
      <c r="B6916" s="58" t="s">
        <v>180</v>
      </c>
      <c r="C6916" s="58">
        <v>12</v>
      </c>
      <c r="D6916" s="58">
        <v>115</v>
      </c>
      <c r="E6916" s="59">
        <v>34.864899999999999</v>
      </c>
    </row>
    <row r="6917" spans="1:5" ht="15" x14ac:dyDescent="0.35">
      <c r="A6917" s="58" t="s">
        <v>301</v>
      </c>
      <c r="B6917" s="58" t="s">
        <v>182</v>
      </c>
      <c r="C6917" s="58">
        <v>1</v>
      </c>
      <c r="D6917" s="58">
        <v>104</v>
      </c>
      <c r="E6917" s="59">
        <v>42.542499999999997</v>
      </c>
    </row>
    <row r="6918" spans="1:5" ht="15" x14ac:dyDescent="0.35">
      <c r="A6918" s="58" t="s">
        <v>301</v>
      </c>
      <c r="B6918" s="58" t="s">
        <v>182</v>
      </c>
      <c r="C6918" s="58">
        <v>2</v>
      </c>
      <c r="D6918" s="58">
        <v>105</v>
      </c>
      <c r="E6918" s="59">
        <v>46.497999999999998</v>
      </c>
    </row>
    <row r="6919" spans="1:5" ht="15" x14ac:dyDescent="0.35">
      <c r="A6919" s="58" t="s">
        <v>301</v>
      </c>
      <c r="B6919" s="58" t="s">
        <v>182</v>
      </c>
      <c r="C6919" s="58">
        <v>3</v>
      </c>
      <c r="D6919" s="58">
        <v>106</v>
      </c>
      <c r="E6919" s="59">
        <v>41.764699999999998</v>
      </c>
    </row>
    <row r="6920" spans="1:5" ht="15" x14ac:dyDescent="0.35">
      <c r="A6920" s="58" t="s">
        <v>301</v>
      </c>
      <c r="B6920" s="58" t="s">
        <v>182</v>
      </c>
      <c r="C6920" s="58">
        <v>4</v>
      </c>
      <c r="D6920" s="58">
        <v>107</v>
      </c>
      <c r="E6920" s="59">
        <v>40.955199999999998</v>
      </c>
    </row>
    <row r="6921" spans="1:5" ht="15" x14ac:dyDescent="0.35">
      <c r="A6921" s="58" t="s">
        <v>301</v>
      </c>
      <c r="B6921" s="58" t="s">
        <v>182</v>
      </c>
      <c r="C6921" s="58">
        <v>5</v>
      </c>
      <c r="D6921" s="58">
        <v>108</v>
      </c>
      <c r="E6921" s="59">
        <v>41.722999999999999</v>
      </c>
    </row>
    <row r="6922" spans="1:5" ht="15" x14ac:dyDescent="0.35">
      <c r="A6922" s="58" t="s">
        <v>301</v>
      </c>
      <c r="B6922" s="58" t="s">
        <v>182</v>
      </c>
      <c r="C6922" s="58">
        <v>6</v>
      </c>
      <c r="D6922" s="58">
        <v>109</v>
      </c>
      <c r="E6922" s="59">
        <v>43.320300000000003</v>
      </c>
    </row>
    <row r="6923" spans="1:5" ht="15" x14ac:dyDescent="0.35">
      <c r="A6923" s="58" t="s">
        <v>301</v>
      </c>
      <c r="B6923" s="58" t="s">
        <v>182</v>
      </c>
      <c r="C6923" s="58">
        <v>7</v>
      </c>
      <c r="D6923" s="58">
        <v>110</v>
      </c>
      <c r="E6923" s="59">
        <v>41.986899999999999</v>
      </c>
    </row>
    <row r="6924" spans="1:5" ht="15" x14ac:dyDescent="0.35">
      <c r="A6924" s="58" t="s">
        <v>301</v>
      </c>
      <c r="B6924" s="58" t="s">
        <v>182</v>
      </c>
      <c r="C6924" s="58">
        <v>8</v>
      </c>
      <c r="D6924" s="58">
        <v>111</v>
      </c>
      <c r="E6924" s="59">
        <v>42.097999999999999</v>
      </c>
    </row>
    <row r="6925" spans="1:5" ht="15" x14ac:dyDescent="0.35">
      <c r="A6925" s="58" t="s">
        <v>301</v>
      </c>
      <c r="B6925" s="58" t="s">
        <v>182</v>
      </c>
      <c r="C6925" s="58">
        <v>9</v>
      </c>
      <c r="D6925" s="58">
        <v>112</v>
      </c>
      <c r="E6925" s="59">
        <v>32.986899999999999</v>
      </c>
    </row>
    <row r="6926" spans="1:5" ht="15" x14ac:dyDescent="0.35">
      <c r="A6926" s="58" t="s">
        <v>301</v>
      </c>
      <c r="B6926" s="58" t="s">
        <v>182</v>
      </c>
      <c r="C6926" s="58">
        <v>10</v>
      </c>
      <c r="D6926" s="58">
        <v>113</v>
      </c>
      <c r="E6926" s="59">
        <v>34.097999999999999</v>
      </c>
    </row>
    <row r="6927" spans="1:5" ht="15" x14ac:dyDescent="0.35">
      <c r="A6927" s="58" t="s">
        <v>301</v>
      </c>
      <c r="B6927" s="58" t="s">
        <v>182</v>
      </c>
      <c r="C6927" s="58">
        <v>11</v>
      </c>
      <c r="D6927" s="58">
        <v>114</v>
      </c>
      <c r="E6927" s="59">
        <v>33.764699999999998</v>
      </c>
    </row>
    <row r="6928" spans="1:5" ht="15" x14ac:dyDescent="0.35">
      <c r="A6928" s="58" t="s">
        <v>301</v>
      </c>
      <c r="B6928" s="58" t="s">
        <v>182</v>
      </c>
      <c r="C6928" s="58">
        <v>12</v>
      </c>
      <c r="D6928" s="58">
        <v>115</v>
      </c>
      <c r="E6928" s="59">
        <v>33.209200000000003</v>
      </c>
    </row>
    <row r="6929" spans="1:5" ht="15" x14ac:dyDescent="0.35">
      <c r="A6929" s="58" t="s">
        <v>301</v>
      </c>
      <c r="B6929" s="58" t="s">
        <v>176</v>
      </c>
      <c r="C6929" s="58">
        <v>1</v>
      </c>
      <c r="D6929" s="58">
        <v>104</v>
      </c>
      <c r="E6929" s="59">
        <v>42.375</v>
      </c>
    </row>
    <row r="6930" spans="1:5" ht="15" x14ac:dyDescent="0.35">
      <c r="A6930" s="58" t="s">
        <v>301</v>
      </c>
      <c r="B6930" s="58" t="s">
        <v>176</v>
      </c>
      <c r="C6930" s="58">
        <v>2</v>
      </c>
      <c r="D6930" s="58">
        <v>105</v>
      </c>
      <c r="E6930" s="59">
        <v>42.375</v>
      </c>
    </row>
    <row r="6931" spans="1:5" ht="15" x14ac:dyDescent="0.35">
      <c r="A6931" s="58" t="s">
        <v>301</v>
      </c>
      <c r="B6931" s="58" t="s">
        <v>176</v>
      </c>
      <c r="C6931" s="58">
        <v>3</v>
      </c>
      <c r="D6931" s="58">
        <v>106</v>
      </c>
      <c r="E6931" s="59">
        <v>42.375</v>
      </c>
    </row>
    <row r="6932" spans="1:5" ht="15" x14ac:dyDescent="0.35">
      <c r="A6932" s="58" t="s">
        <v>301</v>
      </c>
      <c r="B6932" s="58" t="s">
        <v>176</v>
      </c>
      <c r="C6932" s="58">
        <v>4</v>
      </c>
      <c r="D6932" s="58">
        <v>107</v>
      </c>
      <c r="E6932" s="59">
        <v>42.375</v>
      </c>
    </row>
    <row r="6933" spans="1:5" ht="15" x14ac:dyDescent="0.35">
      <c r="A6933" s="58" t="s">
        <v>301</v>
      </c>
      <c r="B6933" s="58" t="s">
        <v>176</v>
      </c>
      <c r="C6933" s="58">
        <v>5</v>
      </c>
      <c r="D6933" s="58">
        <v>108</v>
      </c>
      <c r="E6933" s="59">
        <v>42.375</v>
      </c>
    </row>
    <row r="6934" spans="1:5" ht="15" x14ac:dyDescent="0.35">
      <c r="A6934" s="58" t="s">
        <v>301</v>
      </c>
      <c r="B6934" s="58" t="s">
        <v>176</v>
      </c>
      <c r="C6934" s="58">
        <v>6</v>
      </c>
      <c r="D6934" s="58">
        <v>109</v>
      </c>
      <c r="E6934" s="59">
        <v>42.375</v>
      </c>
    </row>
    <row r="6935" spans="1:5" ht="15" x14ac:dyDescent="0.35">
      <c r="A6935" s="58" t="s">
        <v>301</v>
      </c>
      <c r="B6935" s="58" t="s">
        <v>176</v>
      </c>
      <c r="C6935" s="58">
        <v>7</v>
      </c>
      <c r="D6935" s="58">
        <v>110</v>
      </c>
      <c r="E6935" s="59">
        <v>42.375</v>
      </c>
    </row>
    <row r="6936" spans="1:5" ht="15" x14ac:dyDescent="0.35">
      <c r="A6936" s="58" t="s">
        <v>301</v>
      </c>
      <c r="B6936" s="58" t="s">
        <v>176</v>
      </c>
      <c r="C6936" s="58">
        <v>8</v>
      </c>
      <c r="D6936" s="58">
        <v>111</v>
      </c>
      <c r="E6936" s="59">
        <v>42.375</v>
      </c>
    </row>
    <row r="6937" spans="1:5" ht="15" x14ac:dyDescent="0.35">
      <c r="A6937" s="58" t="s">
        <v>301</v>
      </c>
      <c r="B6937" s="58" t="s">
        <v>176</v>
      </c>
      <c r="C6937" s="58">
        <v>9</v>
      </c>
      <c r="D6937" s="58">
        <v>112</v>
      </c>
      <c r="E6937" s="59">
        <v>42.375</v>
      </c>
    </row>
    <row r="6938" spans="1:5" ht="15" x14ac:dyDescent="0.35">
      <c r="A6938" s="58" t="s">
        <v>301</v>
      </c>
      <c r="B6938" s="58" t="s">
        <v>176</v>
      </c>
      <c r="C6938" s="58">
        <v>10</v>
      </c>
      <c r="D6938" s="58">
        <v>113</v>
      </c>
      <c r="E6938" s="59">
        <v>42.375</v>
      </c>
    </row>
    <row r="6939" spans="1:5" ht="15" x14ac:dyDescent="0.35">
      <c r="A6939" s="58" t="s">
        <v>301</v>
      </c>
      <c r="B6939" s="58" t="s">
        <v>176</v>
      </c>
      <c r="C6939" s="58">
        <v>11</v>
      </c>
      <c r="D6939" s="58">
        <v>114</v>
      </c>
      <c r="E6939" s="59">
        <v>42.375</v>
      </c>
    </row>
    <row r="6940" spans="1:5" ht="15" x14ac:dyDescent="0.35">
      <c r="A6940" s="58" t="s">
        <v>301</v>
      </c>
      <c r="B6940" s="58" t="s">
        <v>176</v>
      </c>
      <c r="C6940" s="58">
        <v>12</v>
      </c>
      <c r="D6940" s="58">
        <v>115</v>
      </c>
      <c r="E6940" s="59">
        <v>42.375</v>
      </c>
    </row>
    <row r="6941" spans="1:5" ht="15" x14ac:dyDescent="0.35">
      <c r="A6941" s="58" t="s">
        <v>301</v>
      </c>
      <c r="B6941" s="58" t="s">
        <v>172</v>
      </c>
      <c r="C6941" s="58">
        <v>1</v>
      </c>
      <c r="D6941" s="58">
        <v>104</v>
      </c>
      <c r="E6941" s="59">
        <v>32</v>
      </c>
    </row>
    <row r="6942" spans="1:5" ht="15" x14ac:dyDescent="0.35">
      <c r="A6942" s="58" t="s">
        <v>301</v>
      </c>
      <c r="B6942" s="58" t="s">
        <v>172</v>
      </c>
      <c r="C6942" s="58">
        <v>2</v>
      </c>
      <c r="D6942" s="58">
        <v>105</v>
      </c>
      <c r="E6942" s="59">
        <v>32</v>
      </c>
    </row>
    <row r="6943" spans="1:5" ht="15" x14ac:dyDescent="0.35">
      <c r="A6943" s="58" t="s">
        <v>301</v>
      </c>
      <c r="B6943" s="58" t="s">
        <v>172</v>
      </c>
      <c r="C6943" s="58">
        <v>3</v>
      </c>
      <c r="D6943" s="58">
        <v>106</v>
      </c>
      <c r="E6943" s="59">
        <v>32</v>
      </c>
    </row>
    <row r="6944" spans="1:5" ht="15" x14ac:dyDescent="0.35">
      <c r="A6944" s="58" t="s">
        <v>301</v>
      </c>
      <c r="B6944" s="58" t="s">
        <v>172</v>
      </c>
      <c r="C6944" s="58">
        <v>4</v>
      </c>
      <c r="D6944" s="58">
        <v>107</v>
      </c>
      <c r="E6944" s="59">
        <v>32</v>
      </c>
    </row>
    <row r="6945" spans="1:5" ht="15" x14ac:dyDescent="0.35">
      <c r="A6945" s="58" t="s">
        <v>301</v>
      </c>
      <c r="B6945" s="58" t="s">
        <v>172</v>
      </c>
      <c r="C6945" s="58">
        <v>5</v>
      </c>
      <c r="D6945" s="58">
        <v>108</v>
      </c>
      <c r="E6945" s="59">
        <v>32</v>
      </c>
    </row>
    <row r="6946" spans="1:5" ht="15" x14ac:dyDescent="0.35">
      <c r="A6946" s="58" t="s">
        <v>301</v>
      </c>
      <c r="B6946" s="58" t="s">
        <v>172</v>
      </c>
      <c r="C6946" s="58">
        <v>6</v>
      </c>
      <c r="D6946" s="58">
        <v>109</v>
      </c>
      <c r="E6946" s="59">
        <v>32</v>
      </c>
    </row>
    <row r="6947" spans="1:5" ht="15" x14ac:dyDescent="0.35">
      <c r="A6947" s="58" t="s">
        <v>301</v>
      </c>
      <c r="B6947" s="58" t="s">
        <v>172</v>
      </c>
      <c r="C6947" s="58">
        <v>7</v>
      </c>
      <c r="D6947" s="58">
        <v>110</v>
      </c>
      <c r="E6947" s="59">
        <v>32</v>
      </c>
    </row>
    <row r="6948" spans="1:5" ht="15" x14ac:dyDescent="0.35">
      <c r="A6948" s="58" t="s">
        <v>301</v>
      </c>
      <c r="B6948" s="58" t="s">
        <v>172</v>
      </c>
      <c r="C6948" s="58">
        <v>8</v>
      </c>
      <c r="D6948" s="58">
        <v>111</v>
      </c>
      <c r="E6948" s="59">
        <v>32</v>
      </c>
    </row>
    <row r="6949" spans="1:5" ht="15" x14ac:dyDescent="0.35">
      <c r="A6949" s="58" t="s">
        <v>301</v>
      </c>
      <c r="B6949" s="58" t="s">
        <v>172</v>
      </c>
      <c r="C6949" s="58">
        <v>9</v>
      </c>
      <c r="D6949" s="58">
        <v>112</v>
      </c>
      <c r="E6949" s="59">
        <v>32</v>
      </c>
    </row>
    <row r="6950" spans="1:5" ht="15" x14ac:dyDescent="0.35">
      <c r="A6950" s="58" t="s">
        <v>301</v>
      </c>
      <c r="B6950" s="58" t="s">
        <v>172</v>
      </c>
      <c r="C6950" s="58">
        <v>10</v>
      </c>
      <c r="D6950" s="58">
        <v>113</v>
      </c>
      <c r="E6950" s="59">
        <v>32</v>
      </c>
    </row>
    <row r="6951" spans="1:5" ht="15" x14ac:dyDescent="0.35">
      <c r="A6951" s="58" t="s">
        <v>301</v>
      </c>
      <c r="B6951" s="58" t="s">
        <v>172</v>
      </c>
      <c r="C6951" s="58">
        <v>11</v>
      </c>
      <c r="D6951" s="58">
        <v>114</v>
      </c>
      <c r="E6951" s="59">
        <v>32</v>
      </c>
    </row>
    <row r="6952" spans="1:5" ht="15" x14ac:dyDescent="0.35">
      <c r="A6952" s="58" t="s">
        <v>301</v>
      </c>
      <c r="B6952" s="58" t="s">
        <v>172</v>
      </c>
      <c r="C6952" s="58">
        <v>12</v>
      </c>
      <c r="D6952" s="58">
        <v>115</v>
      </c>
      <c r="E6952" s="59">
        <v>32</v>
      </c>
    </row>
    <row r="6953" spans="1:5" ht="15" x14ac:dyDescent="0.35">
      <c r="A6953" s="58" t="s">
        <v>301</v>
      </c>
      <c r="B6953" s="58" t="s">
        <v>180</v>
      </c>
      <c r="C6953" s="58">
        <v>1</v>
      </c>
      <c r="D6953" s="58">
        <v>104</v>
      </c>
      <c r="E6953" s="59">
        <v>35.283299999999997</v>
      </c>
    </row>
    <row r="6954" spans="1:5" ht="15" x14ac:dyDescent="0.35">
      <c r="A6954" s="58" t="s">
        <v>301</v>
      </c>
      <c r="B6954" s="58" t="s">
        <v>180</v>
      </c>
      <c r="C6954" s="58">
        <v>2</v>
      </c>
      <c r="D6954" s="58">
        <v>105</v>
      </c>
      <c r="E6954" s="59">
        <v>35.283299999999997</v>
      </c>
    </row>
    <row r="6955" spans="1:5" ht="15" x14ac:dyDescent="0.35">
      <c r="A6955" s="58" t="s">
        <v>301</v>
      </c>
      <c r="B6955" s="58" t="s">
        <v>180</v>
      </c>
      <c r="C6955" s="58">
        <v>3</v>
      </c>
      <c r="D6955" s="58">
        <v>106</v>
      </c>
      <c r="E6955" s="59">
        <v>35.283299999999997</v>
      </c>
    </row>
    <row r="6956" spans="1:5" ht="15" x14ac:dyDescent="0.35">
      <c r="A6956" s="58" t="s">
        <v>301</v>
      </c>
      <c r="B6956" s="58" t="s">
        <v>180</v>
      </c>
      <c r="C6956" s="58">
        <v>4</v>
      </c>
      <c r="D6956" s="58">
        <v>107</v>
      </c>
      <c r="E6956" s="59">
        <v>35.283299999999997</v>
      </c>
    </row>
    <row r="6957" spans="1:5" ht="15" x14ac:dyDescent="0.35">
      <c r="A6957" s="58" t="s">
        <v>301</v>
      </c>
      <c r="B6957" s="58" t="s">
        <v>180</v>
      </c>
      <c r="C6957" s="58">
        <v>5</v>
      </c>
      <c r="D6957" s="58">
        <v>108</v>
      </c>
      <c r="E6957" s="59">
        <v>35.283299999999997</v>
      </c>
    </row>
    <row r="6958" spans="1:5" ht="15" x14ac:dyDescent="0.35">
      <c r="A6958" s="58" t="s">
        <v>301</v>
      </c>
      <c r="B6958" s="58" t="s">
        <v>180</v>
      </c>
      <c r="C6958" s="58">
        <v>6</v>
      </c>
      <c r="D6958" s="58">
        <v>109</v>
      </c>
      <c r="E6958" s="59">
        <v>35.283299999999997</v>
      </c>
    </row>
    <row r="6959" spans="1:5" ht="15" x14ac:dyDescent="0.35">
      <c r="A6959" s="58" t="s">
        <v>301</v>
      </c>
      <c r="B6959" s="58" t="s">
        <v>180</v>
      </c>
      <c r="C6959" s="58">
        <v>7</v>
      </c>
      <c r="D6959" s="58">
        <v>110</v>
      </c>
      <c r="E6959" s="59">
        <v>35.283299999999997</v>
      </c>
    </row>
    <row r="6960" spans="1:5" ht="15" x14ac:dyDescent="0.35">
      <c r="A6960" s="58" t="s">
        <v>301</v>
      </c>
      <c r="B6960" s="58" t="s">
        <v>180</v>
      </c>
      <c r="C6960" s="58">
        <v>8</v>
      </c>
      <c r="D6960" s="58">
        <v>111</v>
      </c>
      <c r="E6960" s="59">
        <v>35.283299999999997</v>
      </c>
    </row>
    <row r="6961" spans="1:5" ht="15" x14ac:dyDescent="0.35">
      <c r="A6961" s="58" t="s">
        <v>301</v>
      </c>
      <c r="B6961" s="58" t="s">
        <v>180</v>
      </c>
      <c r="C6961" s="58">
        <v>9</v>
      </c>
      <c r="D6961" s="58">
        <v>112</v>
      </c>
      <c r="E6961" s="59">
        <v>35.283299999999997</v>
      </c>
    </row>
    <row r="6962" spans="1:5" ht="15" x14ac:dyDescent="0.35">
      <c r="A6962" s="58" t="s">
        <v>301</v>
      </c>
      <c r="B6962" s="58" t="s">
        <v>180</v>
      </c>
      <c r="C6962" s="58">
        <v>10</v>
      </c>
      <c r="D6962" s="58">
        <v>113</v>
      </c>
      <c r="E6962" s="59">
        <v>35.283299999999997</v>
      </c>
    </row>
    <row r="6963" spans="1:5" ht="15" x14ac:dyDescent="0.35">
      <c r="A6963" s="58" t="s">
        <v>301</v>
      </c>
      <c r="B6963" s="58" t="s">
        <v>180</v>
      </c>
      <c r="C6963" s="58">
        <v>11</v>
      </c>
      <c r="D6963" s="58">
        <v>114</v>
      </c>
      <c r="E6963" s="59">
        <v>35.283299999999997</v>
      </c>
    </row>
    <row r="6964" spans="1:5" ht="15" x14ac:dyDescent="0.35">
      <c r="A6964" s="58" t="s">
        <v>301</v>
      </c>
      <c r="B6964" s="58" t="s">
        <v>180</v>
      </c>
      <c r="C6964" s="58">
        <v>12</v>
      </c>
      <c r="D6964" s="58">
        <v>115</v>
      </c>
      <c r="E6964" s="59">
        <v>35.283299999999997</v>
      </c>
    </row>
    <row r="6965" spans="1:5" ht="15" x14ac:dyDescent="0.35">
      <c r="A6965" s="58" t="s">
        <v>248</v>
      </c>
      <c r="B6965" s="58" t="s">
        <v>182</v>
      </c>
      <c r="C6965" s="58">
        <v>1</v>
      </c>
      <c r="D6965" s="58">
        <v>104</v>
      </c>
      <c r="E6965" s="59">
        <v>953.74279999999999</v>
      </c>
    </row>
    <row r="6966" spans="1:5" ht="15" x14ac:dyDescent="0.35">
      <c r="A6966" s="58" t="s">
        <v>248</v>
      </c>
      <c r="B6966" s="58" t="s">
        <v>182</v>
      </c>
      <c r="C6966" s="58">
        <v>2</v>
      </c>
      <c r="D6966" s="58">
        <v>105</v>
      </c>
      <c r="E6966" s="59">
        <v>753.09829999999999</v>
      </c>
    </row>
    <row r="6967" spans="1:5" ht="15" x14ac:dyDescent="0.35">
      <c r="A6967" s="58" t="s">
        <v>248</v>
      </c>
      <c r="B6967" s="58" t="s">
        <v>182</v>
      </c>
      <c r="C6967" s="58">
        <v>3</v>
      </c>
      <c r="D6967" s="58">
        <v>106</v>
      </c>
      <c r="E6967" s="59">
        <v>783.79830000000004</v>
      </c>
    </row>
    <row r="6968" spans="1:5" ht="15" x14ac:dyDescent="0.35">
      <c r="A6968" s="58" t="s">
        <v>248</v>
      </c>
      <c r="B6968" s="58" t="s">
        <v>182</v>
      </c>
      <c r="C6968" s="58">
        <v>4</v>
      </c>
      <c r="D6968" s="58">
        <v>107</v>
      </c>
      <c r="E6968" s="59">
        <v>762.58410000000003</v>
      </c>
    </row>
    <row r="6969" spans="1:5" ht="15" x14ac:dyDescent="0.35">
      <c r="A6969" s="58" t="s">
        <v>248</v>
      </c>
      <c r="B6969" s="58" t="s">
        <v>182</v>
      </c>
      <c r="C6969" s="58">
        <v>5</v>
      </c>
      <c r="D6969" s="58">
        <v>108</v>
      </c>
      <c r="E6969" s="59">
        <v>776.29830000000004</v>
      </c>
    </row>
    <row r="6970" spans="1:5" ht="15" x14ac:dyDescent="0.35">
      <c r="A6970" s="58" t="s">
        <v>248</v>
      </c>
      <c r="B6970" s="58" t="s">
        <v>182</v>
      </c>
      <c r="C6970" s="58">
        <v>6</v>
      </c>
      <c r="D6970" s="58">
        <v>109</v>
      </c>
      <c r="E6970" s="59">
        <v>744.0761</v>
      </c>
    </row>
    <row r="6971" spans="1:5" ht="15" x14ac:dyDescent="0.35">
      <c r="A6971" s="58" t="s">
        <v>248</v>
      </c>
      <c r="B6971" s="58" t="s">
        <v>182</v>
      </c>
      <c r="C6971" s="58">
        <v>7</v>
      </c>
      <c r="D6971" s="58">
        <v>110</v>
      </c>
      <c r="E6971" s="59">
        <v>667.74279999999999</v>
      </c>
    </row>
    <row r="6972" spans="1:5" ht="15" x14ac:dyDescent="0.35">
      <c r="A6972" s="58" t="s">
        <v>248</v>
      </c>
      <c r="B6972" s="58" t="s">
        <v>182</v>
      </c>
      <c r="C6972" s="58">
        <v>8</v>
      </c>
      <c r="D6972" s="58">
        <v>111</v>
      </c>
      <c r="E6972" s="59">
        <v>635.63170000000002</v>
      </c>
    </row>
    <row r="6973" spans="1:5" ht="15" x14ac:dyDescent="0.35">
      <c r="A6973" s="58" t="s">
        <v>248</v>
      </c>
      <c r="B6973" s="58" t="s">
        <v>182</v>
      </c>
      <c r="C6973" s="58">
        <v>9</v>
      </c>
      <c r="D6973" s="58">
        <v>112</v>
      </c>
      <c r="E6973" s="59">
        <v>699.74279999999999</v>
      </c>
    </row>
    <row r="6974" spans="1:5" ht="15" x14ac:dyDescent="0.35">
      <c r="A6974" s="58" t="s">
        <v>248</v>
      </c>
      <c r="B6974" s="58" t="s">
        <v>182</v>
      </c>
      <c r="C6974" s="58">
        <v>10</v>
      </c>
      <c r="D6974" s="58">
        <v>113</v>
      </c>
      <c r="E6974" s="59">
        <v>783.52059999999994</v>
      </c>
    </row>
    <row r="6975" spans="1:5" ht="15" x14ac:dyDescent="0.35">
      <c r="A6975" s="58" t="s">
        <v>248</v>
      </c>
      <c r="B6975" s="58" t="s">
        <v>182</v>
      </c>
      <c r="C6975" s="58">
        <v>11</v>
      </c>
      <c r="D6975" s="58">
        <v>114</v>
      </c>
      <c r="E6975" s="59">
        <v>744.29830000000004</v>
      </c>
    </row>
    <row r="6976" spans="1:5" ht="15" x14ac:dyDescent="0.35">
      <c r="A6976" s="58" t="s">
        <v>248</v>
      </c>
      <c r="B6976" s="58" t="s">
        <v>182</v>
      </c>
      <c r="C6976" s="58">
        <v>12</v>
      </c>
      <c r="D6976" s="58">
        <v>115</v>
      </c>
      <c r="E6976" s="59">
        <v>702.52059999999994</v>
      </c>
    </row>
    <row r="6977" spans="1:5" ht="15" x14ac:dyDescent="0.35">
      <c r="A6977" s="58" t="s">
        <v>248</v>
      </c>
      <c r="B6977" s="58" t="s">
        <v>176</v>
      </c>
      <c r="C6977" s="58">
        <v>1</v>
      </c>
      <c r="D6977" s="58">
        <v>104</v>
      </c>
      <c r="E6977" s="59">
        <v>1275.875</v>
      </c>
    </row>
    <row r="6978" spans="1:5" ht="15" x14ac:dyDescent="0.35">
      <c r="A6978" s="58" t="s">
        <v>248</v>
      </c>
      <c r="B6978" s="58" t="s">
        <v>176</v>
      </c>
      <c r="C6978" s="58">
        <v>2</v>
      </c>
      <c r="D6978" s="58">
        <v>105</v>
      </c>
      <c r="E6978" s="59">
        <v>1275.875</v>
      </c>
    </row>
    <row r="6979" spans="1:5" ht="15" x14ac:dyDescent="0.35">
      <c r="A6979" s="58" t="s">
        <v>248</v>
      </c>
      <c r="B6979" s="58" t="s">
        <v>176</v>
      </c>
      <c r="C6979" s="58">
        <v>3</v>
      </c>
      <c r="D6979" s="58">
        <v>106</v>
      </c>
      <c r="E6979" s="59">
        <v>1275.875</v>
      </c>
    </row>
    <row r="6980" spans="1:5" ht="15" x14ac:dyDescent="0.35">
      <c r="A6980" s="58" t="s">
        <v>248</v>
      </c>
      <c r="B6980" s="58" t="s">
        <v>176</v>
      </c>
      <c r="C6980" s="58">
        <v>4</v>
      </c>
      <c r="D6980" s="58">
        <v>107</v>
      </c>
      <c r="E6980" s="59">
        <v>1275.875</v>
      </c>
    </row>
    <row r="6981" spans="1:5" ht="15" x14ac:dyDescent="0.35">
      <c r="A6981" s="58" t="s">
        <v>248</v>
      </c>
      <c r="B6981" s="58" t="s">
        <v>176</v>
      </c>
      <c r="C6981" s="58">
        <v>5</v>
      </c>
      <c r="D6981" s="58">
        <v>108</v>
      </c>
      <c r="E6981" s="59">
        <v>1275.875</v>
      </c>
    </row>
    <row r="6982" spans="1:5" ht="15" x14ac:dyDescent="0.35">
      <c r="A6982" s="58" t="s">
        <v>248</v>
      </c>
      <c r="B6982" s="58" t="s">
        <v>176</v>
      </c>
      <c r="C6982" s="58">
        <v>6</v>
      </c>
      <c r="D6982" s="58">
        <v>109</v>
      </c>
      <c r="E6982" s="59">
        <v>1275.875</v>
      </c>
    </row>
    <row r="6983" spans="1:5" ht="15" x14ac:dyDescent="0.35">
      <c r="A6983" s="58" t="s">
        <v>248</v>
      </c>
      <c r="B6983" s="58" t="s">
        <v>176</v>
      </c>
      <c r="C6983" s="58">
        <v>7</v>
      </c>
      <c r="D6983" s="58">
        <v>110</v>
      </c>
      <c r="E6983" s="59">
        <v>1275.875</v>
      </c>
    </row>
    <row r="6984" spans="1:5" ht="15" x14ac:dyDescent="0.35">
      <c r="A6984" s="58" t="s">
        <v>248</v>
      </c>
      <c r="B6984" s="58" t="s">
        <v>176</v>
      </c>
      <c r="C6984" s="58">
        <v>8</v>
      </c>
      <c r="D6984" s="58">
        <v>111</v>
      </c>
      <c r="E6984" s="59">
        <v>1275.875</v>
      </c>
    </row>
    <row r="6985" spans="1:5" ht="15" x14ac:dyDescent="0.35">
      <c r="A6985" s="58" t="s">
        <v>248</v>
      </c>
      <c r="B6985" s="58" t="s">
        <v>176</v>
      </c>
      <c r="C6985" s="58">
        <v>9</v>
      </c>
      <c r="D6985" s="58">
        <v>112</v>
      </c>
      <c r="E6985" s="59">
        <v>1275.875</v>
      </c>
    </row>
    <row r="6986" spans="1:5" ht="15" x14ac:dyDescent="0.35">
      <c r="A6986" s="58" t="s">
        <v>248</v>
      </c>
      <c r="B6986" s="58" t="s">
        <v>176</v>
      </c>
      <c r="C6986" s="58">
        <v>10</v>
      </c>
      <c r="D6986" s="58">
        <v>113</v>
      </c>
      <c r="E6986" s="59">
        <v>1275.875</v>
      </c>
    </row>
    <row r="6987" spans="1:5" ht="15" x14ac:dyDescent="0.35">
      <c r="A6987" s="58" t="s">
        <v>248</v>
      </c>
      <c r="B6987" s="58" t="s">
        <v>176</v>
      </c>
      <c r="C6987" s="58">
        <v>11</v>
      </c>
      <c r="D6987" s="58">
        <v>114</v>
      </c>
      <c r="E6987" s="59">
        <v>1275.875</v>
      </c>
    </row>
    <row r="6988" spans="1:5" ht="15" x14ac:dyDescent="0.35">
      <c r="A6988" s="58" t="s">
        <v>248</v>
      </c>
      <c r="B6988" s="58" t="s">
        <v>176</v>
      </c>
      <c r="C6988" s="58">
        <v>12</v>
      </c>
      <c r="D6988" s="58">
        <v>115</v>
      </c>
      <c r="E6988" s="59">
        <v>1275.875</v>
      </c>
    </row>
    <row r="6989" spans="1:5" ht="15" x14ac:dyDescent="0.35">
      <c r="A6989" s="58" t="s">
        <v>248</v>
      </c>
      <c r="B6989" s="58" t="s">
        <v>172</v>
      </c>
      <c r="C6989" s="58">
        <v>1</v>
      </c>
      <c r="D6989" s="58">
        <v>104</v>
      </c>
      <c r="E6989" s="59">
        <v>753</v>
      </c>
    </row>
    <row r="6990" spans="1:5" ht="15" x14ac:dyDescent="0.35">
      <c r="A6990" s="58" t="s">
        <v>248</v>
      </c>
      <c r="B6990" s="58" t="s">
        <v>172</v>
      </c>
      <c r="C6990" s="58">
        <v>2</v>
      </c>
      <c r="D6990" s="58">
        <v>105</v>
      </c>
      <c r="E6990" s="59">
        <v>753</v>
      </c>
    </row>
    <row r="6991" spans="1:5" ht="15" x14ac:dyDescent="0.35">
      <c r="A6991" s="58" t="s">
        <v>248</v>
      </c>
      <c r="B6991" s="58" t="s">
        <v>172</v>
      </c>
      <c r="C6991" s="58">
        <v>3</v>
      </c>
      <c r="D6991" s="58">
        <v>106</v>
      </c>
      <c r="E6991" s="59">
        <v>753</v>
      </c>
    </row>
    <row r="6992" spans="1:5" ht="15" x14ac:dyDescent="0.35">
      <c r="A6992" s="58" t="s">
        <v>248</v>
      </c>
      <c r="B6992" s="58" t="s">
        <v>172</v>
      </c>
      <c r="C6992" s="58">
        <v>4</v>
      </c>
      <c r="D6992" s="58">
        <v>107</v>
      </c>
      <c r="E6992" s="59">
        <v>753</v>
      </c>
    </row>
    <row r="6993" spans="1:5" ht="15" x14ac:dyDescent="0.35">
      <c r="A6993" s="58" t="s">
        <v>248</v>
      </c>
      <c r="B6993" s="58" t="s">
        <v>172</v>
      </c>
      <c r="C6993" s="58">
        <v>5</v>
      </c>
      <c r="D6993" s="58">
        <v>108</v>
      </c>
      <c r="E6993" s="59">
        <v>753</v>
      </c>
    </row>
    <row r="6994" spans="1:5" ht="15" x14ac:dyDescent="0.35">
      <c r="A6994" s="58" t="s">
        <v>248</v>
      </c>
      <c r="B6994" s="58" t="s">
        <v>172</v>
      </c>
      <c r="C6994" s="58">
        <v>6</v>
      </c>
      <c r="D6994" s="58">
        <v>109</v>
      </c>
      <c r="E6994" s="59">
        <v>753</v>
      </c>
    </row>
    <row r="6995" spans="1:5" ht="15" x14ac:dyDescent="0.35">
      <c r="A6995" s="58" t="s">
        <v>248</v>
      </c>
      <c r="B6995" s="58" t="s">
        <v>172</v>
      </c>
      <c r="C6995" s="58">
        <v>7</v>
      </c>
      <c r="D6995" s="58">
        <v>110</v>
      </c>
      <c r="E6995" s="59">
        <v>753</v>
      </c>
    </row>
    <row r="6996" spans="1:5" ht="15" x14ac:dyDescent="0.35">
      <c r="A6996" s="58" t="s">
        <v>248</v>
      </c>
      <c r="B6996" s="58" t="s">
        <v>172</v>
      </c>
      <c r="C6996" s="58">
        <v>8</v>
      </c>
      <c r="D6996" s="58">
        <v>111</v>
      </c>
      <c r="E6996" s="59">
        <v>753</v>
      </c>
    </row>
    <row r="6997" spans="1:5" ht="15" x14ac:dyDescent="0.35">
      <c r="A6997" s="58" t="s">
        <v>248</v>
      </c>
      <c r="B6997" s="58" t="s">
        <v>172</v>
      </c>
      <c r="C6997" s="58">
        <v>9</v>
      </c>
      <c r="D6997" s="58">
        <v>112</v>
      </c>
      <c r="E6997" s="59">
        <v>753</v>
      </c>
    </row>
    <row r="6998" spans="1:5" ht="15" x14ac:dyDescent="0.35">
      <c r="A6998" s="58" t="s">
        <v>248</v>
      </c>
      <c r="B6998" s="58" t="s">
        <v>172</v>
      </c>
      <c r="C6998" s="58">
        <v>10</v>
      </c>
      <c r="D6998" s="58">
        <v>113</v>
      </c>
      <c r="E6998" s="59">
        <v>753</v>
      </c>
    </row>
    <row r="6999" spans="1:5" ht="15" x14ac:dyDescent="0.35">
      <c r="A6999" s="58" t="s">
        <v>248</v>
      </c>
      <c r="B6999" s="58" t="s">
        <v>172</v>
      </c>
      <c r="C6999" s="58">
        <v>11</v>
      </c>
      <c r="D6999" s="58">
        <v>114</v>
      </c>
      <c r="E6999" s="59">
        <v>753</v>
      </c>
    </row>
    <row r="7000" spans="1:5" ht="15" x14ac:dyDescent="0.35">
      <c r="A7000" s="58" t="s">
        <v>248</v>
      </c>
      <c r="B7000" s="58" t="s">
        <v>172</v>
      </c>
      <c r="C7000" s="58">
        <v>12</v>
      </c>
      <c r="D7000" s="58">
        <v>115</v>
      </c>
      <c r="E7000" s="59">
        <v>753</v>
      </c>
    </row>
    <row r="7001" spans="1:5" ht="15" x14ac:dyDescent="0.35">
      <c r="A7001" s="58" t="s">
        <v>248</v>
      </c>
      <c r="B7001" s="58" t="s">
        <v>180</v>
      </c>
      <c r="C7001" s="58">
        <v>1</v>
      </c>
      <c r="D7001" s="58">
        <v>104</v>
      </c>
      <c r="E7001" s="59">
        <v>1173.4724000000001</v>
      </c>
    </row>
    <row r="7002" spans="1:5" ht="15" x14ac:dyDescent="0.35">
      <c r="A7002" s="58" t="s">
        <v>248</v>
      </c>
      <c r="B7002" s="58" t="s">
        <v>180</v>
      </c>
      <c r="C7002" s="58">
        <v>2</v>
      </c>
      <c r="D7002" s="58">
        <v>105</v>
      </c>
      <c r="E7002" s="59">
        <v>1173.4724000000001</v>
      </c>
    </row>
    <row r="7003" spans="1:5" ht="15" x14ac:dyDescent="0.35">
      <c r="A7003" s="58" t="s">
        <v>248</v>
      </c>
      <c r="B7003" s="58" t="s">
        <v>180</v>
      </c>
      <c r="C7003" s="58">
        <v>3</v>
      </c>
      <c r="D7003" s="58">
        <v>106</v>
      </c>
      <c r="E7003" s="59">
        <v>1173.4724000000001</v>
      </c>
    </row>
    <row r="7004" spans="1:5" ht="15" x14ac:dyDescent="0.35">
      <c r="A7004" s="58" t="s">
        <v>248</v>
      </c>
      <c r="B7004" s="58" t="s">
        <v>180</v>
      </c>
      <c r="C7004" s="58">
        <v>4</v>
      </c>
      <c r="D7004" s="58">
        <v>107</v>
      </c>
      <c r="E7004" s="59">
        <v>1173.4724000000001</v>
      </c>
    </row>
    <row r="7005" spans="1:5" ht="15" x14ac:dyDescent="0.35">
      <c r="A7005" s="58" t="s">
        <v>248</v>
      </c>
      <c r="B7005" s="58" t="s">
        <v>180</v>
      </c>
      <c r="C7005" s="58">
        <v>5</v>
      </c>
      <c r="D7005" s="58">
        <v>108</v>
      </c>
      <c r="E7005" s="59">
        <v>1173.4724000000001</v>
      </c>
    </row>
    <row r="7006" spans="1:5" ht="15" x14ac:dyDescent="0.35">
      <c r="A7006" s="58" t="s">
        <v>248</v>
      </c>
      <c r="B7006" s="58" t="s">
        <v>180</v>
      </c>
      <c r="C7006" s="58">
        <v>6</v>
      </c>
      <c r="D7006" s="58">
        <v>109</v>
      </c>
      <c r="E7006" s="59">
        <v>1173.4724000000001</v>
      </c>
    </row>
    <row r="7007" spans="1:5" ht="15" x14ac:dyDescent="0.35">
      <c r="A7007" s="58" t="s">
        <v>248</v>
      </c>
      <c r="B7007" s="58" t="s">
        <v>180</v>
      </c>
      <c r="C7007" s="58">
        <v>7</v>
      </c>
      <c r="D7007" s="58">
        <v>110</v>
      </c>
      <c r="E7007" s="59">
        <v>1173.4724000000001</v>
      </c>
    </row>
    <row r="7008" spans="1:5" ht="15" x14ac:dyDescent="0.35">
      <c r="A7008" s="58" t="s">
        <v>248</v>
      </c>
      <c r="B7008" s="58" t="s">
        <v>180</v>
      </c>
      <c r="C7008" s="58">
        <v>8</v>
      </c>
      <c r="D7008" s="58">
        <v>111</v>
      </c>
      <c r="E7008" s="59">
        <v>1173.4724000000001</v>
      </c>
    </row>
    <row r="7009" spans="1:5" ht="15" x14ac:dyDescent="0.35">
      <c r="A7009" s="58" t="s">
        <v>248</v>
      </c>
      <c r="B7009" s="58" t="s">
        <v>180</v>
      </c>
      <c r="C7009" s="58">
        <v>9</v>
      </c>
      <c r="D7009" s="58">
        <v>112</v>
      </c>
      <c r="E7009" s="59">
        <v>1173.4724000000001</v>
      </c>
    </row>
    <row r="7010" spans="1:5" ht="15" x14ac:dyDescent="0.35">
      <c r="A7010" s="58" t="s">
        <v>248</v>
      </c>
      <c r="B7010" s="58" t="s">
        <v>180</v>
      </c>
      <c r="C7010" s="58">
        <v>10</v>
      </c>
      <c r="D7010" s="58">
        <v>113</v>
      </c>
      <c r="E7010" s="59">
        <v>1173.4724000000001</v>
      </c>
    </row>
    <row r="7011" spans="1:5" ht="15" x14ac:dyDescent="0.35">
      <c r="A7011" s="58" t="s">
        <v>248</v>
      </c>
      <c r="B7011" s="58" t="s">
        <v>180</v>
      </c>
      <c r="C7011" s="58">
        <v>11</v>
      </c>
      <c r="D7011" s="58">
        <v>114</v>
      </c>
      <c r="E7011" s="59">
        <v>1173.4724000000001</v>
      </c>
    </row>
    <row r="7012" spans="1:5" ht="15" x14ac:dyDescent="0.35">
      <c r="A7012" s="58" t="s">
        <v>248</v>
      </c>
      <c r="B7012" s="58" t="s">
        <v>180</v>
      </c>
      <c r="C7012" s="58">
        <v>12</v>
      </c>
      <c r="D7012" s="58">
        <v>115</v>
      </c>
      <c r="E7012" s="59">
        <v>1173.4724000000001</v>
      </c>
    </row>
    <row r="7013" spans="1:5" ht="15" x14ac:dyDescent="0.35">
      <c r="A7013" s="58" t="s">
        <v>269</v>
      </c>
      <c r="B7013" s="58" t="s">
        <v>182</v>
      </c>
      <c r="C7013" s="58">
        <v>1</v>
      </c>
      <c r="D7013" s="58">
        <v>104</v>
      </c>
      <c r="E7013" s="59">
        <v>161.3186</v>
      </c>
    </row>
    <row r="7014" spans="1:5" ht="15" x14ac:dyDescent="0.35">
      <c r="A7014" s="58" t="s">
        <v>269</v>
      </c>
      <c r="B7014" s="58" t="s">
        <v>182</v>
      </c>
      <c r="C7014" s="58">
        <v>2</v>
      </c>
      <c r="D7014" s="58">
        <v>105</v>
      </c>
      <c r="E7014" s="59">
        <v>84.497299999999996</v>
      </c>
    </row>
    <row r="7015" spans="1:5" ht="15" x14ac:dyDescent="0.35">
      <c r="A7015" s="58" t="s">
        <v>269</v>
      </c>
      <c r="B7015" s="58" t="s">
        <v>182</v>
      </c>
      <c r="C7015" s="58">
        <v>3</v>
      </c>
      <c r="D7015" s="58">
        <v>106</v>
      </c>
      <c r="E7015" s="59">
        <v>122.0428</v>
      </c>
    </row>
    <row r="7016" spans="1:5" ht="15" x14ac:dyDescent="0.35">
      <c r="A7016" s="58" t="s">
        <v>269</v>
      </c>
      <c r="B7016" s="58" t="s">
        <v>182</v>
      </c>
      <c r="C7016" s="58">
        <v>4</v>
      </c>
      <c r="D7016" s="58">
        <v>107</v>
      </c>
      <c r="E7016" s="59">
        <v>96.893000000000001</v>
      </c>
    </row>
    <row r="7017" spans="1:5" ht="15" x14ac:dyDescent="0.35">
      <c r="A7017" s="58" t="s">
        <v>269</v>
      </c>
      <c r="B7017" s="58" t="s">
        <v>182</v>
      </c>
      <c r="C7017" s="58">
        <v>5</v>
      </c>
      <c r="D7017" s="58">
        <v>108</v>
      </c>
      <c r="E7017" s="59">
        <v>92.558599999999998</v>
      </c>
    </row>
    <row r="7018" spans="1:5" ht="15" x14ac:dyDescent="0.35">
      <c r="A7018" s="58" t="s">
        <v>269</v>
      </c>
      <c r="B7018" s="58" t="s">
        <v>182</v>
      </c>
      <c r="C7018" s="58">
        <v>6</v>
      </c>
      <c r="D7018" s="58">
        <v>109</v>
      </c>
      <c r="E7018" s="59">
        <v>91.212400000000002</v>
      </c>
    </row>
    <row r="7019" spans="1:5" ht="15" x14ac:dyDescent="0.35">
      <c r="A7019" s="58" t="s">
        <v>269</v>
      </c>
      <c r="B7019" s="58" t="s">
        <v>182</v>
      </c>
      <c r="C7019" s="58">
        <v>7</v>
      </c>
      <c r="D7019" s="58">
        <v>110</v>
      </c>
      <c r="E7019" s="59">
        <v>44.3245</v>
      </c>
    </row>
    <row r="7020" spans="1:5" ht="15" x14ac:dyDescent="0.35">
      <c r="A7020" s="58" t="s">
        <v>269</v>
      </c>
      <c r="B7020" s="58" t="s">
        <v>182</v>
      </c>
      <c r="C7020" s="58">
        <v>8</v>
      </c>
      <c r="D7020" s="58">
        <v>111</v>
      </c>
      <c r="E7020" s="59">
        <v>81.992199999999997</v>
      </c>
    </row>
    <row r="7021" spans="1:5" ht="15" x14ac:dyDescent="0.35">
      <c r="A7021" s="58" t="s">
        <v>269</v>
      </c>
      <c r="B7021" s="58" t="s">
        <v>182</v>
      </c>
      <c r="C7021" s="58">
        <v>9</v>
      </c>
      <c r="D7021" s="58">
        <v>112</v>
      </c>
      <c r="E7021" s="59">
        <v>93.659899999999993</v>
      </c>
    </row>
    <row r="7022" spans="1:5" ht="15" x14ac:dyDescent="0.35">
      <c r="A7022" s="58" t="s">
        <v>269</v>
      </c>
      <c r="B7022" s="58" t="s">
        <v>182</v>
      </c>
      <c r="C7022" s="58">
        <v>10</v>
      </c>
      <c r="D7022" s="58">
        <v>113</v>
      </c>
      <c r="E7022" s="59">
        <v>136.21639999999999</v>
      </c>
    </row>
    <row r="7023" spans="1:5" ht="15" x14ac:dyDescent="0.35">
      <c r="A7023" s="58" t="s">
        <v>269</v>
      </c>
      <c r="B7023" s="58" t="s">
        <v>182</v>
      </c>
      <c r="C7023" s="58">
        <v>11</v>
      </c>
      <c r="D7023" s="58">
        <v>114</v>
      </c>
      <c r="E7023" s="59">
        <v>132.1063</v>
      </c>
    </row>
    <row r="7024" spans="1:5" ht="15" x14ac:dyDescent="0.35">
      <c r="A7024" s="58" t="s">
        <v>269</v>
      </c>
      <c r="B7024" s="58" t="s">
        <v>182</v>
      </c>
      <c r="C7024" s="58">
        <v>12</v>
      </c>
      <c r="D7024" s="58">
        <v>115</v>
      </c>
      <c r="E7024" s="59">
        <v>99.218400000000003</v>
      </c>
    </row>
    <row r="7025" spans="1:5" ht="15" x14ac:dyDescent="0.35">
      <c r="A7025" s="58" t="s">
        <v>269</v>
      </c>
      <c r="B7025" s="58" t="s">
        <v>176</v>
      </c>
      <c r="C7025" s="58">
        <v>1</v>
      </c>
      <c r="D7025" s="58">
        <v>104</v>
      </c>
      <c r="E7025" s="59">
        <v>266.125</v>
      </c>
    </row>
    <row r="7026" spans="1:5" ht="15" x14ac:dyDescent="0.35">
      <c r="A7026" s="58" t="s">
        <v>269</v>
      </c>
      <c r="B7026" s="58" t="s">
        <v>176</v>
      </c>
      <c r="C7026" s="58">
        <v>2</v>
      </c>
      <c r="D7026" s="58">
        <v>105</v>
      </c>
      <c r="E7026" s="59">
        <v>266.125</v>
      </c>
    </row>
    <row r="7027" spans="1:5" ht="15" x14ac:dyDescent="0.35">
      <c r="A7027" s="58" t="s">
        <v>269</v>
      </c>
      <c r="B7027" s="58" t="s">
        <v>176</v>
      </c>
      <c r="C7027" s="58">
        <v>3</v>
      </c>
      <c r="D7027" s="58">
        <v>106</v>
      </c>
      <c r="E7027" s="59">
        <v>266.125</v>
      </c>
    </row>
    <row r="7028" spans="1:5" ht="15" x14ac:dyDescent="0.35">
      <c r="A7028" s="58" t="s">
        <v>269</v>
      </c>
      <c r="B7028" s="58" t="s">
        <v>176</v>
      </c>
      <c r="C7028" s="58">
        <v>4</v>
      </c>
      <c r="D7028" s="58">
        <v>107</v>
      </c>
      <c r="E7028" s="59">
        <v>266.125</v>
      </c>
    </row>
    <row r="7029" spans="1:5" ht="15" x14ac:dyDescent="0.35">
      <c r="A7029" s="58" t="s">
        <v>269</v>
      </c>
      <c r="B7029" s="58" t="s">
        <v>176</v>
      </c>
      <c r="C7029" s="58">
        <v>5</v>
      </c>
      <c r="D7029" s="58">
        <v>108</v>
      </c>
      <c r="E7029" s="59">
        <v>266.125</v>
      </c>
    </row>
    <row r="7030" spans="1:5" ht="15" x14ac:dyDescent="0.35">
      <c r="A7030" s="58" t="s">
        <v>269</v>
      </c>
      <c r="B7030" s="58" t="s">
        <v>176</v>
      </c>
      <c r="C7030" s="58">
        <v>6</v>
      </c>
      <c r="D7030" s="58">
        <v>109</v>
      </c>
      <c r="E7030" s="59">
        <v>266.125</v>
      </c>
    </row>
    <row r="7031" spans="1:5" ht="15" x14ac:dyDescent="0.35">
      <c r="A7031" s="58" t="s">
        <v>269</v>
      </c>
      <c r="B7031" s="58" t="s">
        <v>176</v>
      </c>
      <c r="C7031" s="58">
        <v>7</v>
      </c>
      <c r="D7031" s="58">
        <v>110</v>
      </c>
      <c r="E7031" s="59">
        <v>266.125</v>
      </c>
    </row>
    <row r="7032" spans="1:5" ht="15" x14ac:dyDescent="0.35">
      <c r="A7032" s="58" t="s">
        <v>269</v>
      </c>
      <c r="B7032" s="58" t="s">
        <v>176</v>
      </c>
      <c r="C7032" s="58">
        <v>8</v>
      </c>
      <c r="D7032" s="58">
        <v>111</v>
      </c>
      <c r="E7032" s="59">
        <v>266.125</v>
      </c>
    </row>
    <row r="7033" spans="1:5" ht="15" x14ac:dyDescent="0.35">
      <c r="A7033" s="58" t="s">
        <v>269</v>
      </c>
      <c r="B7033" s="58" t="s">
        <v>176</v>
      </c>
      <c r="C7033" s="58">
        <v>9</v>
      </c>
      <c r="D7033" s="58">
        <v>112</v>
      </c>
      <c r="E7033" s="59">
        <v>266.125</v>
      </c>
    </row>
    <row r="7034" spans="1:5" ht="15" x14ac:dyDescent="0.35">
      <c r="A7034" s="58" t="s">
        <v>269</v>
      </c>
      <c r="B7034" s="58" t="s">
        <v>176</v>
      </c>
      <c r="C7034" s="58">
        <v>10</v>
      </c>
      <c r="D7034" s="58">
        <v>113</v>
      </c>
      <c r="E7034" s="59">
        <v>266.125</v>
      </c>
    </row>
    <row r="7035" spans="1:5" ht="15" x14ac:dyDescent="0.35">
      <c r="A7035" s="58" t="s">
        <v>269</v>
      </c>
      <c r="B7035" s="58" t="s">
        <v>176</v>
      </c>
      <c r="C7035" s="58">
        <v>11</v>
      </c>
      <c r="D7035" s="58">
        <v>114</v>
      </c>
      <c r="E7035" s="59">
        <v>266.125</v>
      </c>
    </row>
    <row r="7036" spans="1:5" ht="15" x14ac:dyDescent="0.35">
      <c r="A7036" s="58" t="s">
        <v>269</v>
      </c>
      <c r="B7036" s="58" t="s">
        <v>176</v>
      </c>
      <c r="C7036" s="58">
        <v>12</v>
      </c>
      <c r="D7036" s="58">
        <v>115</v>
      </c>
      <c r="E7036" s="59">
        <v>266.125</v>
      </c>
    </row>
    <row r="7037" spans="1:5" ht="15" x14ac:dyDescent="0.35">
      <c r="A7037" s="58" t="s">
        <v>269</v>
      </c>
      <c r="B7037" s="58" t="s">
        <v>172</v>
      </c>
      <c r="C7037" s="58">
        <v>1</v>
      </c>
      <c r="D7037" s="58">
        <v>104</v>
      </c>
      <c r="E7037" s="59">
        <v>203</v>
      </c>
    </row>
    <row r="7038" spans="1:5" ht="15" x14ac:dyDescent="0.35">
      <c r="A7038" s="58" t="s">
        <v>269</v>
      </c>
      <c r="B7038" s="58" t="s">
        <v>172</v>
      </c>
      <c r="C7038" s="58">
        <v>2</v>
      </c>
      <c r="D7038" s="58">
        <v>105</v>
      </c>
      <c r="E7038" s="59">
        <v>203</v>
      </c>
    </row>
    <row r="7039" spans="1:5" ht="15" x14ac:dyDescent="0.35">
      <c r="A7039" s="58" t="s">
        <v>269</v>
      </c>
      <c r="B7039" s="58" t="s">
        <v>172</v>
      </c>
      <c r="C7039" s="58">
        <v>3</v>
      </c>
      <c r="D7039" s="58">
        <v>106</v>
      </c>
      <c r="E7039" s="59">
        <v>203</v>
      </c>
    </row>
    <row r="7040" spans="1:5" ht="15" x14ac:dyDescent="0.35">
      <c r="A7040" s="58" t="s">
        <v>269</v>
      </c>
      <c r="B7040" s="58" t="s">
        <v>172</v>
      </c>
      <c r="C7040" s="58">
        <v>4</v>
      </c>
      <c r="D7040" s="58">
        <v>107</v>
      </c>
      <c r="E7040" s="59">
        <v>203</v>
      </c>
    </row>
    <row r="7041" spans="1:5" ht="15" x14ac:dyDescent="0.35">
      <c r="A7041" s="58" t="s">
        <v>269</v>
      </c>
      <c r="B7041" s="58" t="s">
        <v>172</v>
      </c>
      <c r="C7041" s="58">
        <v>5</v>
      </c>
      <c r="D7041" s="58">
        <v>108</v>
      </c>
      <c r="E7041" s="59">
        <v>203</v>
      </c>
    </row>
    <row r="7042" spans="1:5" ht="15" x14ac:dyDescent="0.35">
      <c r="A7042" s="58" t="s">
        <v>269</v>
      </c>
      <c r="B7042" s="58" t="s">
        <v>172</v>
      </c>
      <c r="C7042" s="58">
        <v>6</v>
      </c>
      <c r="D7042" s="58">
        <v>109</v>
      </c>
      <c r="E7042" s="59">
        <v>203</v>
      </c>
    </row>
    <row r="7043" spans="1:5" ht="15" x14ac:dyDescent="0.35">
      <c r="A7043" s="58" t="s">
        <v>269</v>
      </c>
      <c r="B7043" s="58" t="s">
        <v>172</v>
      </c>
      <c r="C7043" s="58">
        <v>7</v>
      </c>
      <c r="D7043" s="58">
        <v>110</v>
      </c>
      <c r="E7043" s="59">
        <v>203</v>
      </c>
    </row>
    <row r="7044" spans="1:5" ht="15" x14ac:dyDescent="0.35">
      <c r="A7044" s="58" t="s">
        <v>269</v>
      </c>
      <c r="B7044" s="58" t="s">
        <v>172</v>
      </c>
      <c r="C7044" s="58">
        <v>8</v>
      </c>
      <c r="D7044" s="58">
        <v>111</v>
      </c>
      <c r="E7044" s="59">
        <v>203</v>
      </c>
    </row>
    <row r="7045" spans="1:5" ht="15" x14ac:dyDescent="0.35">
      <c r="A7045" s="58" t="s">
        <v>269</v>
      </c>
      <c r="B7045" s="58" t="s">
        <v>172</v>
      </c>
      <c r="C7045" s="58">
        <v>9</v>
      </c>
      <c r="D7045" s="58">
        <v>112</v>
      </c>
      <c r="E7045" s="59">
        <v>203</v>
      </c>
    </row>
    <row r="7046" spans="1:5" ht="15" x14ac:dyDescent="0.35">
      <c r="A7046" s="58" t="s">
        <v>269</v>
      </c>
      <c r="B7046" s="58" t="s">
        <v>172</v>
      </c>
      <c r="C7046" s="58">
        <v>10</v>
      </c>
      <c r="D7046" s="58">
        <v>113</v>
      </c>
      <c r="E7046" s="59">
        <v>203</v>
      </c>
    </row>
    <row r="7047" spans="1:5" ht="15" x14ac:dyDescent="0.35">
      <c r="A7047" s="58" t="s">
        <v>269</v>
      </c>
      <c r="B7047" s="58" t="s">
        <v>172</v>
      </c>
      <c r="C7047" s="58">
        <v>11</v>
      </c>
      <c r="D7047" s="58">
        <v>114</v>
      </c>
      <c r="E7047" s="59">
        <v>203</v>
      </c>
    </row>
    <row r="7048" spans="1:5" ht="15" x14ac:dyDescent="0.35">
      <c r="A7048" s="58" t="s">
        <v>269</v>
      </c>
      <c r="B7048" s="58" t="s">
        <v>172</v>
      </c>
      <c r="C7048" s="58">
        <v>12</v>
      </c>
      <c r="D7048" s="58">
        <v>115</v>
      </c>
      <c r="E7048" s="59">
        <v>203</v>
      </c>
    </row>
    <row r="7049" spans="1:5" ht="15" x14ac:dyDescent="0.35">
      <c r="A7049" s="58" t="s">
        <v>269</v>
      </c>
      <c r="B7049" s="58" t="s">
        <v>180</v>
      </c>
      <c r="C7049" s="58">
        <v>1</v>
      </c>
      <c r="D7049" s="58">
        <v>104</v>
      </c>
      <c r="E7049" s="59">
        <v>309.72620000000001</v>
      </c>
    </row>
    <row r="7050" spans="1:5" ht="15" x14ac:dyDescent="0.35">
      <c r="A7050" s="58" t="s">
        <v>269</v>
      </c>
      <c r="B7050" s="58" t="s">
        <v>180</v>
      </c>
      <c r="C7050" s="58">
        <v>2</v>
      </c>
      <c r="D7050" s="58">
        <v>105</v>
      </c>
      <c r="E7050" s="59">
        <v>309.72620000000001</v>
      </c>
    </row>
    <row r="7051" spans="1:5" ht="15" x14ac:dyDescent="0.35">
      <c r="A7051" s="58" t="s">
        <v>269</v>
      </c>
      <c r="B7051" s="58" t="s">
        <v>180</v>
      </c>
      <c r="C7051" s="58">
        <v>3</v>
      </c>
      <c r="D7051" s="58">
        <v>106</v>
      </c>
      <c r="E7051" s="59">
        <v>309.72620000000001</v>
      </c>
    </row>
    <row r="7052" spans="1:5" ht="15" x14ac:dyDescent="0.35">
      <c r="A7052" s="58" t="s">
        <v>269</v>
      </c>
      <c r="B7052" s="58" t="s">
        <v>180</v>
      </c>
      <c r="C7052" s="58">
        <v>4</v>
      </c>
      <c r="D7052" s="58">
        <v>107</v>
      </c>
      <c r="E7052" s="59">
        <v>309.72620000000001</v>
      </c>
    </row>
    <row r="7053" spans="1:5" ht="15" x14ac:dyDescent="0.35">
      <c r="A7053" s="58" t="s">
        <v>269</v>
      </c>
      <c r="B7053" s="58" t="s">
        <v>180</v>
      </c>
      <c r="C7053" s="58">
        <v>5</v>
      </c>
      <c r="D7053" s="58">
        <v>108</v>
      </c>
      <c r="E7053" s="59">
        <v>309.72620000000001</v>
      </c>
    </row>
    <row r="7054" spans="1:5" ht="15" x14ac:dyDescent="0.35">
      <c r="A7054" s="58" t="s">
        <v>269</v>
      </c>
      <c r="B7054" s="58" t="s">
        <v>180</v>
      </c>
      <c r="C7054" s="58">
        <v>6</v>
      </c>
      <c r="D7054" s="58">
        <v>109</v>
      </c>
      <c r="E7054" s="59">
        <v>309.72620000000001</v>
      </c>
    </row>
    <row r="7055" spans="1:5" ht="15" x14ac:dyDescent="0.35">
      <c r="A7055" s="58" t="s">
        <v>269</v>
      </c>
      <c r="B7055" s="58" t="s">
        <v>180</v>
      </c>
      <c r="C7055" s="58">
        <v>7</v>
      </c>
      <c r="D7055" s="58">
        <v>110</v>
      </c>
      <c r="E7055" s="59">
        <v>309.72620000000001</v>
      </c>
    </row>
    <row r="7056" spans="1:5" ht="15" x14ac:dyDescent="0.35">
      <c r="A7056" s="58" t="s">
        <v>269</v>
      </c>
      <c r="B7056" s="58" t="s">
        <v>180</v>
      </c>
      <c r="C7056" s="58">
        <v>8</v>
      </c>
      <c r="D7056" s="58">
        <v>111</v>
      </c>
      <c r="E7056" s="59">
        <v>309.72620000000001</v>
      </c>
    </row>
    <row r="7057" spans="1:5" ht="15" x14ac:dyDescent="0.35">
      <c r="A7057" s="58" t="s">
        <v>269</v>
      </c>
      <c r="B7057" s="58" t="s">
        <v>180</v>
      </c>
      <c r="C7057" s="58">
        <v>9</v>
      </c>
      <c r="D7057" s="58">
        <v>112</v>
      </c>
      <c r="E7057" s="59">
        <v>309.72620000000001</v>
      </c>
    </row>
    <row r="7058" spans="1:5" ht="15" x14ac:dyDescent="0.35">
      <c r="A7058" s="58" t="s">
        <v>269</v>
      </c>
      <c r="B7058" s="58" t="s">
        <v>180</v>
      </c>
      <c r="C7058" s="58">
        <v>10</v>
      </c>
      <c r="D7058" s="58">
        <v>113</v>
      </c>
      <c r="E7058" s="59">
        <v>309.72620000000001</v>
      </c>
    </row>
    <row r="7059" spans="1:5" ht="15" x14ac:dyDescent="0.35">
      <c r="A7059" s="58" t="s">
        <v>269</v>
      </c>
      <c r="B7059" s="58" t="s">
        <v>180</v>
      </c>
      <c r="C7059" s="58">
        <v>11</v>
      </c>
      <c r="D7059" s="58">
        <v>114</v>
      </c>
      <c r="E7059" s="59">
        <v>309.72620000000001</v>
      </c>
    </row>
    <row r="7060" spans="1:5" ht="15" x14ac:dyDescent="0.35">
      <c r="A7060" s="58" t="s">
        <v>269</v>
      </c>
      <c r="B7060" s="58" t="s">
        <v>180</v>
      </c>
      <c r="C7060" s="58">
        <v>12</v>
      </c>
      <c r="D7060" s="58">
        <v>115</v>
      </c>
      <c r="E7060" s="59">
        <v>309.72620000000001</v>
      </c>
    </row>
    <row r="7061" spans="1:5" ht="15" x14ac:dyDescent="0.35">
      <c r="A7061" s="58" t="s">
        <v>259</v>
      </c>
      <c r="B7061" s="58" t="s">
        <v>182</v>
      </c>
      <c r="C7061" s="58">
        <v>1</v>
      </c>
      <c r="D7061" s="58">
        <v>104</v>
      </c>
      <c r="E7061" s="59">
        <v>192.1952</v>
      </c>
    </row>
    <row r="7062" spans="1:5" ht="15" x14ac:dyDescent="0.35">
      <c r="A7062" s="58" t="s">
        <v>259</v>
      </c>
      <c r="B7062" s="58" t="s">
        <v>182</v>
      </c>
      <c r="C7062" s="58">
        <v>2</v>
      </c>
      <c r="D7062" s="58">
        <v>105</v>
      </c>
      <c r="E7062" s="59">
        <v>130.1285</v>
      </c>
    </row>
    <row r="7063" spans="1:5" ht="15" x14ac:dyDescent="0.35">
      <c r="A7063" s="58" t="s">
        <v>259</v>
      </c>
      <c r="B7063" s="58" t="s">
        <v>182</v>
      </c>
      <c r="C7063" s="58">
        <v>3</v>
      </c>
      <c r="D7063" s="58">
        <v>106</v>
      </c>
      <c r="E7063" s="59">
        <v>136.52850000000001</v>
      </c>
    </row>
    <row r="7064" spans="1:5" ht="15" x14ac:dyDescent="0.35">
      <c r="A7064" s="58" t="s">
        <v>259</v>
      </c>
      <c r="B7064" s="58" t="s">
        <v>182</v>
      </c>
      <c r="C7064" s="58">
        <v>4</v>
      </c>
      <c r="D7064" s="58">
        <v>107</v>
      </c>
      <c r="E7064" s="59">
        <v>146.8142</v>
      </c>
    </row>
    <row r="7065" spans="1:5" ht="15" x14ac:dyDescent="0.35">
      <c r="A7065" s="58" t="s">
        <v>259</v>
      </c>
      <c r="B7065" s="58" t="s">
        <v>182</v>
      </c>
      <c r="C7065" s="58">
        <v>5</v>
      </c>
      <c r="D7065" s="58">
        <v>108</v>
      </c>
      <c r="E7065" s="59">
        <v>134.90350000000001</v>
      </c>
    </row>
    <row r="7066" spans="1:5" ht="15" x14ac:dyDescent="0.35">
      <c r="A7066" s="58" t="s">
        <v>259</v>
      </c>
      <c r="B7066" s="58" t="s">
        <v>182</v>
      </c>
      <c r="C7066" s="58">
        <v>6</v>
      </c>
      <c r="D7066" s="58">
        <v>109</v>
      </c>
      <c r="E7066" s="59">
        <v>128.75069999999999</v>
      </c>
    </row>
    <row r="7067" spans="1:5" ht="15" x14ac:dyDescent="0.35">
      <c r="A7067" s="58" t="s">
        <v>259</v>
      </c>
      <c r="B7067" s="58" t="s">
        <v>182</v>
      </c>
      <c r="C7067" s="58">
        <v>7</v>
      </c>
      <c r="D7067" s="58">
        <v>110</v>
      </c>
      <c r="E7067" s="59">
        <v>105.30629999999999</v>
      </c>
    </row>
    <row r="7068" spans="1:5" ht="15" x14ac:dyDescent="0.35">
      <c r="A7068" s="58" t="s">
        <v>259</v>
      </c>
      <c r="B7068" s="58" t="s">
        <v>182</v>
      </c>
      <c r="C7068" s="58">
        <v>8</v>
      </c>
      <c r="D7068" s="58">
        <v>111</v>
      </c>
      <c r="E7068" s="59">
        <v>140.52850000000001</v>
      </c>
    </row>
    <row r="7069" spans="1:5" ht="15" x14ac:dyDescent="0.35">
      <c r="A7069" s="58" t="s">
        <v>259</v>
      </c>
      <c r="B7069" s="58" t="s">
        <v>182</v>
      </c>
      <c r="C7069" s="58">
        <v>9</v>
      </c>
      <c r="D7069" s="58">
        <v>112</v>
      </c>
      <c r="E7069" s="59">
        <v>148.75069999999999</v>
      </c>
    </row>
    <row r="7070" spans="1:5" ht="15" x14ac:dyDescent="0.35">
      <c r="A7070" s="58" t="s">
        <v>259</v>
      </c>
      <c r="B7070" s="58" t="s">
        <v>182</v>
      </c>
      <c r="C7070" s="58">
        <v>10</v>
      </c>
      <c r="D7070" s="58">
        <v>113</v>
      </c>
      <c r="E7070" s="59">
        <v>194.86179999999999</v>
      </c>
    </row>
    <row r="7071" spans="1:5" ht="15" x14ac:dyDescent="0.35">
      <c r="A7071" s="58" t="s">
        <v>259</v>
      </c>
      <c r="B7071" s="58" t="s">
        <v>182</v>
      </c>
      <c r="C7071" s="58">
        <v>11</v>
      </c>
      <c r="D7071" s="58">
        <v>114</v>
      </c>
      <c r="E7071" s="59">
        <v>173.86179999999999</v>
      </c>
    </row>
    <row r="7072" spans="1:5" ht="15" x14ac:dyDescent="0.35">
      <c r="A7072" s="58" t="s">
        <v>259</v>
      </c>
      <c r="B7072" s="58" t="s">
        <v>182</v>
      </c>
      <c r="C7072" s="58">
        <v>12</v>
      </c>
      <c r="D7072" s="58">
        <v>115</v>
      </c>
      <c r="E7072" s="59">
        <v>182.41739999999999</v>
      </c>
    </row>
    <row r="7073" spans="1:5" ht="15" x14ac:dyDescent="0.35">
      <c r="A7073" s="58" t="s">
        <v>259</v>
      </c>
      <c r="B7073" s="58" t="s">
        <v>176</v>
      </c>
      <c r="C7073" s="58">
        <v>1</v>
      </c>
      <c r="D7073" s="58">
        <v>104</v>
      </c>
      <c r="E7073" s="59">
        <v>291.625</v>
      </c>
    </row>
    <row r="7074" spans="1:5" ht="15" x14ac:dyDescent="0.35">
      <c r="A7074" s="58" t="s">
        <v>259</v>
      </c>
      <c r="B7074" s="58" t="s">
        <v>176</v>
      </c>
      <c r="C7074" s="58">
        <v>2</v>
      </c>
      <c r="D7074" s="58">
        <v>105</v>
      </c>
      <c r="E7074" s="59">
        <v>291.625</v>
      </c>
    </row>
    <row r="7075" spans="1:5" ht="15" x14ac:dyDescent="0.35">
      <c r="A7075" s="58" t="s">
        <v>259</v>
      </c>
      <c r="B7075" s="58" t="s">
        <v>176</v>
      </c>
      <c r="C7075" s="58">
        <v>3</v>
      </c>
      <c r="D7075" s="58">
        <v>106</v>
      </c>
      <c r="E7075" s="59">
        <v>291.625</v>
      </c>
    </row>
    <row r="7076" spans="1:5" ht="15" x14ac:dyDescent="0.35">
      <c r="A7076" s="58" t="s">
        <v>259</v>
      </c>
      <c r="B7076" s="58" t="s">
        <v>176</v>
      </c>
      <c r="C7076" s="58">
        <v>4</v>
      </c>
      <c r="D7076" s="58">
        <v>107</v>
      </c>
      <c r="E7076" s="59">
        <v>291.625</v>
      </c>
    </row>
    <row r="7077" spans="1:5" ht="15" x14ac:dyDescent="0.35">
      <c r="A7077" s="58" t="s">
        <v>259</v>
      </c>
      <c r="B7077" s="58" t="s">
        <v>176</v>
      </c>
      <c r="C7077" s="58">
        <v>5</v>
      </c>
      <c r="D7077" s="58">
        <v>108</v>
      </c>
      <c r="E7077" s="59">
        <v>291.625</v>
      </c>
    </row>
    <row r="7078" spans="1:5" ht="15" x14ac:dyDescent="0.35">
      <c r="A7078" s="58" t="s">
        <v>259</v>
      </c>
      <c r="B7078" s="58" t="s">
        <v>176</v>
      </c>
      <c r="C7078" s="58">
        <v>6</v>
      </c>
      <c r="D7078" s="58">
        <v>109</v>
      </c>
      <c r="E7078" s="59">
        <v>291.625</v>
      </c>
    </row>
    <row r="7079" spans="1:5" ht="15" x14ac:dyDescent="0.35">
      <c r="A7079" s="58" t="s">
        <v>259</v>
      </c>
      <c r="B7079" s="58" t="s">
        <v>176</v>
      </c>
      <c r="C7079" s="58">
        <v>7</v>
      </c>
      <c r="D7079" s="58">
        <v>110</v>
      </c>
      <c r="E7079" s="59">
        <v>291.625</v>
      </c>
    </row>
    <row r="7080" spans="1:5" ht="15" x14ac:dyDescent="0.35">
      <c r="A7080" s="58" t="s">
        <v>259</v>
      </c>
      <c r="B7080" s="58" t="s">
        <v>176</v>
      </c>
      <c r="C7080" s="58">
        <v>8</v>
      </c>
      <c r="D7080" s="58">
        <v>111</v>
      </c>
      <c r="E7080" s="59">
        <v>291.625</v>
      </c>
    </row>
    <row r="7081" spans="1:5" ht="15" x14ac:dyDescent="0.35">
      <c r="A7081" s="58" t="s">
        <v>259</v>
      </c>
      <c r="B7081" s="58" t="s">
        <v>176</v>
      </c>
      <c r="C7081" s="58">
        <v>9</v>
      </c>
      <c r="D7081" s="58">
        <v>112</v>
      </c>
      <c r="E7081" s="59">
        <v>291.625</v>
      </c>
    </row>
    <row r="7082" spans="1:5" ht="15" x14ac:dyDescent="0.35">
      <c r="A7082" s="58" t="s">
        <v>259</v>
      </c>
      <c r="B7082" s="58" t="s">
        <v>176</v>
      </c>
      <c r="C7082" s="58">
        <v>10</v>
      </c>
      <c r="D7082" s="58">
        <v>113</v>
      </c>
      <c r="E7082" s="59">
        <v>291.625</v>
      </c>
    </row>
    <row r="7083" spans="1:5" ht="15" x14ac:dyDescent="0.35">
      <c r="A7083" s="58" t="s">
        <v>259</v>
      </c>
      <c r="B7083" s="58" t="s">
        <v>176</v>
      </c>
      <c r="C7083" s="58">
        <v>11</v>
      </c>
      <c r="D7083" s="58">
        <v>114</v>
      </c>
      <c r="E7083" s="59">
        <v>291.625</v>
      </c>
    </row>
    <row r="7084" spans="1:5" ht="15" x14ac:dyDescent="0.35">
      <c r="A7084" s="58" t="s">
        <v>259</v>
      </c>
      <c r="B7084" s="58" t="s">
        <v>176</v>
      </c>
      <c r="C7084" s="58">
        <v>12</v>
      </c>
      <c r="D7084" s="58">
        <v>115</v>
      </c>
      <c r="E7084" s="59">
        <v>291.625</v>
      </c>
    </row>
    <row r="7085" spans="1:5" ht="15" x14ac:dyDescent="0.35">
      <c r="A7085" s="58" t="s">
        <v>259</v>
      </c>
      <c r="B7085" s="58" t="s">
        <v>172</v>
      </c>
      <c r="C7085" s="58">
        <v>1</v>
      </c>
      <c r="D7085" s="58">
        <v>104</v>
      </c>
      <c r="E7085" s="59">
        <v>42</v>
      </c>
    </row>
    <row r="7086" spans="1:5" ht="15" x14ac:dyDescent="0.35">
      <c r="A7086" s="58" t="s">
        <v>259</v>
      </c>
      <c r="B7086" s="58" t="s">
        <v>172</v>
      </c>
      <c r="C7086" s="58">
        <v>2</v>
      </c>
      <c r="D7086" s="58">
        <v>105</v>
      </c>
      <c r="E7086" s="59">
        <v>42</v>
      </c>
    </row>
    <row r="7087" spans="1:5" ht="15" x14ac:dyDescent="0.35">
      <c r="A7087" s="58" t="s">
        <v>259</v>
      </c>
      <c r="B7087" s="58" t="s">
        <v>172</v>
      </c>
      <c r="C7087" s="58">
        <v>3</v>
      </c>
      <c r="D7087" s="58">
        <v>106</v>
      </c>
      <c r="E7087" s="59">
        <v>42</v>
      </c>
    </row>
    <row r="7088" spans="1:5" ht="15" x14ac:dyDescent="0.35">
      <c r="A7088" s="58" t="s">
        <v>259</v>
      </c>
      <c r="B7088" s="58" t="s">
        <v>172</v>
      </c>
      <c r="C7088" s="58">
        <v>4</v>
      </c>
      <c r="D7088" s="58">
        <v>107</v>
      </c>
      <c r="E7088" s="59">
        <v>42</v>
      </c>
    </row>
    <row r="7089" spans="1:5" ht="15" x14ac:dyDescent="0.35">
      <c r="A7089" s="58" t="s">
        <v>259</v>
      </c>
      <c r="B7089" s="58" t="s">
        <v>172</v>
      </c>
      <c r="C7089" s="58">
        <v>5</v>
      </c>
      <c r="D7089" s="58">
        <v>108</v>
      </c>
      <c r="E7089" s="59">
        <v>42</v>
      </c>
    </row>
    <row r="7090" spans="1:5" ht="15" x14ac:dyDescent="0.35">
      <c r="A7090" s="58" t="s">
        <v>259</v>
      </c>
      <c r="B7090" s="58" t="s">
        <v>172</v>
      </c>
      <c r="C7090" s="58">
        <v>6</v>
      </c>
      <c r="D7090" s="58">
        <v>109</v>
      </c>
      <c r="E7090" s="59">
        <v>42</v>
      </c>
    </row>
    <row r="7091" spans="1:5" ht="15" x14ac:dyDescent="0.35">
      <c r="A7091" s="58" t="s">
        <v>259</v>
      </c>
      <c r="B7091" s="58" t="s">
        <v>172</v>
      </c>
      <c r="C7091" s="58">
        <v>7</v>
      </c>
      <c r="D7091" s="58">
        <v>110</v>
      </c>
      <c r="E7091" s="59">
        <v>42</v>
      </c>
    </row>
    <row r="7092" spans="1:5" ht="15" x14ac:dyDescent="0.35">
      <c r="A7092" s="58" t="s">
        <v>259</v>
      </c>
      <c r="B7092" s="58" t="s">
        <v>172</v>
      </c>
      <c r="C7092" s="58">
        <v>8</v>
      </c>
      <c r="D7092" s="58">
        <v>111</v>
      </c>
      <c r="E7092" s="59">
        <v>42</v>
      </c>
    </row>
    <row r="7093" spans="1:5" ht="15" x14ac:dyDescent="0.35">
      <c r="A7093" s="58" t="s">
        <v>259</v>
      </c>
      <c r="B7093" s="58" t="s">
        <v>172</v>
      </c>
      <c r="C7093" s="58">
        <v>9</v>
      </c>
      <c r="D7093" s="58">
        <v>112</v>
      </c>
      <c r="E7093" s="59">
        <v>42</v>
      </c>
    </row>
    <row r="7094" spans="1:5" ht="15" x14ac:dyDescent="0.35">
      <c r="A7094" s="58" t="s">
        <v>259</v>
      </c>
      <c r="B7094" s="58" t="s">
        <v>172</v>
      </c>
      <c r="C7094" s="58">
        <v>10</v>
      </c>
      <c r="D7094" s="58">
        <v>113</v>
      </c>
      <c r="E7094" s="59">
        <v>42</v>
      </c>
    </row>
    <row r="7095" spans="1:5" ht="15" x14ac:dyDescent="0.35">
      <c r="A7095" s="58" t="s">
        <v>259</v>
      </c>
      <c r="B7095" s="58" t="s">
        <v>172</v>
      </c>
      <c r="C7095" s="58">
        <v>11</v>
      </c>
      <c r="D7095" s="58">
        <v>114</v>
      </c>
      <c r="E7095" s="59">
        <v>42</v>
      </c>
    </row>
    <row r="7096" spans="1:5" ht="15" x14ac:dyDescent="0.35">
      <c r="A7096" s="58" t="s">
        <v>259</v>
      </c>
      <c r="B7096" s="58" t="s">
        <v>172</v>
      </c>
      <c r="C7096" s="58">
        <v>12</v>
      </c>
      <c r="D7096" s="58">
        <v>115</v>
      </c>
      <c r="E7096" s="59">
        <v>42</v>
      </c>
    </row>
    <row r="7097" spans="1:5" ht="15" x14ac:dyDescent="0.35">
      <c r="A7097" s="58" t="s">
        <v>259</v>
      </c>
      <c r="B7097" s="58" t="s">
        <v>180</v>
      </c>
      <c r="C7097" s="58">
        <v>1</v>
      </c>
      <c r="D7097" s="58">
        <v>104</v>
      </c>
      <c r="E7097" s="59">
        <v>326.89960000000002</v>
      </c>
    </row>
    <row r="7098" spans="1:5" ht="15" x14ac:dyDescent="0.35">
      <c r="A7098" s="58" t="s">
        <v>259</v>
      </c>
      <c r="B7098" s="58" t="s">
        <v>180</v>
      </c>
      <c r="C7098" s="58">
        <v>2</v>
      </c>
      <c r="D7098" s="58">
        <v>105</v>
      </c>
      <c r="E7098" s="59">
        <v>326.89960000000002</v>
      </c>
    </row>
    <row r="7099" spans="1:5" ht="15" x14ac:dyDescent="0.35">
      <c r="A7099" s="58" t="s">
        <v>259</v>
      </c>
      <c r="B7099" s="58" t="s">
        <v>180</v>
      </c>
      <c r="C7099" s="58">
        <v>3</v>
      </c>
      <c r="D7099" s="58">
        <v>106</v>
      </c>
      <c r="E7099" s="59">
        <v>326.89960000000002</v>
      </c>
    </row>
    <row r="7100" spans="1:5" ht="15" x14ac:dyDescent="0.35">
      <c r="A7100" s="58" t="s">
        <v>259</v>
      </c>
      <c r="B7100" s="58" t="s">
        <v>180</v>
      </c>
      <c r="C7100" s="58">
        <v>4</v>
      </c>
      <c r="D7100" s="58">
        <v>107</v>
      </c>
      <c r="E7100" s="59">
        <v>326.89960000000002</v>
      </c>
    </row>
    <row r="7101" spans="1:5" ht="15" x14ac:dyDescent="0.35">
      <c r="A7101" s="58" t="s">
        <v>259</v>
      </c>
      <c r="B7101" s="58" t="s">
        <v>180</v>
      </c>
      <c r="C7101" s="58">
        <v>5</v>
      </c>
      <c r="D7101" s="58">
        <v>108</v>
      </c>
      <c r="E7101" s="59">
        <v>326.89960000000002</v>
      </c>
    </row>
    <row r="7102" spans="1:5" ht="15" x14ac:dyDescent="0.35">
      <c r="A7102" s="58" t="s">
        <v>259</v>
      </c>
      <c r="B7102" s="58" t="s">
        <v>180</v>
      </c>
      <c r="C7102" s="58">
        <v>6</v>
      </c>
      <c r="D7102" s="58">
        <v>109</v>
      </c>
      <c r="E7102" s="59">
        <v>326.89960000000002</v>
      </c>
    </row>
    <row r="7103" spans="1:5" ht="15" x14ac:dyDescent="0.35">
      <c r="A7103" s="58" t="s">
        <v>259</v>
      </c>
      <c r="B7103" s="58" t="s">
        <v>180</v>
      </c>
      <c r="C7103" s="58">
        <v>7</v>
      </c>
      <c r="D7103" s="58">
        <v>110</v>
      </c>
      <c r="E7103" s="59">
        <v>326.89960000000002</v>
      </c>
    </row>
    <row r="7104" spans="1:5" ht="15" x14ac:dyDescent="0.35">
      <c r="A7104" s="58" t="s">
        <v>259</v>
      </c>
      <c r="B7104" s="58" t="s">
        <v>180</v>
      </c>
      <c r="C7104" s="58">
        <v>8</v>
      </c>
      <c r="D7104" s="58">
        <v>111</v>
      </c>
      <c r="E7104" s="59">
        <v>326.89960000000002</v>
      </c>
    </row>
    <row r="7105" spans="1:5" ht="15" x14ac:dyDescent="0.35">
      <c r="A7105" s="58" t="s">
        <v>259</v>
      </c>
      <c r="B7105" s="58" t="s">
        <v>180</v>
      </c>
      <c r="C7105" s="58">
        <v>9</v>
      </c>
      <c r="D7105" s="58">
        <v>112</v>
      </c>
      <c r="E7105" s="59">
        <v>326.89960000000002</v>
      </c>
    </row>
    <row r="7106" spans="1:5" ht="15" x14ac:dyDescent="0.35">
      <c r="A7106" s="58" t="s">
        <v>259</v>
      </c>
      <c r="B7106" s="58" t="s">
        <v>180</v>
      </c>
      <c r="C7106" s="58">
        <v>10</v>
      </c>
      <c r="D7106" s="58">
        <v>113</v>
      </c>
      <c r="E7106" s="59">
        <v>326.89960000000002</v>
      </c>
    </row>
    <row r="7107" spans="1:5" ht="15" x14ac:dyDescent="0.35">
      <c r="A7107" s="58" t="s">
        <v>259</v>
      </c>
      <c r="B7107" s="58" t="s">
        <v>180</v>
      </c>
      <c r="C7107" s="58">
        <v>11</v>
      </c>
      <c r="D7107" s="58">
        <v>114</v>
      </c>
      <c r="E7107" s="59">
        <v>326.89960000000002</v>
      </c>
    </row>
    <row r="7108" spans="1:5" ht="15" x14ac:dyDescent="0.35">
      <c r="A7108" s="58" t="s">
        <v>259</v>
      </c>
      <c r="B7108" s="58" t="s">
        <v>180</v>
      </c>
      <c r="C7108" s="58">
        <v>12</v>
      </c>
      <c r="D7108" s="58">
        <v>115</v>
      </c>
      <c r="E7108" s="59">
        <v>326.89960000000002</v>
      </c>
    </row>
    <row r="7109" spans="1:5" ht="15" x14ac:dyDescent="0.35">
      <c r="A7109" s="58" t="s">
        <v>158</v>
      </c>
      <c r="B7109" s="58" t="s">
        <v>182</v>
      </c>
      <c r="C7109" s="58">
        <v>1</v>
      </c>
      <c r="D7109" s="58">
        <v>104</v>
      </c>
      <c r="E7109" s="59">
        <v>548.35450000000003</v>
      </c>
    </row>
    <row r="7110" spans="1:5" ht="15" x14ac:dyDescent="0.35">
      <c r="A7110" s="58" t="s">
        <v>158</v>
      </c>
      <c r="B7110" s="58" t="s">
        <v>182</v>
      </c>
      <c r="C7110" s="58">
        <v>2</v>
      </c>
      <c r="D7110" s="58">
        <v>105</v>
      </c>
      <c r="E7110" s="59">
        <v>711.26239999999996</v>
      </c>
    </row>
    <row r="7111" spans="1:5" ht="15" x14ac:dyDescent="0.35">
      <c r="A7111" s="58" t="s">
        <v>158</v>
      </c>
      <c r="B7111" s="58" t="s">
        <v>182</v>
      </c>
      <c r="C7111" s="58">
        <v>3</v>
      </c>
      <c r="D7111" s="58">
        <v>106</v>
      </c>
      <c r="E7111" s="59">
        <v>646.93709999999999</v>
      </c>
    </row>
    <row r="7112" spans="1:5" ht="15" x14ac:dyDescent="0.35">
      <c r="A7112" s="58" t="s">
        <v>158</v>
      </c>
      <c r="B7112" s="58" t="s">
        <v>182</v>
      </c>
      <c r="C7112" s="58">
        <v>4</v>
      </c>
      <c r="D7112" s="58">
        <v>107</v>
      </c>
      <c r="E7112" s="59">
        <v>668.81169999999997</v>
      </c>
    </row>
    <row r="7113" spans="1:5" ht="15" x14ac:dyDescent="0.35">
      <c r="A7113" s="58" t="s">
        <v>158</v>
      </c>
      <c r="B7113" s="58" t="s">
        <v>182</v>
      </c>
      <c r="C7113" s="58">
        <v>5</v>
      </c>
      <c r="D7113" s="58">
        <v>108</v>
      </c>
      <c r="E7113" s="59">
        <v>679.56140000000005</v>
      </c>
    </row>
    <row r="7114" spans="1:5" ht="15" x14ac:dyDescent="0.35">
      <c r="A7114" s="58" t="s">
        <v>158</v>
      </c>
      <c r="B7114" s="58" t="s">
        <v>182</v>
      </c>
      <c r="C7114" s="58">
        <v>6</v>
      </c>
      <c r="D7114" s="58">
        <v>109</v>
      </c>
      <c r="E7114" s="59">
        <v>614.56100000000004</v>
      </c>
    </row>
    <row r="7115" spans="1:5" ht="15" x14ac:dyDescent="0.35">
      <c r="A7115" s="58" t="s">
        <v>158</v>
      </c>
      <c r="B7115" s="58" t="s">
        <v>182</v>
      </c>
      <c r="C7115" s="58">
        <v>7</v>
      </c>
      <c r="D7115" s="58">
        <v>110</v>
      </c>
      <c r="E7115" s="59">
        <v>323.26900000000001</v>
      </c>
    </row>
    <row r="7116" spans="1:5" ht="15" x14ac:dyDescent="0.35">
      <c r="A7116" s="58" t="s">
        <v>158</v>
      </c>
      <c r="B7116" s="58" t="s">
        <v>182</v>
      </c>
      <c r="C7116" s="58">
        <v>8</v>
      </c>
      <c r="D7116" s="58">
        <v>111</v>
      </c>
      <c r="E7116" s="59">
        <v>247.86590000000001</v>
      </c>
    </row>
    <row r="7117" spans="1:5" ht="15" x14ac:dyDescent="0.35">
      <c r="A7117" s="58" t="s">
        <v>158</v>
      </c>
      <c r="B7117" s="58" t="s">
        <v>182</v>
      </c>
      <c r="C7117" s="58">
        <v>9</v>
      </c>
      <c r="D7117" s="58">
        <v>112</v>
      </c>
      <c r="E7117" s="59">
        <v>329.79610000000002</v>
      </c>
    </row>
    <row r="7118" spans="1:5" ht="15" x14ac:dyDescent="0.35">
      <c r="A7118" s="58" t="s">
        <v>158</v>
      </c>
      <c r="B7118" s="58" t="s">
        <v>182</v>
      </c>
      <c r="C7118" s="58">
        <v>10</v>
      </c>
      <c r="D7118" s="58">
        <v>113</v>
      </c>
      <c r="E7118" s="59">
        <v>416.17070000000001</v>
      </c>
    </row>
    <row r="7119" spans="1:5" ht="15" x14ac:dyDescent="0.35">
      <c r="A7119" s="58" t="s">
        <v>158</v>
      </c>
      <c r="B7119" s="58" t="s">
        <v>182</v>
      </c>
      <c r="C7119" s="58">
        <v>11</v>
      </c>
      <c r="D7119" s="58">
        <v>114</v>
      </c>
      <c r="E7119" s="59">
        <v>305.76760000000002</v>
      </c>
    </row>
    <row r="7120" spans="1:5" ht="15" x14ac:dyDescent="0.35">
      <c r="A7120" s="58" t="s">
        <v>158</v>
      </c>
      <c r="B7120" s="58" t="s">
        <v>182</v>
      </c>
      <c r="C7120" s="58">
        <v>12</v>
      </c>
      <c r="D7120" s="58">
        <v>115</v>
      </c>
      <c r="E7120" s="59">
        <v>361.80889999999999</v>
      </c>
    </row>
    <row r="7121" spans="1:5" ht="15" x14ac:dyDescent="0.35">
      <c r="A7121" s="58" t="s">
        <v>158</v>
      </c>
      <c r="B7121" s="58" t="s">
        <v>176</v>
      </c>
      <c r="C7121" s="58">
        <v>1</v>
      </c>
      <c r="D7121" s="58">
        <v>104</v>
      </c>
      <c r="E7121" s="59">
        <v>756</v>
      </c>
    </row>
    <row r="7122" spans="1:5" ht="15" x14ac:dyDescent="0.35">
      <c r="A7122" s="58" t="s">
        <v>158</v>
      </c>
      <c r="B7122" s="58" t="s">
        <v>176</v>
      </c>
      <c r="C7122" s="58">
        <v>2</v>
      </c>
      <c r="D7122" s="58">
        <v>105</v>
      </c>
      <c r="E7122" s="59">
        <v>756</v>
      </c>
    </row>
    <row r="7123" spans="1:5" ht="15" x14ac:dyDescent="0.35">
      <c r="A7123" s="58" t="s">
        <v>158</v>
      </c>
      <c r="B7123" s="58" t="s">
        <v>176</v>
      </c>
      <c r="C7123" s="58">
        <v>3</v>
      </c>
      <c r="D7123" s="58">
        <v>106</v>
      </c>
      <c r="E7123" s="59">
        <v>756</v>
      </c>
    </row>
    <row r="7124" spans="1:5" ht="15" x14ac:dyDescent="0.35">
      <c r="A7124" s="58" t="s">
        <v>158</v>
      </c>
      <c r="B7124" s="58" t="s">
        <v>176</v>
      </c>
      <c r="C7124" s="58">
        <v>4</v>
      </c>
      <c r="D7124" s="58">
        <v>107</v>
      </c>
      <c r="E7124" s="59">
        <v>756</v>
      </c>
    </row>
    <row r="7125" spans="1:5" ht="15" x14ac:dyDescent="0.35">
      <c r="A7125" s="58" t="s">
        <v>158</v>
      </c>
      <c r="B7125" s="58" t="s">
        <v>176</v>
      </c>
      <c r="C7125" s="58">
        <v>5</v>
      </c>
      <c r="D7125" s="58">
        <v>108</v>
      </c>
      <c r="E7125" s="59">
        <v>756</v>
      </c>
    </row>
    <row r="7126" spans="1:5" ht="15" x14ac:dyDescent="0.35">
      <c r="A7126" s="58" t="s">
        <v>158</v>
      </c>
      <c r="B7126" s="58" t="s">
        <v>176</v>
      </c>
      <c r="C7126" s="58">
        <v>6</v>
      </c>
      <c r="D7126" s="58">
        <v>109</v>
      </c>
      <c r="E7126" s="59">
        <v>756</v>
      </c>
    </row>
    <row r="7127" spans="1:5" ht="15" x14ac:dyDescent="0.35">
      <c r="A7127" s="58" t="s">
        <v>158</v>
      </c>
      <c r="B7127" s="58" t="s">
        <v>176</v>
      </c>
      <c r="C7127" s="58">
        <v>7</v>
      </c>
      <c r="D7127" s="58">
        <v>110</v>
      </c>
      <c r="E7127" s="59">
        <v>756</v>
      </c>
    </row>
    <row r="7128" spans="1:5" ht="15" x14ac:dyDescent="0.35">
      <c r="A7128" s="58" t="s">
        <v>158</v>
      </c>
      <c r="B7128" s="58" t="s">
        <v>176</v>
      </c>
      <c r="C7128" s="58">
        <v>8</v>
      </c>
      <c r="D7128" s="58">
        <v>111</v>
      </c>
      <c r="E7128" s="59">
        <v>756</v>
      </c>
    </row>
    <row r="7129" spans="1:5" ht="15" x14ac:dyDescent="0.35">
      <c r="A7129" s="58" t="s">
        <v>158</v>
      </c>
      <c r="B7129" s="58" t="s">
        <v>176</v>
      </c>
      <c r="C7129" s="58">
        <v>9</v>
      </c>
      <c r="D7129" s="58">
        <v>112</v>
      </c>
      <c r="E7129" s="59">
        <v>756</v>
      </c>
    </row>
    <row r="7130" spans="1:5" ht="15" x14ac:dyDescent="0.35">
      <c r="A7130" s="58" t="s">
        <v>158</v>
      </c>
      <c r="B7130" s="58" t="s">
        <v>176</v>
      </c>
      <c r="C7130" s="58">
        <v>10</v>
      </c>
      <c r="D7130" s="58">
        <v>113</v>
      </c>
      <c r="E7130" s="59">
        <v>756</v>
      </c>
    </row>
    <row r="7131" spans="1:5" ht="15" x14ac:dyDescent="0.35">
      <c r="A7131" s="58" t="s">
        <v>158</v>
      </c>
      <c r="B7131" s="58" t="s">
        <v>176</v>
      </c>
      <c r="C7131" s="58">
        <v>11</v>
      </c>
      <c r="D7131" s="58">
        <v>114</v>
      </c>
      <c r="E7131" s="59">
        <v>756</v>
      </c>
    </row>
    <row r="7132" spans="1:5" ht="15" x14ac:dyDescent="0.35">
      <c r="A7132" s="58" t="s">
        <v>158</v>
      </c>
      <c r="B7132" s="58" t="s">
        <v>176</v>
      </c>
      <c r="C7132" s="58">
        <v>12</v>
      </c>
      <c r="D7132" s="58">
        <v>115</v>
      </c>
      <c r="E7132" s="59">
        <v>756</v>
      </c>
    </row>
    <row r="7133" spans="1:5" ht="15" x14ac:dyDescent="0.35">
      <c r="A7133" s="58" t="s">
        <v>158</v>
      </c>
      <c r="B7133" s="58" t="s">
        <v>172</v>
      </c>
      <c r="C7133" s="58">
        <v>1</v>
      </c>
      <c r="D7133" s="58">
        <v>104</v>
      </c>
      <c r="E7133" s="59">
        <v>903</v>
      </c>
    </row>
    <row r="7134" spans="1:5" ht="15" x14ac:dyDescent="0.35">
      <c r="A7134" s="58" t="s">
        <v>158</v>
      </c>
      <c r="B7134" s="58" t="s">
        <v>172</v>
      </c>
      <c r="C7134" s="58">
        <v>2</v>
      </c>
      <c r="D7134" s="58">
        <v>105</v>
      </c>
      <c r="E7134" s="59">
        <v>903</v>
      </c>
    </row>
    <row r="7135" spans="1:5" ht="15" x14ac:dyDescent="0.35">
      <c r="A7135" s="58" t="s">
        <v>158</v>
      </c>
      <c r="B7135" s="58" t="s">
        <v>172</v>
      </c>
      <c r="C7135" s="58">
        <v>3</v>
      </c>
      <c r="D7135" s="58">
        <v>106</v>
      </c>
      <c r="E7135" s="59">
        <v>903</v>
      </c>
    </row>
    <row r="7136" spans="1:5" ht="15" x14ac:dyDescent="0.35">
      <c r="A7136" s="58" t="s">
        <v>158</v>
      </c>
      <c r="B7136" s="58" t="s">
        <v>172</v>
      </c>
      <c r="C7136" s="58">
        <v>4</v>
      </c>
      <c r="D7136" s="58">
        <v>107</v>
      </c>
      <c r="E7136" s="59">
        <v>903</v>
      </c>
    </row>
    <row r="7137" spans="1:5" ht="15" x14ac:dyDescent="0.35">
      <c r="A7137" s="58" t="s">
        <v>158</v>
      </c>
      <c r="B7137" s="58" t="s">
        <v>172</v>
      </c>
      <c r="C7137" s="58">
        <v>5</v>
      </c>
      <c r="D7137" s="58">
        <v>108</v>
      </c>
      <c r="E7137" s="59">
        <v>903</v>
      </c>
    </row>
    <row r="7138" spans="1:5" ht="15" x14ac:dyDescent="0.35">
      <c r="A7138" s="58" t="s">
        <v>158</v>
      </c>
      <c r="B7138" s="58" t="s">
        <v>172</v>
      </c>
      <c r="C7138" s="58">
        <v>6</v>
      </c>
      <c r="D7138" s="58">
        <v>109</v>
      </c>
      <c r="E7138" s="59">
        <v>903</v>
      </c>
    </row>
    <row r="7139" spans="1:5" ht="15" x14ac:dyDescent="0.35">
      <c r="A7139" s="58" t="s">
        <v>158</v>
      </c>
      <c r="B7139" s="58" t="s">
        <v>172</v>
      </c>
      <c r="C7139" s="58">
        <v>7</v>
      </c>
      <c r="D7139" s="58">
        <v>110</v>
      </c>
      <c r="E7139" s="59">
        <v>903</v>
      </c>
    </row>
    <row r="7140" spans="1:5" ht="15" x14ac:dyDescent="0.35">
      <c r="A7140" s="58" t="s">
        <v>158</v>
      </c>
      <c r="B7140" s="58" t="s">
        <v>172</v>
      </c>
      <c r="C7140" s="58">
        <v>8</v>
      </c>
      <c r="D7140" s="58">
        <v>111</v>
      </c>
      <c r="E7140" s="59">
        <v>903</v>
      </c>
    </row>
    <row r="7141" spans="1:5" ht="15" x14ac:dyDescent="0.35">
      <c r="A7141" s="58" t="s">
        <v>158</v>
      </c>
      <c r="B7141" s="58" t="s">
        <v>172</v>
      </c>
      <c r="C7141" s="58">
        <v>9</v>
      </c>
      <c r="D7141" s="58">
        <v>112</v>
      </c>
      <c r="E7141" s="59">
        <v>903</v>
      </c>
    </row>
    <row r="7142" spans="1:5" ht="15" x14ac:dyDescent="0.35">
      <c r="A7142" s="58" t="s">
        <v>158</v>
      </c>
      <c r="B7142" s="58" t="s">
        <v>172</v>
      </c>
      <c r="C7142" s="58">
        <v>10</v>
      </c>
      <c r="D7142" s="58">
        <v>113</v>
      </c>
      <c r="E7142" s="59">
        <v>903</v>
      </c>
    </row>
    <row r="7143" spans="1:5" ht="15" x14ac:dyDescent="0.35">
      <c r="A7143" s="58" t="s">
        <v>158</v>
      </c>
      <c r="B7143" s="58" t="s">
        <v>172</v>
      </c>
      <c r="C7143" s="58">
        <v>11</v>
      </c>
      <c r="D7143" s="58">
        <v>114</v>
      </c>
      <c r="E7143" s="59">
        <v>903</v>
      </c>
    </row>
    <row r="7144" spans="1:5" ht="15" x14ac:dyDescent="0.35">
      <c r="A7144" s="58" t="s">
        <v>158</v>
      </c>
      <c r="B7144" s="58" t="s">
        <v>172</v>
      </c>
      <c r="C7144" s="58">
        <v>12</v>
      </c>
      <c r="D7144" s="58">
        <v>115</v>
      </c>
      <c r="E7144" s="59">
        <v>903</v>
      </c>
    </row>
    <row r="7145" spans="1:5" ht="15" x14ac:dyDescent="0.35">
      <c r="A7145" s="58" t="s">
        <v>158</v>
      </c>
      <c r="B7145" s="58" t="s">
        <v>180</v>
      </c>
      <c r="C7145" s="58">
        <v>1</v>
      </c>
      <c r="D7145" s="58">
        <v>104</v>
      </c>
      <c r="E7145" s="59">
        <v>988.16319999999996</v>
      </c>
    </row>
    <row r="7146" spans="1:5" ht="15" x14ac:dyDescent="0.35">
      <c r="A7146" s="58" t="s">
        <v>158</v>
      </c>
      <c r="B7146" s="58" t="s">
        <v>180</v>
      </c>
      <c r="C7146" s="58">
        <v>2</v>
      </c>
      <c r="D7146" s="58">
        <v>105</v>
      </c>
      <c r="E7146" s="59">
        <v>988.16319999999996</v>
      </c>
    </row>
    <row r="7147" spans="1:5" ht="15" x14ac:dyDescent="0.35">
      <c r="A7147" s="58" t="s">
        <v>158</v>
      </c>
      <c r="B7147" s="58" t="s">
        <v>180</v>
      </c>
      <c r="C7147" s="58">
        <v>3</v>
      </c>
      <c r="D7147" s="58">
        <v>106</v>
      </c>
      <c r="E7147" s="59">
        <v>988.16319999999996</v>
      </c>
    </row>
    <row r="7148" spans="1:5" ht="15" x14ac:dyDescent="0.35">
      <c r="A7148" s="58" t="s">
        <v>158</v>
      </c>
      <c r="B7148" s="58" t="s">
        <v>180</v>
      </c>
      <c r="C7148" s="58">
        <v>4</v>
      </c>
      <c r="D7148" s="58">
        <v>107</v>
      </c>
      <c r="E7148" s="59">
        <v>988.16319999999996</v>
      </c>
    </row>
    <row r="7149" spans="1:5" ht="15" x14ac:dyDescent="0.35">
      <c r="A7149" s="58" t="s">
        <v>158</v>
      </c>
      <c r="B7149" s="58" t="s">
        <v>180</v>
      </c>
      <c r="C7149" s="58">
        <v>5</v>
      </c>
      <c r="D7149" s="58">
        <v>108</v>
      </c>
      <c r="E7149" s="59">
        <v>988.16319999999996</v>
      </c>
    </row>
    <row r="7150" spans="1:5" ht="15" x14ac:dyDescent="0.35">
      <c r="A7150" s="58" t="s">
        <v>158</v>
      </c>
      <c r="B7150" s="58" t="s">
        <v>180</v>
      </c>
      <c r="C7150" s="58">
        <v>6</v>
      </c>
      <c r="D7150" s="58">
        <v>109</v>
      </c>
      <c r="E7150" s="59">
        <v>988.16319999999996</v>
      </c>
    </row>
    <row r="7151" spans="1:5" ht="15" x14ac:dyDescent="0.35">
      <c r="A7151" s="58" t="s">
        <v>158</v>
      </c>
      <c r="B7151" s="58" t="s">
        <v>180</v>
      </c>
      <c r="C7151" s="58">
        <v>7</v>
      </c>
      <c r="D7151" s="58">
        <v>110</v>
      </c>
      <c r="E7151" s="59">
        <v>988.16319999999996</v>
      </c>
    </row>
    <row r="7152" spans="1:5" ht="15" x14ac:dyDescent="0.35">
      <c r="A7152" s="58" t="s">
        <v>158</v>
      </c>
      <c r="B7152" s="58" t="s">
        <v>180</v>
      </c>
      <c r="C7152" s="58">
        <v>8</v>
      </c>
      <c r="D7152" s="58">
        <v>111</v>
      </c>
      <c r="E7152" s="59">
        <v>988.16319999999996</v>
      </c>
    </row>
    <row r="7153" spans="1:5" ht="15" x14ac:dyDescent="0.35">
      <c r="A7153" s="58" t="s">
        <v>158</v>
      </c>
      <c r="B7153" s="58" t="s">
        <v>180</v>
      </c>
      <c r="C7153" s="58">
        <v>9</v>
      </c>
      <c r="D7153" s="58">
        <v>112</v>
      </c>
      <c r="E7153" s="59">
        <v>988.16319999999996</v>
      </c>
    </row>
    <row r="7154" spans="1:5" ht="15" x14ac:dyDescent="0.35">
      <c r="A7154" s="58" t="s">
        <v>158</v>
      </c>
      <c r="B7154" s="58" t="s">
        <v>180</v>
      </c>
      <c r="C7154" s="58">
        <v>10</v>
      </c>
      <c r="D7154" s="58">
        <v>113</v>
      </c>
      <c r="E7154" s="59">
        <v>988.16319999999996</v>
      </c>
    </row>
    <row r="7155" spans="1:5" ht="15" x14ac:dyDescent="0.35">
      <c r="A7155" s="58" t="s">
        <v>158</v>
      </c>
      <c r="B7155" s="58" t="s">
        <v>180</v>
      </c>
      <c r="C7155" s="58">
        <v>11</v>
      </c>
      <c r="D7155" s="58">
        <v>114</v>
      </c>
      <c r="E7155" s="59">
        <v>988.16319999999996</v>
      </c>
    </row>
    <row r="7156" spans="1:5" ht="15" x14ac:dyDescent="0.35">
      <c r="A7156" s="58" t="s">
        <v>158</v>
      </c>
      <c r="B7156" s="58" t="s">
        <v>180</v>
      </c>
      <c r="C7156" s="58">
        <v>12</v>
      </c>
      <c r="D7156" s="58">
        <v>115</v>
      </c>
      <c r="E7156" s="59">
        <v>988.16319999999996</v>
      </c>
    </row>
    <row r="7157" spans="1:5" ht="15" x14ac:dyDescent="0.35">
      <c r="A7157" s="58" t="s">
        <v>342</v>
      </c>
      <c r="B7157" s="58" t="s">
        <v>182</v>
      </c>
      <c r="C7157" s="58">
        <v>1</v>
      </c>
      <c r="D7157" s="58">
        <v>104</v>
      </c>
      <c r="E7157" s="59">
        <v>143.7148</v>
      </c>
    </row>
    <row r="7158" spans="1:5" ht="15" x14ac:dyDescent="0.35">
      <c r="A7158" s="58" t="s">
        <v>342</v>
      </c>
      <c r="B7158" s="58" t="s">
        <v>182</v>
      </c>
      <c r="C7158" s="58">
        <v>2</v>
      </c>
      <c r="D7158" s="58">
        <v>105</v>
      </c>
      <c r="E7158" s="59">
        <v>104.2664</v>
      </c>
    </row>
    <row r="7159" spans="1:5" ht="15" x14ac:dyDescent="0.35">
      <c r="A7159" s="58" t="s">
        <v>342</v>
      </c>
      <c r="B7159" s="58" t="s">
        <v>182</v>
      </c>
      <c r="C7159" s="58">
        <v>3</v>
      </c>
      <c r="D7159" s="58">
        <v>106</v>
      </c>
      <c r="E7159" s="59">
        <v>89.484700000000004</v>
      </c>
    </row>
    <row r="7160" spans="1:5" ht="15" x14ac:dyDescent="0.35">
      <c r="A7160" s="58" t="s">
        <v>342</v>
      </c>
      <c r="B7160" s="58" t="s">
        <v>182</v>
      </c>
      <c r="C7160" s="58">
        <v>4</v>
      </c>
      <c r="D7160" s="58">
        <v>107</v>
      </c>
      <c r="E7160" s="59">
        <v>87.750600000000006</v>
      </c>
    </row>
    <row r="7161" spans="1:5" ht="15" x14ac:dyDescent="0.35">
      <c r="A7161" s="58" t="s">
        <v>342</v>
      </c>
      <c r="B7161" s="58" t="s">
        <v>182</v>
      </c>
      <c r="C7161" s="58">
        <v>5</v>
      </c>
      <c r="D7161" s="58">
        <v>108</v>
      </c>
      <c r="E7161" s="59">
        <v>81.671300000000002</v>
      </c>
    </row>
    <row r="7162" spans="1:5" ht="15" x14ac:dyDescent="0.35">
      <c r="A7162" s="58" t="s">
        <v>342</v>
      </c>
      <c r="B7162" s="58" t="s">
        <v>182</v>
      </c>
      <c r="C7162" s="58">
        <v>6</v>
      </c>
      <c r="D7162" s="58">
        <v>109</v>
      </c>
      <c r="E7162" s="59">
        <v>75.695099999999996</v>
      </c>
    </row>
    <row r="7163" spans="1:5" ht="15" x14ac:dyDescent="0.35">
      <c r="A7163" s="58" t="s">
        <v>342</v>
      </c>
      <c r="B7163" s="58" t="s">
        <v>182</v>
      </c>
      <c r="C7163" s="58">
        <v>7</v>
      </c>
      <c r="D7163" s="58">
        <v>110</v>
      </c>
      <c r="E7163" s="59">
        <v>54.024500000000003</v>
      </c>
    </row>
    <row r="7164" spans="1:5" ht="15" x14ac:dyDescent="0.35">
      <c r="A7164" s="58" t="s">
        <v>342</v>
      </c>
      <c r="B7164" s="58" t="s">
        <v>182</v>
      </c>
      <c r="C7164" s="58">
        <v>8</v>
      </c>
      <c r="D7164" s="58">
        <v>111</v>
      </c>
      <c r="E7164" s="59">
        <v>43.465000000000003</v>
      </c>
    </row>
    <row r="7165" spans="1:5" ht="15" x14ac:dyDescent="0.35">
      <c r="A7165" s="58" t="s">
        <v>342</v>
      </c>
      <c r="B7165" s="58" t="s">
        <v>182</v>
      </c>
      <c r="C7165" s="58">
        <v>9</v>
      </c>
      <c r="D7165" s="58">
        <v>112</v>
      </c>
      <c r="E7165" s="59">
        <v>60.127800000000001</v>
      </c>
    </row>
    <row r="7166" spans="1:5" ht="15" x14ac:dyDescent="0.35">
      <c r="A7166" s="58" t="s">
        <v>342</v>
      </c>
      <c r="B7166" s="58" t="s">
        <v>182</v>
      </c>
      <c r="C7166" s="58">
        <v>10</v>
      </c>
      <c r="D7166" s="58">
        <v>113</v>
      </c>
      <c r="E7166" s="59">
        <v>105.6794</v>
      </c>
    </row>
    <row r="7167" spans="1:5" ht="15" x14ac:dyDescent="0.35">
      <c r="A7167" s="58" t="s">
        <v>342</v>
      </c>
      <c r="B7167" s="58" t="s">
        <v>182</v>
      </c>
      <c r="C7167" s="58">
        <v>11</v>
      </c>
      <c r="D7167" s="58">
        <v>114</v>
      </c>
      <c r="E7167" s="59">
        <v>106.1199</v>
      </c>
    </row>
    <row r="7168" spans="1:5" ht="15" x14ac:dyDescent="0.35">
      <c r="A7168" s="58" t="s">
        <v>342</v>
      </c>
      <c r="B7168" s="58" t="s">
        <v>182</v>
      </c>
      <c r="C7168" s="58">
        <v>12</v>
      </c>
      <c r="D7168" s="58">
        <v>115</v>
      </c>
      <c r="E7168" s="59">
        <v>126.116</v>
      </c>
    </row>
    <row r="7169" spans="1:5" ht="15" x14ac:dyDescent="0.35">
      <c r="A7169" s="58" t="s">
        <v>342</v>
      </c>
      <c r="B7169" s="58" t="s">
        <v>176</v>
      </c>
      <c r="C7169" s="58">
        <v>1</v>
      </c>
      <c r="D7169" s="58">
        <v>104</v>
      </c>
      <c r="E7169" s="59">
        <v>193.125</v>
      </c>
    </row>
    <row r="7170" spans="1:5" ht="15" x14ac:dyDescent="0.35">
      <c r="A7170" s="58" t="s">
        <v>342</v>
      </c>
      <c r="B7170" s="58" t="s">
        <v>176</v>
      </c>
      <c r="C7170" s="58">
        <v>2</v>
      </c>
      <c r="D7170" s="58">
        <v>105</v>
      </c>
      <c r="E7170" s="59">
        <v>193.125</v>
      </c>
    </row>
    <row r="7171" spans="1:5" ht="15" x14ac:dyDescent="0.35">
      <c r="A7171" s="58" t="s">
        <v>342</v>
      </c>
      <c r="B7171" s="58" t="s">
        <v>176</v>
      </c>
      <c r="C7171" s="58">
        <v>3</v>
      </c>
      <c r="D7171" s="58">
        <v>106</v>
      </c>
      <c r="E7171" s="59">
        <v>193.125</v>
      </c>
    </row>
    <row r="7172" spans="1:5" ht="15" x14ac:dyDescent="0.35">
      <c r="A7172" s="58" t="s">
        <v>342</v>
      </c>
      <c r="B7172" s="58" t="s">
        <v>176</v>
      </c>
      <c r="C7172" s="58">
        <v>4</v>
      </c>
      <c r="D7172" s="58">
        <v>107</v>
      </c>
      <c r="E7172" s="59">
        <v>193.125</v>
      </c>
    </row>
    <row r="7173" spans="1:5" ht="15" x14ac:dyDescent="0.35">
      <c r="A7173" s="58" t="s">
        <v>342</v>
      </c>
      <c r="B7173" s="58" t="s">
        <v>176</v>
      </c>
      <c r="C7173" s="58">
        <v>5</v>
      </c>
      <c r="D7173" s="58">
        <v>108</v>
      </c>
      <c r="E7173" s="59">
        <v>193.125</v>
      </c>
    </row>
    <row r="7174" spans="1:5" ht="15" x14ac:dyDescent="0.35">
      <c r="A7174" s="58" t="s">
        <v>342</v>
      </c>
      <c r="B7174" s="58" t="s">
        <v>176</v>
      </c>
      <c r="C7174" s="58">
        <v>6</v>
      </c>
      <c r="D7174" s="58">
        <v>109</v>
      </c>
      <c r="E7174" s="59">
        <v>193.125</v>
      </c>
    </row>
    <row r="7175" spans="1:5" ht="15" x14ac:dyDescent="0.35">
      <c r="A7175" s="58" t="s">
        <v>342</v>
      </c>
      <c r="B7175" s="58" t="s">
        <v>176</v>
      </c>
      <c r="C7175" s="58">
        <v>7</v>
      </c>
      <c r="D7175" s="58">
        <v>110</v>
      </c>
      <c r="E7175" s="59">
        <v>193.125</v>
      </c>
    </row>
    <row r="7176" spans="1:5" ht="15" x14ac:dyDescent="0.35">
      <c r="A7176" s="58" t="s">
        <v>342</v>
      </c>
      <c r="B7176" s="58" t="s">
        <v>176</v>
      </c>
      <c r="C7176" s="58">
        <v>8</v>
      </c>
      <c r="D7176" s="58">
        <v>111</v>
      </c>
      <c r="E7176" s="59">
        <v>193.125</v>
      </c>
    </row>
    <row r="7177" spans="1:5" ht="15" x14ac:dyDescent="0.35">
      <c r="A7177" s="58" t="s">
        <v>342</v>
      </c>
      <c r="B7177" s="58" t="s">
        <v>176</v>
      </c>
      <c r="C7177" s="58">
        <v>9</v>
      </c>
      <c r="D7177" s="58">
        <v>112</v>
      </c>
      <c r="E7177" s="59">
        <v>193.125</v>
      </c>
    </row>
    <row r="7178" spans="1:5" ht="15" x14ac:dyDescent="0.35">
      <c r="A7178" s="58" t="s">
        <v>342</v>
      </c>
      <c r="B7178" s="58" t="s">
        <v>176</v>
      </c>
      <c r="C7178" s="58">
        <v>10</v>
      </c>
      <c r="D7178" s="58">
        <v>113</v>
      </c>
      <c r="E7178" s="59">
        <v>193.125</v>
      </c>
    </row>
    <row r="7179" spans="1:5" ht="15" x14ac:dyDescent="0.35">
      <c r="A7179" s="58" t="s">
        <v>342</v>
      </c>
      <c r="B7179" s="58" t="s">
        <v>176</v>
      </c>
      <c r="C7179" s="58">
        <v>11</v>
      </c>
      <c r="D7179" s="58">
        <v>114</v>
      </c>
      <c r="E7179" s="59">
        <v>193.125</v>
      </c>
    </row>
    <row r="7180" spans="1:5" ht="15" x14ac:dyDescent="0.35">
      <c r="A7180" s="58" t="s">
        <v>342</v>
      </c>
      <c r="B7180" s="58" t="s">
        <v>176</v>
      </c>
      <c r="C7180" s="58">
        <v>12</v>
      </c>
      <c r="D7180" s="58">
        <v>115</v>
      </c>
      <c r="E7180" s="59">
        <v>193.125</v>
      </c>
    </row>
    <row r="7181" spans="1:5" ht="15" x14ac:dyDescent="0.35">
      <c r="A7181" s="58" t="s">
        <v>342</v>
      </c>
      <c r="B7181" s="58" t="s">
        <v>172</v>
      </c>
      <c r="C7181" s="58">
        <v>1</v>
      </c>
      <c r="D7181" s="58">
        <v>104</v>
      </c>
      <c r="E7181" s="59">
        <v>27</v>
      </c>
    </row>
    <row r="7182" spans="1:5" ht="15" x14ac:dyDescent="0.35">
      <c r="A7182" s="58" t="s">
        <v>342</v>
      </c>
      <c r="B7182" s="58" t="s">
        <v>172</v>
      </c>
      <c r="C7182" s="58">
        <v>2</v>
      </c>
      <c r="D7182" s="58">
        <v>105</v>
      </c>
      <c r="E7182" s="59">
        <v>27</v>
      </c>
    </row>
    <row r="7183" spans="1:5" ht="15" x14ac:dyDescent="0.35">
      <c r="A7183" s="58" t="s">
        <v>342</v>
      </c>
      <c r="B7183" s="58" t="s">
        <v>172</v>
      </c>
      <c r="C7183" s="58">
        <v>3</v>
      </c>
      <c r="D7183" s="58">
        <v>106</v>
      </c>
      <c r="E7183" s="59">
        <v>27</v>
      </c>
    </row>
    <row r="7184" spans="1:5" ht="15" x14ac:dyDescent="0.35">
      <c r="A7184" s="58" t="s">
        <v>342</v>
      </c>
      <c r="B7184" s="58" t="s">
        <v>172</v>
      </c>
      <c r="C7184" s="58">
        <v>4</v>
      </c>
      <c r="D7184" s="58">
        <v>107</v>
      </c>
      <c r="E7184" s="59">
        <v>27</v>
      </c>
    </row>
    <row r="7185" spans="1:5" ht="15" x14ac:dyDescent="0.35">
      <c r="A7185" s="58" t="s">
        <v>342</v>
      </c>
      <c r="B7185" s="58" t="s">
        <v>172</v>
      </c>
      <c r="C7185" s="58">
        <v>5</v>
      </c>
      <c r="D7185" s="58">
        <v>108</v>
      </c>
      <c r="E7185" s="59">
        <v>27</v>
      </c>
    </row>
    <row r="7186" spans="1:5" ht="15" x14ac:dyDescent="0.35">
      <c r="A7186" s="58" t="s">
        <v>342</v>
      </c>
      <c r="B7186" s="58" t="s">
        <v>172</v>
      </c>
      <c r="C7186" s="58">
        <v>6</v>
      </c>
      <c r="D7186" s="58">
        <v>109</v>
      </c>
      <c r="E7186" s="59">
        <v>27</v>
      </c>
    </row>
    <row r="7187" spans="1:5" ht="15" x14ac:dyDescent="0.35">
      <c r="A7187" s="58" t="s">
        <v>342</v>
      </c>
      <c r="B7187" s="58" t="s">
        <v>172</v>
      </c>
      <c r="C7187" s="58">
        <v>7</v>
      </c>
      <c r="D7187" s="58">
        <v>110</v>
      </c>
      <c r="E7187" s="59">
        <v>27</v>
      </c>
    </row>
    <row r="7188" spans="1:5" ht="15" x14ac:dyDescent="0.35">
      <c r="A7188" s="58" t="s">
        <v>342</v>
      </c>
      <c r="B7188" s="58" t="s">
        <v>172</v>
      </c>
      <c r="C7188" s="58">
        <v>8</v>
      </c>
      <c r="D7188" s="58">
        <v>111</v>
      </c>
      <c r="E7188" s="59">
        <v>27</v>
      </c>
    </row>
    <row r="7189" spans="1:5" ht="15" x14ac:dyDescent="0.35">
      <c r="A7189" s="58" t="s">
        <v>342</v>
      </c>
      <c r="B7189" s="58" t="s">
        <v>172</v>
      </c>
      <c r="C7189" s="58">
        <v>9</v>
      </c>
      <c r="D7189" s="58">
        <v>112</v>
      </c>
      <c r="E7189" s="59">
        <v>27</v>
      </c>
    </row>
    <row r="7190" spans="1:5" ht="15" x14ac:dyDescent="0.35">
      <c r="A7190" s="58" t="s">
        <v>342</v>
      </c>
      <c r="B7190" s="58" t="s">
        <v>172</v>
      </c>
      <c r="C7190" s="58">
        <v>10</v>
      </c>
      <c r="D7190" s="58">
        <v>113</v>
      </c>
      <c r="E7190" s="59">
        <v>27</v>
      </c>
    </row>
    <row r="7191" spans="1:5" ht="15" x14ac:dyDescent="0.35">
      <c r="A7191" s="58" t="s">
        <v>342</v>
      </c>
      <c r="B7191" s="58" t="s">
        <v>172</v>
      </c>
      <c r="C7191" s="58">
        <v>11</v>
      </c>
      <c r="D7191" s="58">
        <v>114</v>
      </c>
      <c r="E7191" s="59">
        <v>27</v>
      </c>
    </row>
    <row r="7192" spans="1:5" ht="15" x14ac:dyDescent="0.35">
      <c r="A7192" s="58" t="s">
        <v>342</v>
      </c>
      <c r="B7192" s="58" t="s">
        <v>172</v>
      </c>
      <c r="C7192" s="58">
        <v>12</v>
      </c>
      <c r="D7192" s="58">
        <v>115</v>
      </c>
      <c r="E7192" s="59">
        <v>27</v>
      </c>
    </row>
    <row r="7193" spans="1:5" ht="15" x14ac:dyDescent="0.35">
      <c r="A7193" s="58" t="s">
        <v>342</v>
      </c>
      <c r="B7193" s="58" t="s">
        <v>180</v>
      </c>
      <c r="C7193" s="58">
        <v>1</v>
      </c>
      <c r="D7193" s="58">
        <v>104</v>
      </c>
      <c r="E7193" s="59">
        <v>149.18969999999999</v>
      </c>
    </row>
    <row r="7194" spans="1:5" ht="15" x14ac:dyDescent="0.35">
      <c r="A7194" s="58" t="s">
        <v>342</v>
      </c>
      <c r="B7194" s="58" t="s">
        <v>180</v>
      </c>
      <c r="C7194" s="58">
        <v>2</v>
      </c>
      <c r="D7194" s="58">
        <v>105</v>
      </c>
      <c r="E7194" s="59">
        <v>149.18969999999999</v>
      </c>
    </row>
    <row r="7195" spans="1:5" ht="15" x14ac:dyDescent="0.35">
      <c r="A7195" s="58" t="s">
        <v>342</v>
      </c>
      <c r="B7195" s="58" t="s">
        <v>180</v>
      </c>
      <c r="C7195" s="58">
        <v>3</v>
      </c>
      <c r="D7195" s="58">
        <v>106</v>
      </c>
      <c r="E7195" s="59">
        <v>149.18969999999999</v>
      </c>
    </row>
    <row r="7196" spans="1:5" ht="15" x14ac:dyDescent="0.35">
      <c r="A7196" s="58" t="s">
        <v>342</v>
      </c>
      <c r="B7196" s="58" t="s">
        <v>180</v>
      </c>
      <c r="C7196" s="58">
        <v>4</v>
      </c>
      <c r="D7196" s="58">
        <v>107</v>
      </c>
      <c r="E7196" s="59">
        <v>149.18969999999999</v>
      </c>
    </row>
    <row r="7197" spans="1:5" ht="15" x14ac:dyDescent="0.35">
      <c r="A7197" s="58" t="s">
        <v>342</v>
      </c>
      <c r="B7197" s="58" t="s">
        <v>180</v>
      </c>
      <c r="C7197" s="58">
        <v>5</v>
      </c>
      <c r="D7197" s="58">
        <v>108</v>
      </c>
      <c r="E7197" s="59">
        <v>149.18969999999999</v>
      </c>
    </row>
    <row r="7198" spans="1:5" ht="15" x14ac:dyDescent="0.35">
      <c r="A7198" s="58" t="s">
        <v>342</v>
      </c>
      <c r="B7198" s="58" t="s">
        <v>180</v>
      </c>
      <c r="C7198" s="58">
        <v>6</v>
      </c>
      <c r="D7198" s="58">
        <v>109</v>
      </c>
      <c r="E7198" s="59">
        <v>149.18969999999999</v>
      </c>
    </row>
    <row r="7199" spans="1:5" ht="15" x14ac:dyDescent="0.35">
      <c r="A7199" s="58" t="s">
        <v>342</v>
      </c>
      <c r="B7199" s="58" t="s">
        <v>180</v>
      </c>
      <c r="C7199" s="58">
        <v>7</v>
      </c>
      <c r="D7199" s="58">
        <v>110</v>
      </c>
      <c r="E7199" s="59">
        <v>149.18969999999999</v>
      </c>
    </row>
    <row r="7200" spans="1:5" ht="15" x14ac:dyDescent="0.35">
      <c r="A7200" s="58" t="s">
        <v>342</v>
      </c>
      <c r="B7200" s="58" t="s">
        <v>180</v>
      </c>
      <c r="C7200" s="58">
        <v>8</v>
      </c>
      <c r="D7200" s="58">
        <v>111</v>
      </c>
      <c r="E7200" s="59">
        <v>149.18969999999999</v>
      </c>
    </row>
    <row r="7201" spans="1:5" ht="15" x14ac:dyDescent="0.35">
      <c r="A7201" s="58" t="s">
        <v>342</v>
      </c>
      <c r="B7201" s="58" t="s">
        <v>180</v>
      </c>
      <c r="C7201" s="58">
        <v>9</v>
      </c>
      <c r="D7201" s="58">
        <v>112</v>
      </c>
      <c r="E7201" s="59">
        <v>149.18969999999999</v>
      </c>
    </row>
    <row r="7202" spans="1:5" ht="15" x14ac:dyDescent="0.35">
      <c r="A7202" s="58" t="s">
        <v>342</v>
      </c>
      <c r="B7202" s="58" t="s">
        <v>180</v>
      </c>
      <c r="C7202" s="58">
        <v>10</v>
      </c>
      <c r="D7202" s="58">
        <v>113</v>
      </c>
      <c r="E7202" s="59">
        <v>149.18969999999999</v>
      </c>
    </row>
    <row r="7203" spans="1:5" ht="15" x14ac:dyDescent="0.35">
      <c r="A7203" s="58" t="s">
        <v>342</v>
      </c>
      <c r="B7203" s="58" t="s">
        <v>180</v>
      </c>
      <c r="C7203" s="58">
        <v>11</v>
      </c>
      <c r="D7203" s="58">
        <v>114</v>
      </c>
      <c r="E7203" s="59">
        <v>149.18969999999999</v>
      </c>
    </row>
    <row r="7204" spans="1:5" ht="15" x14ac:dyDescent="0.35">
      <c r="A7204" s="58" t="s">
        <v>342</v>
      </c>
      <c r="B7204" s="58" t="s">
        <v>180</v>
      </c>
      <c r="C7204" s="58">
        <v>12</v>
      </c>
      <c r="D7204" s="58">
        <v>115</v>
      </c>
      <c r="E7204" s="59">
        <v>149.18969999999999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60</vt:i4>
      </vt:variant>
    </vt:vector>
  </HeadingPairs>
  <TitlesOfParts>
    <vt:vector size="72" baseType="lpstr">
      <vt:lpstr>Start</vt:lpstr>
      <vt:lpstr>Inputs</vt:lpstr>
      <vt:lpstr>Summary</vt:lpstr>
      <vt:lpstr>Charts</vt:lpstr>
      <vt:lpstr>ABC_XYZ</vt:lpstr>
      <vt:lpstr>Forecast</vt:lpstr>
      <vt:lpstr>Backtest</vt:lpstr>
      <vt:lpstr>Policy</vt:lpstr>
      <vt:lpstr>Demand</vt:lpstr>
      <vt:lpstr>SKU_Data</vt:lpstr>
      <vt:lpstr>Model_Params</vt:lpstr>
      <vt:lpstr>Forecast_Future</vt:lpstr>
      <vt:lpstr>A_Limit</vt:lpstr>
      <vt:lpstr>B_Limit</vt:lpstr>
      <vt:lpstr>BestClass</vt:lpstr>
      <vt:lpstr>BestFlat</vt:lpstr>
      <vt:lpstr>BestMethod</vt:lpstr>
      <vt:lpstr>BtAbsErr</vt:lpstr>
      <vt:lpstr>BtActual</vt:lpstr>
      <vt:lpstr>BtClass</vt:lpstr>
      <vt:lpstr>BtCode</vt:lpstr>
      <vt:lpstr>BtErr</vt:lpstr>
      <vt:lpstr>BtMethod</vt:lpstr>
      <vt:lpstr>ClassList</vt:lpstr>
      <vt:lpstr>ClassSL</vt:lpstr>
      <vt:lpstr>ClsABC</vt:lpstr>
      <vt:lpstr>ClsClass</vt:lpstr>
      <vt:lpstr>ClsCode</vt:lpstr>
      <vt:lpstr>ClsSeasonal</vt:lpstr>
      <vt:lpstr>ClsValue</vt:lpstr>
      <vt:lpstr>ClsXYZ</vt:lpstr>
      <vt:lpstr>CostRatio</vt:lpstr>
      <vt:lpstr>CurrentCover</vt:lpstr>
      <vt:lpstr>DemandAll</vt:lpstr>
      <vt:lpstr>DemandCodes</vt:lpstr>
      <vt:lpstr>DemandLast52</vt:lpstr>
      <vt:lpstr>DemandPeak2010</vt:lpstr>
      <vt:lpstr>DemandTrain</vt:lpstr>
      <vt:lpstr>FutCode</vt:lpstr>
      <vt:lpstr>FutHorizon</vt:lpstr>
      <vt:lpstr>FutMethod</vt:lpstr>
      <vt:lpstr>FutUnits</vt:lpstr>
      <vt:lpstr>HoldingRate</vt:lpstr>
      <vt:lpstr>LeadTime</vt:lpstr>
      <vt:lpstr>OrderCost</vt:lpstr>
      <vt:lpstr>ParamCodes</vt:lpstr>
      <vt:lpstr>PolClass</vt:lpstr>
      <vt:lpstr>PolCode</vt:lpstr>
      <vt:lpstr>PolCost</vt:lpstr>
      <vt:lpstr>PolCur</vt:lpstr>
      <vt:lpstr>PolFreed</vt:lpstr>
      <vt:lpstr>PolHold</vt:lpstr>
      <vt:lpstr>PolMethod</vt:lpstr>
      <vt:lpstr>PolOrdCost</vt:lpstr>
      <vt:lpstr>PolOrder</vt:lpstr>
      <vt:lpstr>PolRank</vt:lpstr>
      <vt:lpstr>PolRec</vt:lpstr>
      <vt:lpstr>PolRisk</vt:lpstr>
      <vt:lpstr>PolSD</vt:lpstr>
      <vt:lpstr>PolShort</vt:lpstr>
      <vt:lpstr>PolSS</vt:lpstr>
      <vt:lpstr>PolStatus</vt:lpstr>
      <vt:lpstr>SeasonalLimit</vt:lpstr>
      <vt:lpstr>ServiceLevel</vt:lpstr>
      <vt:lpstr>SKUList</vt:lpstr>
      <vt:lpstr>SL_A</vt:lpstr>
      <vt:lpstr>SL_B</vt:lpstr>
      <vt:lpstr>SL_C</vt:lpstr>
      <vt:lpstr>WeeksPerYear</vt:lpstr>
      <vt:lpstr>X_Limit</vt:lpstr>
      <vt:lpstr>Y_Limit</vt:lpstr>
      <vt:lpstr>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2026-10-25T14:38:59Z</cp:lastPrinted>
  <dcterms:created xsi:type="dcterms:W3CDTF">2026-10-25T14:38:46Z</dcterms:created>
  <dcterms:modified xsi:type="dcterms:W3CDTF">2026-10-25T14:39:00Z</dcterms:modified>
</cp:coreProperties>
</file>